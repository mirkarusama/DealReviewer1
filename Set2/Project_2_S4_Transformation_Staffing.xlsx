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medeloitte-my.sharepoint.com/personal/umirakar_deloitte_com/Documents/Documents/RFP Documents - Masked/Set2/"/>
    </mc:Choice>
  </mc:AlternateContent>
  <xr:revisionPtr revIDLastSave="1" documentId="11_74BA875B22E76ABB77DBE67FF1E44FC30C8E7A35" xr6:coauthVersionLast="47" xr6:coauthVersionMax="47" xr10:uidLastSave="{EAA510A7-56F4-4F17-9DBB-6AC4CE44033D}"/>
  <bookViews>
    <workbookView xWindow="-110" yWindow="-110" windowWidth="19420" windowHeight="10300" tabRatio="500" firstSheet="1" activeTab="4" xr2:uid="{00000000-000D-0000-FFFF-FFFF00000000}"/>
  </bookViews>
  <sheets>
    <sheet name="Timeline - Monthly" sheetId="1" state="hidden" r:id="rId1"/>
    <sheet name="Timeline" sheetId="2" r:id="rId2"/>
    <sheet name="Sheet1" sheetId="3" r:id="rId3"/>
    <sheet name="Pivot" sheetId="4" r:id="rId4"/>
    <sheet name="Staffing" sheetId="5" r:id="rId5"/>
    <sheet name="Schedule" sheetId="6" r:id="rId6"/>
    <sheet name="Rate Card" sheetId="7" r:id="rId7"/>
    <sheet name="Sheet2" sheetId="8" r:id="rId8"/>
    <sheet name="Assumptions" sheetId="9" r:id="rId9"/>
    <sheet name="RICEFW Scope" sheetId="10" r:id="rId10"/>
    <sheet name="RICEFW Details" sheetId="11" r:id="rId11"/>
    <sheet name="Data Objects" sheetId="12" r:id="rId12"/>
    <sheet name="Check" sheetId="13" r:id="rId13"/>
    <sheet name="Project 2 Staffing Needs" sheetId="14" state="hidden" r:id="rId14"/>
    <sheet name="Staffing - Baseline" sheetId="15" state="hidden" r:id="rId15"/>
  </sheets>
  <externalReferences>
    <externalReference r:id="rId16"/>
  </externalReferences>
  <definedNames>
    <definedName name="_xlnm._FilterDatabase" localSheetId="13" hidden="1">'Project 2 Staffing Needs'!$B$7:$CE$31</definedName>
    <definedName name="_xlnm._FilterDatabase" localSheetId="6" hidden="1">'Rate Card'!$A$1:$G$684</definedName>
    <definedName name="_xlnm._FilterDatabase" localSheetId="10" hidden="1">'RICEFW Details'!$A$1:$I$29</definedName>
    <definedName name="_xlnm._FilterDatabase" localSheetId="4" hidden="1">Staffing!$B$9:$HE$182</definedName>
    <definedName name="_xlnm._FilterDatabase" localSheetId="14" hidden="1">'Staffing - Baseline'!$B$7:$EQ$57</definedName>
    <definedName name="a" localSheetId="13">'Project 2 Staffing Needs'!#REF!</definedName>
    <definedName name="a" localSheetId="4">Staffing!#REF!</definedName>
    <definedName name="a" localSheetId="14">'Staffing - Baseline'!#REF!</definedName>
    <definedName name="a">#REF!</definedName>
    <definedName name="aa" localSheetId="13">'Project 2 Staffing Needs'!#REF!</definedName>
    <definedName name="aa" localSheetId="4">Staffing!#REF!</definedName>
    <definedName name="aa" localSheetId="14">'Staffing - Baseline'!#REF!</definedName>
    <definedName name="aa">#REF!</definedName>
    <definedName name="BPA" localSheetId="13">'Project 2 Staffing Needs'!#REF!</definedName>
    <definedName name="BPA" localSheetId="4">Staffing!#REF!</definedName>
    <definedName name="BPA" localSheetId="14">'Staffing - Baseline'!#REF!</definedName>
    <definedName name="BPA">#REF!</definedName>
    <definedName name="COMPLEXITY">#REF!</definedName>
    <definedName name="DeloitteTeamMembers" localSheetId="13">'Project 2 Staffing Needs'!#REF!</definedName>
    <definedName name="DeloitteTeamMembers" localSheetId="4">Staffing!#REF!</definedName>
    <definedName name="DeloitteTeamMembers" localSheetId="14">'Staffing - Baseline'!#REF!</definedName>
    <definedName name="DeloitteTeamMembers">#REF!</definedName>
    <definedName name="IQ_ADDIN" hidden="1">"AUTO"</definedName>
    <definedName name="level">#REF!</definedName>
    <definedName name="Manufacturingsites">#REF!</definedName>
    <definedName name="MM_Level" localSheetId="13">'Project 2 Staffing Needs'!#REF!</definedName>
    <definedName name="MM_Level" localSheetId="4">Staffing!#REF!</definedName>
    <definedName name="MM_Level" localSheetId="14">'Staffing - Baseline'!#REF!</definedName>
    <definedName name="MM_Level">#REF!</definedName>
    <definedName name="MM_MD_Level" localSheetId="13">'Project 2 Staffing Needs'!#REF!</definedName>
    <definedName name="MM_MD_Level" localSheetId="4">Staffing!#REF!</definedName>
    <definedName name="MM_MD_Level" localSheetId="14">'Staffing - Baseline'!#REF!</definedName>
    <definedName name="MM_MD_Level">#REF!</definedName>
    <definedName name="MMNew" localSheetId="13">'Project 2 Staffing Needs'!#REF!</definedName>
    <definedName name="MMNew" localSheetId="4">Staffing!#REF!</definedName>
    <definedName name="MMNew" localSheetId="14">'Staffing - Baseline'!#REF!</definedName>
    <definedName name="MMNew">#REF!</definedName>
    <definedName name="_xlnm.Print_Area" localSheetId="13">'Project 2 Staffing Needs'!$F$7:$G$21</definedName>
    <definedName name="_xlnm.Print_Area" localSheetId="4">Staffing!$F$9:$AA$117</definedName>
    <definedName name="_xlnm.Print_Area" localSheetId="14">'Staffing - Baseline'!$F$7:$W$30</definedName>
    <definedName name="Projects" localSheetId="13">'Project 2 Staffing Needs'!#REF!</definedName>
    <definedName name="Projects" localSheetId="4">Staffing!#REF!</definedName>
    <definedName name="Projects" localSheetId="14">'Staffing - Baseline'!#REF!</definedName>
    <definedName name="Projects">#REF!</definedName>
    <definedName name="Rates_b_">#REF!</definedName>
    <definedName name="Rates_c_">#REF!</definedName>
    <definedName name="Region">#REF!</definedName>
    <definedName name="Regions">#REF!</definedName>
    <definedName name="reqCat">#REF!</definedName>
    <definedName name="reqSubCat">#REF!</definedName>
    <definedName name="ReqType">#REF!</definedName>
    <definedName name="ResourceCohort_Filtered">_xlfn.ANCHORARRAY(#REF!)</definedName>
    <definedName name="STATUS">#REF!</definedName>
    <definedName name="Team" localSheetId="13">'Project 2 Staffing Needs'!#REF!</definedName>
    <definedName name="Team" localSheetId="4">Staffing!#REF!</definedName>
    <definedName name="Team" localSheetId="14">'Staffing - Baseline'!#REF!</definedName>
    <definedName name="Team">#REF!</definedName>
    <definedName name="V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N61" i="15" l="1"/>
  <c r="DM61" i="15"/>
  <c r="DL61" i="15"/>
  <c r="DK61" i="15"/>
  <c r="DJ61" i="15"/>
  <c r="DI61" i="15"/>
  <c r="DH61" i="15"/>
  <c r="DG61" i="15"/>
  <c r="DF61" i="15"/>
  <c r="DE61" i="15"/>
  <c r="DD61" i="15"/>
  <c r="DC61" i="15"/>
  <c r="DB61" i="15"/>
  <c r="DA61" i="15"/>
  <c r="CZ61" i="15"/>
  <c r="CY61" i="15"/>
  <c r="CX61" i="15"/>
  <c r="CW61" i="15"/>
  <c r="CV61" i="15"/>
  <c r="CU61" i="15"/>
  <c r="CT61" i="15"/>
  <c r="CS61" i="15"/>
  <c r="CR61" i="15"/>
  <c r="CQ61" i="15"/>
  <c r="CP61" i="15"/>
  <c r="CO61" i="15"/>
  <c r="CN61" i="15"/>
  <c r="CM61" i="15"/>
  <c r="CL61" i="15"/>
  <c r="CK61" i="15"/>
  <c r="CJ61" i="15"/>
  <c r="CI61" i="15"/>
  <c r="CH61" i="15"/>
  <c r="CG61" i="15"/>
  <c r="CF61" i="15"/>
  <c r="CE61" i="15"/>
  <c r="CD61" i="15"/>
  <c r="CC61" i="15"/>
  <c r="CB61" i="15"/>
  <c r="CA61" i="15"/>
  <c r="BZ61" i="15"/>
  <c r="BY61" i="15"/>
  <c r="BX61" i="15"/>
  <c r="BW61" i="15"/>
  <c r="BV61" i="15"/>
  <c r="BU61" i="15"/>
  <c r="BT61" i="15"/>
  <c r="BS61" i="15"/>
  <c r="BR61" i="15"/>
  <c r="BQ61" i="15"/>
  <c r="BP61" i="15"/>
  <c r="BO61" i="15"/>
  <c r="BN61" i="15"/>
  <c r="BM61" i="15"/>
  <c r="BL61" i="15"/>
  <c r="BK61" i="15"/>
  <c r="BJ61" i="15"/>
  <c r="BI61" i="15"/>
  <c r="BH61" i="15"/>
  <c r="BG61" i="15"/>
  <c r="BF61" i="15"/>
  <c r="BE61" i="15"/>
  <c r="BD61" i="15"/>
  <c r="BC61" i="15"/>
  <c r="BB61" i="15"/>
  <c r="BA61" i="15"/>
  <c r="AZ61" i="15"/>
  <c r="AY61" i="15"/>
  <c r="AX61" i="15"/>
  <c r="AW61" i="15"/>
  <c r="AV61" i="15"/>
  <c r="AU61" i="15"/>
  <c r="AT61" i="15"/>
  <c r="AS61" i="15"/>
  <c r="AR61" i="15"/>
  <c r="AQ61" i="15"/>
  <c r="AP61" i="15"/>
  <c r="AO61" i="15"/>
  <c r="AN61" i="15"/>
  <c r="AM61" i="15"/>
  <c r="AL61" i="15"/>
  <c r="AK61" i="15"/>
  <c r="AJ61" i="15"/>
  <c r="AI61" i="15"/>
  <c r="AH61" i="15"/>
  <c r="AG61" i="15"/>
  <c r="AF61" i="15"/>
  <c r="AE61" i="15"/>
  <c r="AD61" i="15"/>
  <c r="AC61" i="15"/>
  <c r="AB61" i="15"/>
  <c r="AA61" i="15"/>
  <c r="Z61" i="15"/>
  <c r="Y61" i="15"/>
  <c r="DN60" i="15"/>
  <c r="DM60" i="15"/>
  <c r="DL60" i="15"/>
  <c r="DK60" i="15"/>
  <c r="DJ60" i="15"/>
  <c r="DI60" i="15"/>
  <c r="DH60" i="15"/>
  <c r="DG60" i="15"/>
  <c r="DF60" i="15"/>
  <c r="DE60" i="15"/>
  <c r="DD60" i="15"/>
  <c r="DC60" i="15"/>
  <c r="DB60" i="15"/>
  <c r="DA60" i="15"/>
  <c r="CZ60" i="15"/>
  <c r="CY60" i="15"/>
  <c r="CX60" i="15"/>
  <c r="CW60" i="15"/>
  <c r="CV60" i="15"/>
  <c r="CU60" i="15"/>
  <c r="CT60" i="15"/>
  <c r="CS60" i="15"/>
  <c r="CR60" i="15"/>
  <c r="CQ60" i="15"/>
  <c r="CP60" i="15"/>
  <c r="CO60" i="15"/>
  <c r="CN60" i="15"/>
  <c r="CM60" i="15"/>
  <c r="CL60" i="15"/>
  <c r="CK60" i="15"/>
  <c r="CJ60" i="15"/>
  <c r="CI60" i="15"/>
  <c r="CH60" i="15"/>
  <c r="CG60" i="15"/>
  <c r="CF60" i="15"/>
  <c r="CE60" i="15"/>
  <c r="CD60" i="15"/>
  <c r="CC60" i="15"/>
  <c r="CB60" i="15"/>
  <c r="CA60" i="15"/>
  <c r="BZ60" i="15"/>
  <c r="BY60" i="15"/>
  <c r="BX60" i="15"/>
  <c r="BW60" i="15"/>
  <c r="BV60" i="15"/>
  <c r="BU60" i="15"/>
  <c r="BT60" i="15"/>
  <c r="BS60" i="15"/>
  <c r="BR60" i="15"/>
  <c r="BQ60" i="15"/>
  <c r="BP60" i="15"/>
  <c r="BO60" i="15"/>
  <c r="BN60" i="15"/>
  <c r="BM60" i="15"/>
  <c r="BL60" i="15"/>
  <c r="BK60" i="15"/>
  <c r="BJ60" i="15"/>
  <c r="BI60" i="15"/>
  <c r="BH60" i="15"/>
  <c r="BG60" i="15"/>
  <c r="BF60" i="15"/>
  <c r="BE60" i="15"/>
  <c r="BD60" i="15"/>
  <c r="BC60" i="15"/>
  <c r="BB60" i="15"/>
  <c r="BA60" i="15"/>
  <c r="AZ60" i="15"/>
  <c r="AY60" i="15"/>
  <c r="AX60" i="15"/>
  <c r="AW60" i="15"/>
  <c r="AV60" i="15"/>
  <c r="AU60" i="15"/>
  <c r="AT60" i="15"/>
  <c r="AS60" i="15"/>
  <c r="AR60" i="15"/>
  <c r="AQ60" i="15"/>
  <c r="AP60" i="15"/>
  <c r="AO60" i="15"/>
  <c r="AN60" i="15"/>
  <c r="AM60" i="15"/>
  <c r="AL60" i="15"/>
  <c r="AK60" i="15"/>
  <c r="AJ60" i="15"/>
  <c r="AI60" i="15"/>
  <c r="AH60" i="15"/>
  <c r="AG60" i="15"/>
  <c r="AF60" i="15"/>
  <c r="AE60" i="15"/>
  <c r="AD60" i="15"/>
  <c r="AC60" i="15"/>
  <c r="AB60" i="15"/>
  <c r="AA60" i="15"/>
  <c r="Z60" i="15"/>
  <c r="Y60" i="15"/>
  <c r="X60" i="15"/>
  <c r="EO57" i="15"/>
  <c r="EN57" i="15"/>
  <c r="EM57" i="15"/>
  <c r="EL57" i="15"/>
  <c r="EK57" i="15"/>
  <c r="EJ57" i="15"/>
  <c r="EI57" i="15"/>
  <c r="EH57" i="15"/>
  <c r="EG57" i="15"/>
  <c r="EF57" i="15"/>
  <c r="EE57" i="15"/>
  <c r="ED57" i="15"/>
  <c r="EC57" i="15"/>
  <c r="EB57" i="15"/>
  <c r="EA57" i="15"/>
  <c r="DZ57" i="15"/>
  <c r="DY57" i="15"/>
  <c r="DX57" i="15"/>
  <c r="DW57" i="15"/>
  <c r="DV57" i="15"/>
  <c r="DU57" i="15"/>
  <c r="DT57" i="15"/>
  <c r="DS57" i="15"/>
  <c r="DR57" i="15"/>
  <c r="DQ57" i="15"/>
  <c r="DP57" i="15"/>
  <c r="N57" i="15"/>
  <c r="M57" i="15"/>
  <c r="L57" i="15"/>
  <c r="P51" i="15"/>
  <c r="N51" i="15"/>
  <c r="M51" i="15"/>
  <c r="L51" i="15"/>
  <c r="P50" i="15"/>
  <c r="N50" i="15"/>
  <c r="M50" i="15"/>
  <c r="L50" i="15"/>
  <c r="P49" i="15"/>
  <c r="N49" i="15"/>
  <c r="M49" i="15"/>
  <c r="L49" i="15"/>
  <c r="P48" i="15"/>
  <c r="N48" i="15"/>
  <c r="M48" i="15"/>
  <c r="L48" i="15"/>
  <c r="P47" i="15"/>
  <c r="N47" i="15"/>
  <c r="M47" i="15"/>
  <c r="L47" i="15"/>
  <c r="P46" i="15"/>
  <c r="N46" i="15"/>
  <c r="M46" i="15"/>
  <c r="L46" i="15"/>
  <c r="P45" i="15"/>
  <c r="N45" i="15"/>
  <c r="M45" i="15"/>
  <c r="L45" i="15"/>
  <c r="P44" i="15"/>
  <c r="N44" i="15"/>
  <c r="M44" i="15"/>
  <c r="L44" i="15"/>
  <c r="S43" i="15"/>
  <c r="P43" i="15"/>
  <c r="N43" i="15"/>
  <c r="M43" i="15"/>
  <c r="L43" i="15"/>
  <c r="EO42" i="15"/>
  <c r="EN42" i="15"/>
  <c r="EM42" i="15"/>
  <c r="EL42" i="15"/>
  <c r="EK42" i="15"/>
  <c r="EJ42" i="15"/>
  <c r="EI42" i="15"/>
  <c r="EH42" i="15"/>
  <c r="EG42" i="15"/>
  <c r="EF42" i="15"/>
  <c r="EE42" i="15"/>
  <c r="ED42" i="15"/>
  <c r="EC42" i="15"/>
  <c r="EB42" i="15"/>
  <c r="EA42" i="15"/>
  <c r="DZ42" i="15"/>
  <c r="DY42" i="15"/>
  <c r="DX42" i="15"/>
  <c r="DW42" i="15"/>
  <c r="DV42" i="15"/>
  <c r="DU42" i="15"/>
  <c r="DT42" i="15"/>
  <c r="DS42" i="15"/>
  <c r="DR42" i="15"/>
  <c r="EP42" i="15" s="1"/>
  <c r="EQ42" i="15" s="1"/>
  <c r="DQ42" i="15"/>
  <c r="DP42" i="15"/>
  <c r="S42" i="15"/>
  <c r="Q42" i="15"/>
  <c r="P42" i="15"/>
  <c r="N42" i="15"/>
  <c r="M42" i="15"/>
  <c r="L42" i="15"/>
  <c r="EO41" i="15"/>
  <c r="EN41" i="15"/>
  <c r="EM41" i="15"/>
  <c r="EL41" i="15"/>
  <c r="EK41" i="15"/>
  <c r="EJ41" i="15"/>
  <c r="EI41" i="15"/>
  <c r="EH41" i="15"/>
  <c r="EG41" i="15"/>
  <c r="EF41" i="15"/>
  <c r="EE41" i="15"/>
  <c r="ED41" i="15"/>
  <c r="EC41" i="15"/>
  <c r="EB41" i="15"/>
  <c r="EA41" i="15"/>
  <c r="DZ41" i="15"/>
  <c r="DY41" i="15"/>
  <c r="DX41" i="15"/>
  <c r="DW41" i="15"/>
  <c r="DV41" i="15"/>
  <c r="DU41" i="15"/>
  <c r="DT41" i="15"/>
  <c r="DS41" i="15"/>
  <c r="DR41" i="15"/>
  <c r="DQ41" i="15"/>
  <c r="DP41" i="15"/>
  <c r="S41" i="15"/>
  <c r="Q41" i="15"/>
  <c r="P41" i="15"/>
  <c r="N41" i="15"/>
  <c r="M41" i="15"/>
  <c r="L41" i="15"/>
  <c r="EO40" i="15"/>
  <c r="EN40" i="15"/>
  <c r="EM40" i="15"/>
  <c r="EL40" i="15"/>
  <c r="EK40" i="15"/>
  <c r="EJ40" i="15"/>
  <c r="EI40" i="15"/>
  <c r="EH40" i="15"/>
  <c r="EG40" i="15"/>
  <c r="EF40" i="15"/>
  <c r="EE40" i="15"/>
  <c r="ED40" i="15"/>
  <c r="EC40" i="15"/>
  <c r="EB40" i="15"/>
  <c r="EA40" i="15"/>
  <c r="DZ40" i="15"/>
  <c r="DY40" i="15"/>
  <c r="DX40" i="15"/>
  <c r="DW40" i="15"/>
  <c r="DV40" i="15"/>
  <c r="DU40" i="15"/>
  <c r="DT40" i="15"/>
  <c r="DS40" i="15"/>
  <c r="DR40" i="15"/>
  <c r="DQ40" i="15"/>
  <c r="DP40" i="15"/>
  <c r="S40" i="15"/>
  <c r="Q40" i="15"/>
  <c r="P40" i="15"/>
  <c r="N40" i="15"/>
  <c r="M40" i="15"/>
  <c r="L40" i="15"/>
  <c r="EO39" i="15"/>
  <c r="EN39" i="15"/>
  <c r="EM39" i="15"/>
  <c r="EL39" i="15"/>
  <c r="EK39" i="15"/>
  <c r="EJ39" i="15"/>
  <c r="EI39" i="15"/>
  <c r="EH39" i="15"/>
  <c r="EG39" i="15"/>
  <c r="EF39" i="15"/>
  <c r="EE39" i="15"/>
  <c r="ED39" i="15"/>
  <c r="EC39" i="15"/>
  <c r="EB39" i="15"/>
  <c r="EA39" i="15"/>
  <c r="DZ39" i="15"/>
  <c r="DY39" i="15"/>
  <c r="DX39" i="15"/>
  <c r="DW39" i="15"/>
  <c r="DV39" i="15"/>
  <c r="DU39" i="15"/>
  <c r="DT39" i="15"/>
  <c r="DS39" i="15"/>
  <c r="DR39" i="15"/>
  <c r="DQ39" i="15"/>
  <c r="DP39" i="15"/>
  <c r="EP39" i="15" s="1"/>
  <c r="EQ39" i="15" s="1"/>
  <c r="S39" i="15"/>
  <c r="Q39" i="15"/>
  <c r="P39" i="15"/>
  <c r="N39" i="15"/>
  <c r="M39" i="15"/>
  <c r="L39" i="15"/>
  <c r="EO38" i="15"/>
  <c r="EN38" i="15"/>
  <c r="EM38" i="15"/>
  <c r="EL38" i="15"/>
  <c r="EK38" i="15"/>
  <c r="EJ38" i="15"/>
  <c r="EI38" i="15"/>
  <c r="EH38" i="15"/>
  <c r="EG38" i="15"/>
  <c r="EF38" i="15"/>
  <c r="EE38" i="15"/>
  <c r="ED38" i="15"/>
  <c r="EC38" i="15"/>
  <c r="EB38" i="15"/>
  <c r="EA38" i="15"/>
  <c r="DZ38" i="15"/>
  <c r="DY38" i="15"/>
  <c r="DX38" i="15"/>
  <c r="DW38" i="15"/>
  <c r="DV38" i="15"/>
  <c r="DU38" i="15"/>
  <c r="DT38" i="15"/>
  <c r="DS38" i="15"/>
  <c r="DR38" i="15"/>
  <c r="DQ38" i="15"/>
  <c r="DP38" i="15"/>
  <c r="P38" i="15"/>
  <c r="N38" i="15"/>
  <c r="M38" i="15"/>
  <c r="L38" i="15"/>
  <c r="EO37" i="15"/>
  <c r="EN37" i="15"/>
  <c r="EM37" i="15"/>
  <c r="EL37" i="15"/>
  <c r="EK37" i="15"/>
  <c r="EJ37" i="15"/>
  <c r="EI37" i="15"/>
  <c r="EH37" i="15"/>
  <c r="EG37" i="15"/>
  <c r="EF37" i="15"/>
  <c r="EE37" i="15"/>
  <c r="ED37" i="15"/>
  <c r="EC37" i="15"/>
  <c r="EB37" i="15"/>
  <c r="EA37" i="15"/>
  <c r="DZ37" i="15"/>
  <c r="DY37" i="15"/>
  <c r="DX37" i="15"/>
  <c r="DW37" i="15"/>
  <c r="DV37" i="15"/>
  <c r="DU37" i="15"/>
  <c r="DT37" i="15"/>
  <c r="DS37" i="15"/>
  <c r="DR37" i="15"/>
  <c r="DQ37" i="15"/>
  <c r="DP37" i="15"/>
  <c r="EP37" i="15" s="1"/>
  <c r="EQ37" i="15" s="1"/>
  <c r="P37" i="15"/>
  <c r="N37" i="15"/>
  <c r="M37" i="15"/>
  <c r="L37" i="15"/>
  <c r="EO36" i="15"/>
  <c r="EN36" i="15"/>
  <c r="EM36" i="15"/>
  <c r="EL36" i="15"/>
  <c r="EK36" i="15"/>
  <c r="EJ36" i="15"/>
  <c r="EI36" i="15"/>
  <c r="EH36" i="15"/>
  <c r="EG36" i="15"/>
  <c r="EF36" i="15"/>
  <c r="EE36" i="15"/>
  <c r="ED36" i="15"/>
  <c r="EC36" i="15"/>
  <c r="EB36" i="15"/>
  <c r="EA36" i="15"/>
  <c r="DZ36" i="15"/>
  <c r="DY36" i="15"/>
  <c r="DX36" i="15"/>
  <c r="DW36" i="15"/>
  <c r="DV36" i="15"/>
  <c r="DU36" i="15"/>
  <c r="DT36" i="15"/>
  <c r="DS36" i="15"/>
  <c r="DR36" i="15"/>
  <c r="EP36" i="15" s="1"/>
  <c r="EQ36" i="15" s="1"/>
  <c r="DQ36" i="15"/>
  <c r="DP36" i="15"/>
  <c r="P36" i="15"/>
  <c r="N36" i="15"/>
  <c r="M36" i="15"/>
  <c r="L36" i="15"/>
  <c r="EO35" i="15"/>
  <c r="EN35" i="15"/>
  <c r="EM35" i="15"/>
  <c r="EL35" i="15"/>
  <c r="EK35" i="15"/>
  <c r="EJ35" i="15"/>
  <c r="EI35" i="15"/>
  <c r="EH35" i="15"/>
  <c r="EG35" i="15"/>
  <c r="EF35" i="15"/>
  <c r="EE35" i="15"/>
  <c r="ED35" i="15"/>
  <c r="EC35" i="15"/>
  <c r="EB35" i="15"/>
  <c r="EA35" i="15"/>
  <c r="DZ35" i="15"/>
  <c r="DY35" i="15"/>
  <c r="DX35" i="15"/>
  <c r="DW35" i="15"/>
  <c r="DV35" i="15"/>
  <c r="DU35" i="15"/>
  <c r="DT35" i="15"/>
  <c r="DS35" i="15"/>
  <c r="DR35" i="15"/>
  <c r="DQ35" i="15"/>
  <c r="DP35" i="15"/>
  <c r="P35" i="15"/>
  <c r="N35" i="15"/>
  <c r="M35" i="15"/>
  <c r="L35" i="15"/>
  <c r="EO34" i="15"/>
  <c r="EN34" i="15"/>
  <c r="EM34" i="15"/>
  <c r="EL34" i="15"/>
  <c r="EK34" i="15"/>
  <c r="EJ34" i="15"/>
  <c r="EI34" i="15"/>
  <c r="EH34" i="15"/>
  <c r="EG34" i="15"/>
  <c r="EF34" i="15"/>
  <c r="EE34" i="15"/>
  <c r="ED34" i="15"/>
  <c r="EC34" i="15"/>
  <c r="EB34" i="15"/>
  <c r="EA34" i="15"/>
  <c r="DZ34" i="15"/>
  <c r="DY34" i="15"/>
  <c r="DX34" i="15"/>
  <c r="DW34" i="15"/>
  <c r="DV34" i="15"/>
  <c r="DU34" i="15"/>
  <c r="DT34" i="15"/>
  <c r="DS34" i="15"/>
  <c r="DR34" i="15"/>
  <c r="DQ34" i="15"/>
  <c r="DP34" i="15"/>
  <c r="S34" i="15"/>
  <c r="P34" i="15"/>
  <c r="N34" i="15"/>
  <c r="M34" i="15"/>
  <c r="L34" i="15"/>
  <c r="EO33" i="15"/>
  <c r="EN33" i="15"/>
  <c r="EM33" i="15"/>
  <c r="EL33" i="15"/>
  <c r="EK33" i="15"/>
  <c r="EJ33" i="15"/>
  <c r="EI33" i="15"/>
  <c r="EH33" i="15"/>
  <c r="EG33" i="15"/>
  <c r="EF33" i="15"/>
  <c r="EE33" i="15"/>
  <c r="ED33" i="15"/>
  <c r="EC33" i="15"/>
  <c r="EB33" i="15"/>
  <c r="EA33" i="15"/>
  <c r="DZ33" i="15"/>
  <c r="DY33" i="15"/>
  <c r="DX33" i="15"/>
  <c r="DW33" i="15"/>
  <c r="DV33" i="15"/>
  <c r="DU33" i="15"/>
  <c r="DT33" i="15"/>
  <c r="DS33" i="15"/>
  <c r="DR33" i="15"/>
  <c r="DQ33" i="15"/>
  <c r="DP33" i="15"/>
  <c r="S33" i="15"/>
  <c r="Q33" i="15"/>
  <c r="P33" i="15"/>
  <c r="N33" i="15"/>
  <c r="M33" i="15"/>
  <c r="L33" i="15"/>
  <c r="EO32" i="15"/>
  <c r="EN32" i="15"/>
  <c r="EM32" i="15"/>
  <c r="EL32" i="15"/>
  <c r="EK32" i="15"/>
  <c r="EJ32" i="15"/>
  <c r="EI32" i="15"/>
  <c r="EH32" i="15"/>
  <c r="EG32" i="15"/>
  <c r="EF32" i="15"/>
  <c r="EE32" i="15"/>
  <c r="ED32" i="15"/>
  <c r="EC32" i="15"/>
  <c r="EB32" i="15"/>
  <c r="EA32" i="15"/>
  <c r="DZ32" i="15"/>
  <c r="DY32" i="15"/>
  <c r="DX32" i="15"/>
  <c r="DW32" i="15"/>
  <c r="DV32" i="15"/>
  <c r="DU32" i="15"/>
  <c r="DT32" i="15"/>
  <c r="DS32" i="15"/>
  <c r="DR32" i="15"/>
  <c r="DQ32" i="15"/>
  <c r="DP32" i="15"/>
  <c r="S32" i="15"/>
  <c r="Q32" i="15"/>
  <c r="P32" i="15"/>
  <c r="N32" i="15"/>
  <c r="M32" i="15"/>
  <c r="L32" i="15"/>
  <c r="EO31" i="15"/>
  <c r="EN31" i="15"/>
  <c r="EM31" i="15"/>
  <c r="EL31" i="15"/>
  <c r="EK31" i="15"/>
  <c r="EJ31" i="15"/>
  <c r="EI31" i="15"/>
  <c r="EH31" i="15"/>
  <c r="EG31" i="15"/>
  <c r="EF31" i="15"/>
  <c r="EE31" i="15"/>
  <c r="ED31" i="15"/>
  <c r="EC31" i="15"/>
  <c r="EB31" i="15"/>
  <c r="EA31" i="15"/>
  <c r="DZ31" i="15"/>
  <c r="DY31" i="15"/>
  <c r="DX31" i="15"/>
  <c r="DW31" i="15"/>
  <c r="DV31" i="15"/>
  <c r="DU31" i="15"/>
  <c r="DT31" i="15"/>
  <c r="DS31" i="15"/>
  <c r="DR31" i="15"/>
  <c r="DQ31" i="15"/>
  <c r="DP31" i="15"/>
  <c r="S31" i="15"/>
  <c r="Q31" i="15"/>
  <c r="P31" i="15"/>
  <c r="N31" i="15"/>
  <c r="M31" i="15"/>
  <c r="L31" i="15"/>
  <c r="EO30" i="15"/>
  <c r="EN30" i="15"/>
  <c r="EM30" i="15"/>
  <c r="EL30" i="15"/>
  <c r="EK30" i="15"/>
  <c r="EJ30" i="15"/>
  <c r="EI30" i="15"/>
  <c r="EH30" i="15"/>
  <c r="EG30" i="15"/>
  <c r="EF30" i="15"/>
  <c r="EE30" i="15"/>
  <c r="ED30" i="15"/>
  <c r="EC30" i="15"/>
  <c r="EB30" i="15"/>
  <c r="EA30" i="15"/>
  <c r="DZ30" i="15"/>
  <c r="DY30" i="15"/>
  <c r="DX30" i="15"/>
  <c r="DW30" i="15"/>
  <c r="DV30" i="15"/>
  <c r="DU30" i="15"/>
  <c r="DT30" i="15"/>
  <c r="DS30" i="15"/>
  <c r="DR30" i="15"/>
  <c r="DQ30" i="15"/>
  <c r="DP30" i="15"/>
  <c r="S30" i="15"/>
  <c r="Q30" i="15"/>
  <c r="P30" i="15"/>
  <c r="N30" i="15"/>
  <c r="M30" i="15"/>
  <c r="L30" i="15"/>
  <c r="EO29" i="15"/>
  <c r="EN29" i="15"/>
  <c r="EM29" i="15"/>
  <c r="EL29" i="15"/>
  <c r="EK29" i="15"/>
  <c r="EJ29" i="15"/>
  <c r="EI29" i="15"/>
  <c r="EH29" i="15"/>
  <c r="EG29" i="15"/>
  <c r="EF29" i="15"/>
  <c r="EE29" i="15"/>
  <c r="ED29" i="15"/>
  <c r="EC29" i="15"/>
  <c r="EB29" i="15"/>
  <c r="EA29" i="15"/>
  <c r="DZ29" i="15"/>
  <c r="DY29" i="15"/>
  <c r="DX29" i="15"/>
  <c r="DW29" i="15"/>
  <c r="DV29" i="15"/>
  <c r="DU29" i="15"/>
  <c r="DT29" i="15"/>
  <c r="DS29" i="15"/>
  <c r="DR29" i="15"/>
  <c r="EP29" i="15" s="1"/>
  <c r="EQ29" i="15" s="1"/>
  <c r="DQ29" i="15"/>
  <c r="DP29" i="15"/>
  <c r="S29" i="15"/>
  <c r="Q29" i="15"/>
  <c r="P29" i="15"/>
  <c r="N29" i="15"/>
  <c r="M29" i="15"/>
  <c r="L29" i="15"/>
  <c r="EO28" i="15"/>
  <c r="EN28" i="15"/>
  <c r="EM28" i="15"/>
  <c r="EL28" i="15"/>
  <c r="EK28" i="15"/>
  <c r="EJ28" i="15"/>
  <c r="EI28" i="15"/>
  <c r="EH28" i="15"/>
  <c r="EG28" i="15"/>
  <c r="EF28" i="15"/>
  <c r="EE28" i="15"/>
  <c r="ED28" i="15"/>
  <c r="EC28" i="15"/>
  <c r="EB28" i="15"/>
  <c r="EA28" i="15"/>
  <c r="DZ28" i="15"/>
  <c r="DY28" i="15"/>
  <c r="DX28" i="15"/>
  <c r="DW28" i="15"/>
  <c r="DV28" i="15"/>
  <c r="DU28" i="15"/>
  <c r="DT28" i="15"/>
  <c r="DS28" i="15"/>
  <c r="DR28" i="15"/>
  <c r="DQ28" i="15"/>
  <c r="DP28" i="15"/>
  <c r="S28" i="15"/>
  <c r="Q28" i="15"/>
  <c r="P28" i="15"/>
  <c r="N28" i="15"/>
  <c r="M28" i="15"/>
  <c r="L28" i="15"/>
  <c r="EO27" i="15"/>
  <c r="EN27" i="15"/>
  <c r="EM27" i="15"/>
  <c r="EL27" i="15"/>
  <c r="EK27" i="15"/>
  <c r="EJ27" i="15"/>
  <c r="EI27" i="15"/>
  <c r="EH27" i="15"/>
  <c r="EG27" i="15"/>
  <c r="EF27" i="15"/>
  <c r="EE27" i="15"/>
  <c r="ED27" i="15"/>
  <c r="EC27" i="15"/>
  <c r="EB27" i="15"/>
  <c r="EA27" i="15"/>
  <c r="DZ27" i="15"/>
  <c r="DY27" i="15"/>
  <c r="DX27" i="15"/>
  <c r="DW27" i="15"/>
  <c r="DV27" i="15"/>
  <c r="DU27" i="15"/>
  <c r="DT27" i="15"/>
  <c r="DS27" i="15"/>
  <c r="DR27" i="15"/>
  <c r="DQ27" i="15"/>
  <c r="DP27" i="15"/>
  <c r="EP27" i="15" s="1"/>
  <c r="EQ27" i="15" s="1"/>
  <c r="S27" i="15"/>
  <c r="Q27" i="15"/>
  <c r="P27" i="15"/>
  <c r="N27" i="15"/>
  <c r="M27" i="15"/>
  <c r="L27" i="15"/>
  <c r="EO26" i="15"/>
  <c r="EN26" i="15"/>
  <c r="EM26" i="15"/>
  <c r="EL26" i="15"/>
  <c r="EK26" i="15"/>
  <c r="EJ26" i="15"/>
  <c r="EI26" i="15"/>
  <c r="EH26" i="15"/>
  <c r="EG26" i="15"/>
  <c r="EF26" i="15"/>
  <c r="EE26" i="15"/>
  <c r="ED26" i="15"/>
  <c r="EC26" i="15"/>
  <c r="EB26" i="15"/>
  <c r="EA26" i="15"/>
  <c r="DZ26" i="15"/>
  <c r="DY26" i="15"/>
  <c r="DX26" i="15"/>
  <c r="DW26" i="15"/>
  <c r="DV26" i="15"/>
  <c r="DU26" i="15"/>
  <c r="DT26" i="15"/>
  <c r="DS26" i="15"/>
  <c r="DR26" i="15"/>
  <c r="DQ26" i="15"/>
  <c r="DP26" i="15"/>
  <c r="S26" i="15"/>
  <c r="Q26" i="15"/>
  <c r="P26" i="15"/>
  <c r="N26" i="15"/>
  <c r="M26" i="15"/>
  <c r="L26" i="15"/>
  <c r="EO25" i="15"/>
  <c r="EN25" i="15"/>
  <c r="EM25" i="15"/>
  <c r="EL25" i="15"/>
  <c r="EK25" i="15"/>
  <c r="EJ25" i="15"/>
  <c r="EI25" i="15"/>
  <c r="EH25" i="15"/>
  <c r="EG25" i="15"/>
  <c r="EF25" i="15"/>
  <c r="EE25" i="15"/>
  <c r="ED25" i="15"/>
  <c r="EC25" i="15"/>
  <c r="EB25" i="15"/>
  <c r="EA25" i="15"/>
  <c r="DZ25" i="15"/>
  <c r="DY25" i="15"/>
  <c r="DX25" i="15"/>
  <c r="DW25" i="15"/>
  <c r="DV25" i="15"/>
  <c r="DU25" i="15"/>
  <c r="DT25" i="15"/>
  <c r="DS25" i="15"/>
  <c r="DR25" i="15"/>
  <c r="DQ25" i="15"/>
  <c r="DP25" i="15"/>
  <c r="EP25" i="15" s="1"/>
  <c r="EQ25" i="15" s="1"/>
  <c r="P25" i="15"/>
  <c r="N25" i="15"/>
  <c r="M25" i="15"/>
  <c r="L25" i="15"/>
  <c r="EO24" i="15"/>
  <c r="EN24" i="15"/>
  <c r="EM24" i="15"/>
  <c r="EL24" i="15"/>
  <c r="EK24" i="15"/>
  <c r="EJ24" i="15"/>
  <c r="EI24" i="15"/>
  <c r="EH24" i="15"/>
  <c r="EG24" i="15"/>
  <c r="EF24" i="15"/>
  <c r="EE24" i="15"/>
  <c r="ED24" i="15"/>
  <c r="EC24" i="15"/>
  <c r="EB24" i="15"/>
  <c r="EA24" i="15"/>
  <c r="DZ24" i="15"/>
  <c r="DY24" i="15"/>
  <c r="DX24" i="15"/>
  <c r="DW24" i="15"/>
  <c r="DV24" i="15"/>
  <c r="DU24" i="15"/>
  <c r="DT24" i="15"/>
  <c r="DS24" i="15"/>
  <c r="DR24" i="15"/>
  <c r="DQ24" i="15"/>
  <c r="DP24" i="15"/>
  <c r="EP24" i="15" s="1"/>
  <c r="EQ24" i="15" s="1"/>
  <c r="P24" i="15"/>
  <c r="N24" i="15"/>
  <c r="M24" i="15"/>
  <c r="L24" i="15"/>
  <c r="EO23" i="15"/>
  <c r="EN23" i="15"/>
  <c r="EM23" i="15"/>
  <c r="EL23" i="15"/>
  <c r="EK23" i="15"/>
  <c r="EJ23" i="15"/>
  <c r="EI23" i="15"/>
  <c r="EH23" i="15"/>
  <c r="EG23" i="15"/>
  <c r="EF23" i="15"/>
  <c r="EE23" i="15"/>
  <c r="ED23" i="15"/>
  <c r="EC23" i="15"/>
  <c r="EB23" i="15"/>
  <c r="EA23" i="15"/>
  <c r="DZ23" i="15"/>
  <c r="DY23" i="15"/>
  <c r="DX23" i="15"/>
  <c r="DW23" i="15"/>
  <c r="DV23" i="15"/>
  <c r="DU23" i="15"/>
  <c r="DT23" i="15"/>
  <c r="DS23" i="15"/>
  <c r="DR23" i="15"/>
  <c r="EP23" i="15" s="1"/>
  <c r="EQ23" i="15" s="1"/>
  <c r="DQ23" i="15"/>
  <c r="DP23" i="15"/>
  <c r="P23" i="15"/>
  <c r="N23" i="15"/>
  <c r="M23" i="15"/>
  <c r="L23" i="15"/>
  <c r="EO22" i="15"/>
  <c r="EN22" i="15"/>
  <c r="EM22" i="15"/>
  <c r="EL22" i="15"/>
  <c r="EK22" i="15"/>
  <c r="EJ22" i="15"/>
  <c r="EI22" i="15"/>
  <c r="EH22" i="15"/>
  <c r="EG22" i="15"/>
  <c r="EF22" i="15"/>
  <c r="EE22" i="15"/>
  <c r="ED22" i="15"/>
  <c r="EC22" i="15"/>
  <c r="EB22" i="15"/>
  <c r="EA22" i="15"/>
  <c r="DZ22" i="15"/>
  <c r="DY22" i="15"/>
  <c r="DX22" i="15"/>
  <c r="DW22" i="15"/>
  <c r="DV22" i="15"/>
  <c r="DU22" i="15"/>
  <c r="DT22" i="15"/>
  <c r="DS22" i="15"/>
  <c r="DR22" i="15"/>
  <c r="DQ22" i="15"/>
  <c r="DP22" i="15"/>
  <c r="P22" i="15"/>
  <c r="N22" i="15"/>
  <c r="M22" i="15"/>
  <c r="L22" i="15"/>
  <c r="EO21" i="15"/>
  <c r="EN21" i="15"/>
  <c r="EM21" i="15"/>
  <c r="EL21" i="15"/>
  <c r="EK21" i="15"/>
  <c r="EJ21" i="15"/>
  <c r="EI21" i="15"/>
  <c r="EH21" i="15"/>
  <c r="EG21" i="15"/>
  <c r="EF21" i="15"/>
  <c r="EE21" i="15"/>
  <c r="ED21" i="15"/>
  <c r="EC21" i="15"/>
  <c r="EB21" i="15"/>
  <c r="EA21" i="15"/>
  <c r="DZ21" i="15"/>
  <c r="DY21" i="15"/>
  <c r="DX21" i="15"/>
  <c r="DW21" i="15"/>
  <c r="DV21" i="15"/>
  <c r="DU21" i="15"/>
  <c r="DT21" i="15"/>
  <c r="DS21" i="15"/>
  <c r="DR21" i="15"/>
  <c r="DQ21" i="15"/>
  <c r="DP21" i="15"/>
  <c r="S21" i="15"/>
  <c r="Q21" i="15"/>
  <c r="P21" i="15"/>
  <c r="N21" i="15"/>
  <c r="M21" i="15"/>
  <c r="L21" i="15"/>
  <c r="EO20" i="15"/>
  <c r="EN20" i="15"/>
  <c r="EM20" i="15"/>
  <c r="EL20" i="15"/>
  <c r="EK20" i="15"/>
  <c r="EJ20" i="15"/>
  <c r="EI20" i="15"/>
  <c r="EH20" i="15"/>
  <c r="EG20" i="15"/>
  <c r="EF20" i="15"/>
  <c r="EE20" i="15"/>
  <c r="ED20" i="15"/>
  <c r="EC20" i="15"/>
  <c r="EB20" i="15"/>
  <c r="EA20" i="15"/>
  <c r="DZ20" i="15"/>
  <c r="DY20" i="15"/>
  <c r="DX20" i="15"/>
  <c r="DW20" i="15"/>
  <c r="DV20" i="15"/>
  <c r="DU20" i="15"/>
  <c r="DT20" i="15"/>
  <c r="DS20" i="15"/>
  <c r="DR20" i="15"/>
  <c r="DQ20" i="15"/>
  <c r="DP20" i="15"/>
  <c r="S20" i="15"/>
  <c r="Q20" i="15"/>
  <c r="P20" i="15"/>
  <c r="N20" i="15"/>
  <c r="M20" i="15"/>
  <c r="L20" i="15"/>
  <c r="EO19" i="15"/>
  <c r="EN19" i="15"/>
  <c r="EM19" i="15"/>
  <c r="EL19" i="15"/>
  <c r="EK19" i="15"/>
  <c r="EJ19" i="15"/>
  <c r="EI19" i="15"/>
  <c r="EH19" i="15"/>
  <c r="EG19" i="15"/>
  <c r="EF19" i="15"/>
  <c r="EE19" i="15"/>
  <c r="ED19" i="15"/>
  <c r="EC19" i="15"/>
  <c r="EB19" i="15"/>
  <c r="EA19" i="15"/>
  <c r="DZ19" i="15"/>
  <c r="DY19" i="15"/>
  <c r="DX19" i="15"/>
  <c r="DW19" i="15"/>
  <c r="DV19" i="15"/>
  <c r="DU19" i="15"/>
  <c r="DT19" i="15"/>
  <c r="DS19" i="15"/>
  <c r="DR19" i="15"/>
  <c r="DQ19" i="15"/>
  <c r="DP19" i="15"/>
  <c r="EP19" i="15" s="1"/>
  <c r="EQ19" i="15" s="1"/>
  <c r="S19" i="15"/>
  <c r="Q19" i="15"/>
  <c r="P19" i="15"/>
  <c r="N19" i="15"/>
  <c r="M19" i="15"/>
  <c r="L19" i="15"/>
  <c r="EO18" i="15"/>
  <c r="EN18" i="15"/>
  <c r="EM18" i="15"/>
  <c r="EL18" i="15"/>
  <c r="EK18" i="15"/>
  <c r="EJ18" i="15"/>
  <c r="EI18" i="15"/>
  <c r="EH18" i="15"/>
  <c r="EG18" i="15"/>
  <c r="EF18" i="15"/>
  <c r="EE18" i="15"/>
  <c r="ED18" i="15"/>
  <c r="EC18" i="15"/>
  <c r="EB18" i="15"/>
  <c r="EA18" i="15"/>
  <c r="DZ18" i="15"/>
  <c r="DY18" i="15"/>
  <c r="DX18" i="15"/>
  <c r="DW18" i="15"/>
  <c r="DV18" i="15"/>
  <c r="DU18" i="15"/>
  <c r="DT18" i="15"/>
  <c r="DS18" i="15"/>
  <c r="DR18" i="15"/>
  <c r="DQ18" i="15"/>
  <c r="DP18" i="15"/>
  <c r="EP18" i="15" s="1"/>
  <c r="EQ18" i="15" s="1"/>
  <c r="S18" i="15"/>
  <c r="Q18" i="15"/>
  <c r="P18" i="15"/>
  <c r="N18" i="15"/>
  <c r="M18" i="15"/>
  <c r="L18" i="15"/>
  <c r="EO17" i="15"/>
  <c r="EN17" i="15"/>
  <c r="EM17" i="15"/>
  <c r="EL17" i="15"/>
  <c r="EK17" i="15"/>
  <c r="EJ17" i="15"/>
  <c r="EI17" i="15"/>
  <c r="EH17" i="15"/>
  <c r="EG17" i="15"/>
  <c r="EF17" i="15"/>
  <c r="EE17" i="15"/>
  <c r="ED17" i="15"/>
  <c r="EC17" i="15"/>
  <c r="EB17" i="15"/>
  <c r="EA17" i="15"/>
  <c r="DZ17" i="15"/>
  <c r="DY17" i="15"/>
  <c r="DX17" i="15"/>
  <c r="DW17" i="15"/>
  <c r="DV17" i="15"/>
  <c r="DU17" i="15"/>
  <c r="DT17" i="15"/>
  <c r="DS17" i="15"/>
  <c r="DR17" i="15"/>
  <c r="EP17" i="15" s="1"/>
  <c r="EQ17" i="15" s="1"/>
  <c r="DQ17" i="15"/>
  <c r="DP17" i="15"/>
  <c r="S17" i="15"/>
  <c r="Q17" i="15"/>
  <c r="P17" i="15"/>
  <c r="N17" i="15"/>
  <c r="M17" i="15"/>
  <c r="L17" i="15"/>
  <c r="EO16" i="15"/>
  <c r="EN16" i="15"/>
  <c r="EM16" i="15"/>
  <c r="EL16" i="15"/>
  <c r="EK16" i="15"/>
  <c r="EJ16" i="15"/>
  <c r="EI16" i="15"/>
  <c r="EH16" i="15"/>
  <c r="EG16" i="15"/>
  <c r="EF16" i="15"/>
  <c r="EE16" i="15"/>
  <c r="ED16" i="15"/>
  <c r="EC16" i="15"/>
  <c r="EB16" i="15"/>
  <c r="EA16" i="15"/>
  <c r="DZ16" i="15"/>
  <c r="DY16" i="15"/>
  <c r="DX16" i="15"/>
  <c r="DW16" i="15"/>
  <c r="DV16" i="15"/>
  <c r="DU16" i="15"/>
  <c r="DT16" i="15"/>
  <c r="DS16" i="15"/>
  <c r="DR16" i="15"/>
  <c r="DQ16" i="15"/>
  <c r="DP16" i="15"/>
  <c r="S16" i="15"/>
  <c r="Q16" i="15"/>
  <c r="P16" i="15"/>
  <c r="N16" i="15"/>
  <c r="M16" i="15"/>
  <c r="L16" i="15"/>
  <c r="EO15" i="15"/>
  <c r="EN15" i="15"/>
  <c r="EM15" i="15"/>
  <c r="EL15" i="15"/>
  <c r="EK15" i="15"/>
  <c r="EJ15" i="15"/>
  <c r="EI15" i="15"/>
  <c r="EH15" i="15"/>
  <c r="EG15" i="15"/>
  <c r="EF15" i="15"/>
  <c r="EE15" i="15"/>
  <c r="ED15" i="15"/>
  <c r="EC15" i="15"/>
  <c r="EB15" i="15"/>
  <c r="EA15" i="15"/>
  <c r="DZ15" i="15"/>
  <c r="DY15" i="15"/>
  <c r="DX15" i="15"/>
  <c r="DW15" i="15"/>
  <c r="DV15" i="15"/>
  <c r="DU15" i="15"/>
  <c r="DT15" i="15"/>
  <c r="DS15" i="15"/>
  <c r="DR15" i="15"/>
  <c r="DQ15" i="15"/>
  <c r="DP15" i="15"/>
  <c r="S15" i="15"/>
  <c r="Q15" i="15"/>
  <c r="P15" i="15"/>
  <c r="N15" i="15"/>
  <c r="M15" i="15"/>
  <c r="L15" i="15"/>
  <c r="EO14" i="15"/>
  <c r="EN14" i="15"/>
  <c r="EM14" i="15"/>
  <c r="EL14" i="15"/>
  <c r="EK14" i="15"/>
  <c r="EJ14" i="15"/>
  <c r="EI14" i="15"/>
  <c r="EH14" i="15"/>
  <c r="EG14" i="15"/>
  <c r="EF14" i="15"/>
  <c r="EE14" i="15"/>
  <c r="ED14" i="15"/>
  <c r="EC14" i="15"/>
  <c r="EB14" i="15"/>
  <c r="EA14" i="15"/>
  <c r="DZ14" i="15"/>
  <c r="DY14" i="15"/>
  <c r="DX14" i="15"/>
  <c r="DW14" i="15"/>
  <c r="DV14" i="15"/>
  <c r="DU14" i="15"/>
  <c r="DT14" i="15"/>
  <c r="DS14" i="15"/>
  <c r="DR14" i="15"/>
  <c r="DQ14" i="15"/>
  <c r="DP14" i="15"/>
  <c r="EP14" i="15" s="1"/>
  <c r="EQ14" i="15" s="1"/>
  <c r="S14" i="15"/>
  <c r="Q14" i="15"/>
  <c r="P14" i="15"/>
  <c r="N14" i="15"/>
  <c r="M14" i="15"/>
  <c r="L14" i="15"/>
  <c r="EO13" i="15"/>
  <c r="EN13" i="15"/>
  <c r="EM13" i="15"/>
  <c r="EL13" i="15"/>
  <c r="EK13" i="15"/>
  <c r="EJ13" i="15"/>
  <c r="EI13" i="15"/>
  <c r="EH13" i="15"/>
  <c r="EG13" i="15"/>
  <c r="EF13" i="15"/>
  <c r="EE13" i="15"/>
  <c r="ED13" i="15"/>
  <c r="EC13" i="15"/>
  <c r="EB13" i="15"/>
  <c r="EA13" i="15"/>
  <c r="DZ13" i="15"/>
  <c r="DY13" i="15"/>
  <c r="DX13" i="15"/>
  <c r="DW13" i="15"/>
  <c r="DV13" i="15"/>
  <c r="DU13" i="15"/>
  <c r="DT13" i="15"/>
  <c r="DS13" i="15"/>
  <c r="DR13" i="15"/>
  <c r="DQ13" i="15"/>
  <c r="DP13" i="15"/>
  <c r="EP13" i="15" s="1"/>
  <c r="EQ13" i="15" s="1"/>
  <c r="S13" i="15"/>
  <c r="Q13" i="15"/>
  <c r="P13" i="15"/>
  <c r="N13" i="15"/>
  <c r="M13" i="15"/>
  <c r="L13" i="15"/>
  <c r="EO12" i="15"/>
  <c r="EN12" i="15"/>
  <c r="EM12" i="15"/>
  <c r="EL12" i="15"/>
  <c r="EK12" i="15"/>
  <c r="EJ12" i="15"/>
  <c r="EI12" i="15"/>
  <c r="EH12" i="15"/>
  <c r="EG12" i="15"/>
  <c r="EF12" i="15"/>
  <c r="EE12" i="15"/>
  <c r="ED12" i="15"/>
  <c r="EC12" i="15"/>
  <c r="EB12" i="15"/>
  <c r="EA12" i="15"/>
  <c r="DZ12" i="15"/>
  <c r="DY12" i="15"/>
  <c r="DX12" i="15"/>
  <c r="DW12" i="15"/>
  <c r="DV12" i="15"/>
  <c r="DU12" i="15"/>
  <c r="DT12" i="15"/>
  <c r="DS12" i="15"/>
  <c r="DR12" i="15"/>
  <c r="DQ12" i="15"/>
  <c r="DP12" i="15"/>
  <c r="EP12" i="15" s="1"/>
  <c r="S12" i="15"/>
  <c r="Q12" i="15"/>
  <c r="P12" i="15"/>
  <c r="N12" i="15"/>
  <c r="M12" i="15"/>
  <c r="L12" i="15"/>
  <c r="EO11" i="15"/>
  <c r="EN11" i="15"/>
  <c r="EN60" i="15" s="1"/>
  <c r="EM11" i="15"/>
  <c r="EL11" i="15"/>
  <c r="EK11" i="15"/>
  <c r="EJ11" i="15"/>
  <c r="EI11" i="15"/>
  <c r="EH11" i="15"/>
  <c r="EG11" i="15"/>
  <c r="EF11" i="15"/>
  <c r="EF60" i="15" s="1"/>
  <c r="EE11" i="15"/>
  <c r="ED11" i="15"/>
  <c r="EC11" i="15"/>
  <c r="EB11" i="15"/>
  <c r="EA11" i="15"/>
  <c r="DZ11" i="15"/>
  <c r="DY11" i="15"/>
  <c r="DX11" i="15"/>
  <c r="DX60" i="15" s="1"/>
  <c r="DW11" i="15"/>
  <c r="DV11" i="15"/>
  <c r="DU11" i="15"/>
  <c r="DT11" i="15"/>
  <c r="DS11" i="15"/>
  <c r="DR11" i="15"/>
  <c r="DQ11" i="15"/>
  <c r="DP11" i="15"/>
  <c r="S11" i="15"/>
  <c r="Q11" i="15"/>
  <c r="P11" i="15"/>
  <c r="N11" i="15"/>
  <c r="M11" i="15"/>
  <c r="L11" i="15"/>
  <c r="EO10" i="15"/>
  <c r="EN10" i="15"/>
  <c r="EM10" i="15"/>
  <c r="EL10" i="15"/>
  <c r="EK10" i="15"/>
  <c r="EJ10" i="15"/>
  <c r="EI10" i="15"/>
  <c r="EH10" i="15"/>
  <c r="EG10" i="15"/>
  <c r="EF10" i="15"/>
  <c r="EE10" i="15"/>
  <c r="ED10" i="15"/>
  <c r="EC10" i="15"/>
  <c r="EB10" i="15"/>
  <c r="EA10" i="15"/>
  <c r="DZ10" i="15"/>
  <c r="DY10" i="15"/>
  <c r="DX10" i="15"/>
  <c r="DW10" i="15"/>
  <c r="DV10" i="15"/>
  <c r="DU10" i="15"/>
  <c r="DT10" i="15"/>
  <c r="DS10" i="15"/>
  <c r="DR10" i="15"/>
  <c r="DQ10" i="15"/>
  <c r="DP10" i="15"/>
  <c r="EP10" i="15" s="1"/>
  <c r="EQ10" i="15" s="1"/>
  <c r="S10" i="15"/>
  <c r="Q10" i="15"/>
  <c r="P10" i="15"/>
  <c r="O10" i="15" s="1"/>
  <c r="N10" i="15"/>
  <c r="M10" i="15"/>
  <c r="L10" i="15"/>
  <c r="EO9" i="15"/>
  <c r="EN9" i="15"/>
  <c r="EM9" i="15"/>
  <c r="EL9" i="15"/>
  <c r="EK9" i="15"/>
  <c r="EJ9" i="15"/>
  <c r="EI9" i="15"/>
  <c r="EH9" i="15"/>
  <c r="EG9" i="15"/>
  <c r="EF9" i="15"/>
  <c r="EE9" i="15"/>
  <c r="ED9" i="15"/>
  <c r="EC9" i="15"/>
  <c r="EB9" i="15"/>
  <c r="EA9" i="15"/>
  <c r="DZ9" i="15"/>
  <c r="DY9" i="15"/>
  <c r="DX9" i="15"/>
  <c r="DW9" i="15"/>
  <c r="DV9" i="15"/>
  <c r="DU9" i="15"/>
  <c r="DT9" i="15"/>
  <c r="DS9" i="15"/>
  <c r="DR9" i="15"/>
  <c r="DQ9" i="15"/>
  <c r="DP9" i="15"/>
  <c r="EP9" i="15" s="1"/>
  <c r="EQ9" i="15" s="1"/>
  <c r="S9" i="15"/>
  <c r="Q9" i="15"/>
  <c r="P9" i="15"/>
  <c r="N9" i="15"/>
  <c r="M9" i="15"/>
  <c r="L9" i="15"/>
  <c r="EO8" i="15"/>
  <c r="EN8" i="15"/>
  <c r="EM8" i="15"/>
  <c r="EL8" i="15"/>
  <c r="EK8" i="15"/>
  <c r="EJ8" i="15"/>
  <c r="EJ60" i="15" s="1"/>
  <c r="EI8" i="15"/>
  <c r="EH8" i="15"/>
  <c r="EG8" i="15"/>
  <c r="EF8" i="15"/>
  <c r="EE8" i="15"/>
  <c r="ED8" i="15"/>
  <c r="EC8" i="15"/>
  <c r="EB8" i="15"/>
  <c r="EB60" i="15" s="1"/>
  <c r="EA8" i="15"/>
  <c r="EA60" i="15" s="1"/>
  <c r="DZ8" i="15"/>
  <c r="DY8" i="15"/>
  <c r="DX8" i="15"/>
  <c r="DW8" i="15"/>
  <c r="DV8" i="15"/>
  <c r="DU8" i="15"/>
  <c r="DT8" i="15"/>
  <c r="DT60" i="15" s="1"/>
  <c r="DS8" i="15"/>
  <c r="DS60" i="15" s="1"/>
  <c r="DR8" i="15"/>
  <c r="DQ8" i="15"/>
  <c r="DP8" i="15"/>
  <c r="EP8" i="15" s="1"/>
  <c r="S8" i="15"/>
  <c r="Q8" i="15"/>
  <c r="P8" i="15"/>
  <c r="N8" i="15"/>
  <c r="M8" i="15"/>
  <c r="L8" i="15"/>
  <c r="AT7" i="15"/>
  <c r="AU7" i="15" s="1"/>
  <c r="AV7" i="15" s="1"/>
  <c r="AW7" i="15" s="1"/>
  <c r="AX7" i="15" s="1"/>
  <c r="AY7" i="15" s="1"/>
  <c r="AZ7" i="15" s="1"/>
  <c r="BA7" i="15" s="1"/>
  <c r="BB7" i="15" s="1"/>
  <c r="BC7" i="15" s="1"/>
  <c r="BD7" i="15" s="1"/>
  <c r="BE7" i="15" s="1"/>
  <c r="BF7" i="15" s="1"/>
  <c r="BG7" i="15" s="1"/>
  <c r="BH7" i="15" s="1"/>
  <c r="BI7" i="15" s="1"/>
  <c r="BJ7" i="15" s="1"/>
  <c r="BK7" i="15" s="1"/>
  <c r="BL7" i="15" s="1"/>
  <c r="BM7" i="15" s="1"/>
  <c r="BN7" i="15" s="1"/>
  <c r="BO7" i="15" s="1"/>
  <c r="BP7" i="15" s="1"/>
  <c r="BQ7" i="15" s="1"/>
  <c r="BR7" i="15" s="1"/>
  <c r="BS7" i="15" s="1"/>
  <c r="BT7" i="15" s="1"/>
  <c r="BU7" i="15" s="1"/>
  <c r="BV7" i="15" s="1"/>
  <c r="BW7" i="15" s="1"/>
  <c r="BX7" i="15" s="1"/>
  <c r="BY7" i="15" s="1"/>
  <c r="BZ7" i="15" s="1"/>
  <c r="CA7" i="15" s="1"/>
  <c r="CB7" i="15" s="1"/>
  <c r="CC7" i="15" s="1"/>
  <c r="CD7" i="15" s="1"/>
  <c r="CE7" i="15" s="1"/>
  <c r="CF7" i="15" s="1"/>
  <c r="CG7" i="15" s="1"/>
  <c r="CH7" i="15" s="1"/>
  <c r="CI7" i="15" s="1"/>
  <c r="CJ7" i="15" s="1"/>
  <c r="CK7" i="15" s="1"/>
  <c r="CL7" i="15" s="1"/>
  <c r="CM7" i="15" s="1"/>
  <c r="CN7" i="15" s="1"/>
  <c r="CO7" i="15" s="1"/>
  <c r="CP7" i="15" s="1"/>
  <c r="CQ7" i="15" s="1"/>
  <c r="CR7" i="15" s="1"/>
  <c r="CS7" i="15" s="1"/>
  <c r="CT7" i="15" s="1"/>
  <c r="CU7" i="15" s="1"/>
  <c r="CV7" i="15" s="1"/>
  <c r="CW7" i="15" s="1"/>
  <c r="CX7" i="15" s="1"/>
  <c r="CY7" i="15" s="1"/>
  <c r="CZ7" i="15" s="1"/>
  <c r="DA7" i="15" s="1"/>
  <c r="DB7" i="15" s="1"/>
  <c r="DC7" i="15" s="1"/>
  <c r="DD7" i="15" s="1"/>
  <c r="DE7" i="15" s="1"/>
  <c r="DF7" i="15" s="1"/>
  <c r="DG7" i="15" s="1"/>
  <c r="DH7" i="15" s="1"/>
  <c r="DI7" i="15" s="1"/>
  <c r="DJ7" i="15" s="1"/>
  <c r="DK7" i="15" s="1"/>
  <c r="DL7" i="15" s="1"/>
  <c r="DM7" i="15" s="1"/>
  <c r="DN7" i="15" s="1"/>
  <c r="AL7" i="15"/>
  <c r="AM7" i="15" s="1"/>
  <c r="AN7" i="15" s="1"/>
  <c r="AO7" i="15" s="1"/>
  <c r="AP7" i="15" s="1"/>
  <c r="AQ7" i="15" s="1"/>
  <c r="AR7" i="15" s="1"/>
  <c r="AS7" i="15" s="1"/>
  <c r="Y7" i="15"/>
  <c r="Z7" i="15" s="1"/>
  <c r="AA7" i="15" s="1"/>
  <c r="AB7" i="15" s="1"/>
  <c r="AC7" i="15" s="1"/>
  <c r="AD7" i="15" s="1"/>
  <c r="AE7" i="15" s="1"/>
  <c r="AF7" i="15" s="1"/>
  <c r="AG7" i="15" s="1"/>
  <c r="AH7" i="15" s="1"/>
  <c r="AI7" i="15" s="1"/>
  <c r="AJ7" i="15" s="1"/>
  <c r="AK7" i="15" s="1"/>
  <c r="CE35" i="14"/>
  <c r="CD35" i="14"/>
  <c r="CB35" i="14"/>
  <c r="BY35" i="14"/>
  <c r="BW35" i="14"/>
  <c r="BV35" i="14"/>
  <c r="BT35" i="14"/>
  <c r="BQ35" i="14"/>
  <c r="BO35" i="14"/>
  <c r="BN35" i="14"/>
  <c r="BL35" i="14"/>
  <c r="BI35" i="14"/>
  <c r="BG35" i="14"/>
  <c r="BF35" i="14"/>
  <c r="BD35" i="14"/>
  <c r="BA35" i="14"/>
  <c r="AY35" i="14"/>
  <c r="AX35" i="14"/>
  <c r="AV35" i="14"/>
  <c r="AS35" i="14"/>
  <c r="AQ35" i="14"/>
  <c r="AP35" i="14"/>
  <c r="AN35" i="14"/>
  <c r="AK35" i="14"/>
  <c r="AI35" i="14"/>
  <c r="AH35" i="14"/>
  <c r="AF35" i="14"/>
  <c r="AC35" i="14"/>
  <c r="AA35" i="14"/>
  <c r="Z35" i="14"/>
  <c r="X35" i="14"/>
  <c r="U35" i="14"/>
  <c r="S35" i="14"/>
  <c r="R35" i="14"/>
  <c r="P35" i="14"/>
  <c r="M35" i="14"/>
  <c r="K35" i="14"/>
  <c r="J35" i="14"/>
  <c r="H35" i="14"/>
  <c r="CE34" i="14"/>
  <c r="CD34" i="14"/>
  <c r="CC34" i="14"/>
  <c r="CC35" i="14" s="1"/>
  <c r="CB34" i="14"/>
  <c r="CA34" i="14"/>
  <c r="CA35" i="14" s="1"/>
  <c r="BZ34" i="14"/>
  <c r="BZ35" i="14" s="1"/>
  <c r="BY34" i="14"/>
  <c r="BX34" i="14"/>
  <c r="BX35" i="14" s="1"/>
  <c r="BW34" i="14"/>
  <c r="BV34" i="14"/>
  <c r="BU34" i="14"/>
  <c r="BU35" i="14" s="1"/>
  <c r="BT34" i="14"/>
  <c r="BS34" i="14"/>
  <c r="BS35" i="14" s="1"/>
  <c r="BR34" i="14"/>
  <c r="BR35" i="14" s="1"/>
  <c r="BQ34" i="14"/>
  <c r="BP34" i="14"/>
  <c r="BP35" i="14" s="1"/>
  <c r="BO34" i="14"/>
  <c r="BN34" i="14"/>
  <c r="BM34" i="14"/>
  <c r="BM35" i="14" s="1"/>
  <c r="BL34" i="14"/>
  <c r="BK34" i="14"/>
  <c r="BK35" i="14" s="1"/>
  <c r="BJ34" i="14"/>
  <c r="BJ35" i="14" s="1"/>
  <c r="BI34" i="14"/>
  <c r="BH34" i="14"/>
  <c r="BH35" i="14" s="1"/>
  <c r="BG34" i="14"/>
  <c r="BF34" i="14"/>
  <c r="BE34" i="14"/>
  <c r="BE35" i="14" s="1"/>
  <c r="BD34" i="14"/>
  <c r="BC34" i="14"/>
  <c r="BC35" i="14" s="1"/>
  <c r="BB34" i="14"/>
  <c r="BB35" i="14" s="1"/>
  <c r="BA34" i="14"/>
  <c r="AZ34" i="14"/>
  <c r="AZ35" i="14" s="1"/>
  <c r="AY34" i="14"/>
  <c r="AX34" i="14"/>
  <c r="AW34" i="14"/>
  <c r="AW35" i="14" s="1"/>
  <c r="AV34" i="14"/>
  <c r="AU34" i="14"/>
  <c r="AU35" i="14" s="1"/>
  <c r="AT34" i="14"/>
  <c r="AT35" i="14" s="1"/>
  <c r="AS34" i="14"/>
  <c r="AR34" i="14"/>
  <c r="AR35" i="14" s="1"/>
  <c r="AQ34" i="14"/>
  <c r="AP34" i="14"/>
  <c r="AO34" i="14"/>
  <c r="AO35" i="14" s="1"/>
  <c r="AN34" i="14"/>
  <c r="AM34" i="14"/>
  <c r="AM35" i="14" s="1"/>
  <c r="AL34" i="14"/>
  <c r="AL35" i="14" s="1"/>
  <c r="AK34" i="14"/>
  <c r="AJ34" i="14"/>
  <c r="AJ35" i="14" s="1"/>
  <c r="AI34" i="14"/>
  <c r="AH34" i="14"/>
  <c r="AG34" i="14"/>
  <c r="AG35" i="14" s="1"/>
  <c r="AF34" i="14"/>
  <c r="AE34" i="14"/>
  <c r="AE35" i="14" s="1"/>
  <c r="AD34" i="14"/>
  <c r="AD35" i="14" s="1"/>
  <c r="AC34" i="14"/>
  <c r="AB34" i="14"/>
  <c r="AB35" i="14" s="1"/>
  <c r="AA34" i="14"/>
  <c r="Z34" i="14"/>
  <c r="Y34" i="14"/>
  <c r="Y35" i="14" s="1"/>
  <c r="X34" i="14"/>
  <c r="W34" i="14"/>
  <c r="W35" i="14" s="1"/>
  <c r="V34" i="14"/>
  <c r="V35" i="14" s="1"/>
  <c r="U34" i="14"/>
  <c r="T34" i="14"/>
  <c r="T35" i="14" s="1"/>
  <c r="S34" i="14"/>
  <c r="R34" i="14"/>
  <c r="Q34" i="14"/>
  <c r="Q35" i="14" s="1"/>
  <c r="P34" i="14"/>
  <c r="O34" i="14"/>
  <c r="O35" i="14" s="1"/>
  <c r="N34" i="14"/>
  <c r="N35" i="14" s="1"/>
  <c r="M34" i="14"/>
  <c r="L34" i="14"/>
  <c r="L35" i="14" s="1"/>
  <c r="K34" i="14"/>
  <c r="J34" i="14"/>
  <c r="I34" i="14"/>
  <c r="I35" i="14" s="1"/>
  <c r="H34" i="14"/>
  <c r="G25" i="14"/>
  <c r="G24" i="14"/>
  <c r="G23" i="14"/>
  <c r="G22" i="14"/>
  <c r="G21" i="14"/>
  <c r="G20" i="14"/>
  <c r="G19" i="14"/>
  <c r="G18" i="14"/>
  <c r="G17" i="14"/>
  <c r="G16" i="14"/>
  <c r="G15" i="14"/>
  <c r="G14" i="14"/>
  <c r="G13" i="14"/>
  <c r="G12" i="14"/>
  <c r="G11" i="14"/>
  <c r="G10" i="14"/>
  <c r="G9" i="14"/>
  <c r="G8" i="14"/>
  <c r="G6" i="14" s="1"/>
  <c r="AC7" i="14"/>
  <c r="AD7" i="14" s="1"/>
  <c r="AE7" i="14" s="1"/>
  <c r="AF7" i="14" s="1"/>
  <c r="AG7" i="14" s="1"/>
  <c r="AH7" i="14" s="1"/>
  <c r="AI7" i="14" s="1"/>
  <c r="AJ7" i="14" s="1"/>
  <c r="AK7" i="14" s="1"/>
  <c r="AL7" i="14" s="1"/>
  <c r="AM7" i="14" s="1"/>
  <c r="AN7" i="14" s="1"/>
  <c r="AO7" i="14" s="1"/>
  <c r="AP7" i="14" s="1"/>
  <c r="AQ7" i="14" s="1"/>
  <c r="AR7" i="14" s="1"/>
  <c r="AS7" i="14" s="1"/>
  <c r="AT7" i="14" s="1"/>
  <c r="AU7" i="14" s="1"/>
  <c r="AV7" i="14" s="1"/>
  <c r="AW7" i="14" s="1"/>
  <c r="AX7" i="14" s="1"/>
  <c r="AY7" i="14" s="1"/>
  <c r="AZ7" i="14" s="1"/>
  <c r="BA7" i="14" s="1"/>
  <c r="BB7" i="14" s="1"/>
  <c r="BC7" i="14" s="1"/>
  <c r="BD7" i="14" s="1"/>
  <c r="BE7" i="14" s="1"/>
  <c r="BF7" i="14" s="1"/>
  <c r="BG7" i="14" s="1"/>
  <c r="BH7" i="14" s="1"/>
  <c r="BI7" i="14" s="1"/>
  <c r="BJ7" i="14" s="1"/>
  <c r="BK7" i="14" s="1"/>
  <c r="BL7" i="14" s="1"/>
  <c r="BM7" i="14" s="1"/>
  <c r="BN7" i="14" s="1"/>
  <c r="BO7" i="14" s="1"/>
  <c r="BP7" i="14" s="1"/>
  <c r="BQ7" i="14" s="1"/>
  <c r="BR7" i="14" s="1"/>
  <c r="BS7" i="14" s="1"/>
  <c r="BT7" i="14" s="1"/>
  <c r="BU7" i="14" s="1"/>
  <c r="BV7" i="14" s="1"/>
  <c r="BW7" i="14" s="1"/>
  <c r="BX7" i="14" s="1"/>
  <c r="BY7" i="14" s="1"/>
  <c r="BZ7" i="14" s="1"/>
  <c r="CA7" i="14" s="1"/>
  <c r="CB7" i="14" s="1"/>
  <c r="CC7" i="14" s="1"/>
  <c r="CD7" i="14" s="1"/>
  <c r="CE7" i="14" s="1"/>
  <c r="J7" i="14"/>
  <c r="K7" i="14" s="1"/>
  <c r="L7" i="14" s="1"/>
  <c r="M7" i="14" s="1"/>
  <c r="N7" i="14" s="1"/>
  <c r="O7" i="14" s="1"/>
  <c r="P7" i="14" s="1"/>
  <c r="Q7" i="14" s="1"/>
  <c r="R7" i="14" s="1"/>
  <c r="S7" i="14" s="1"/>
  <c r="T7" i="14" s="1"/>
  <c r="U7" i="14" s="1"/>
  <c r="V7" i="14" s="1"/>
  <c r="W7" i="14" s="1"/>
  <c r="X7" i="14" s="1"/>
  <c r="Y7" i="14" s="1"/>
  <c r="Z7" i="14" s="1"/>
  <c r="AA7" i="14" s="1"/>
  <c r="AB7" i="14" s="1"/>
  <c r="I7" i="14"/>
  <c r="P20" i="10"/>
  <c r="P19" i="10"/>
  <c r="O18" i="10"/>
  <c r="N18" i="10"/>
  <c r="O11" i="10"/>
  <c r="N11" i="10"/>
  <c r="P11" i="10" s="1"/>
  <c r="P10" i="10"/>
  <c r="P9" i="10"/>
  <c r="P8" i="10"/>
  <c r="H8" i="10"/>
  <c r="G8" i="10"/>
  <c r="F8" i="10"/>
  <c r="E8" i="10"/>
  <c r="B8" i="10"/>
  <c r="P7" i="10"/>
  <c r="P6" i="10"/>
  <c r="H6" i="10"/>
  <c r="P5" i="10"/>
  <c r="H5" i="10"/>
  <c r="P4" i="10"/>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C72" i="6"/>
  <c r="E70" i="6"/>
  <c r="D70" i="6"/>
  <c r="D69" i="6"/>
  <c r="E69" i="6" s="1"/>
  <c r="D67" i="6"/>
  <c r="E67" i="6" s="1"/>
  <c r="D66" i="6"/>
  <c r="E66" i="6" s="1"/>
  <c r="D65" i="6"/>
  <c r="E65" i="6" s="1"/>
  <c r="D64" i="6"/>
  <c r="E64" i="6" s="1"/>
  <c r="D63" i="6"/>
  <c r="E63" i="6" s="1"/>
  <c r="D62" i="6"/>
  <c r="E62" i="6" s="1"/>
  <c r="D61" i="6"/>
  <c r="E61" i="6" s="1"/>
  <c r="D59" i="6"/>
  <c r="E59" i="6" s="1"/>
  <c r="D58" i="6"/>
  <c r="E58" i="6" s="1"/>
  <c r="E57" i="6"/>
  <c r="D57" i="6"/>
  <c r="D56" i="6"/>
  <c r="E56" i="6" s="1"/>
  <c r="D55" i="6"/>
  <c r="E55" i="6" s="1"/>
  <c r="E54" i="6"/>
  <c r="D54" i="6"/>
  <c r="D52" i="6"/>
  <c r="E52" i="6" s="1"/>
  <c r="D51" i="6"/>
  <c r="E51" i="6" s="1"/>
  <c r="D50" i="6"/>
  <c r="E50" i="6" s="1"/>
  <c r="D49" i="6"/>
  <c r="E49" i="6" s="1"/>
  <c r="E48" i="6"/>
  <c r="D48" i="6"/>
  <c r="E46" i="6"/>
  <c r="E47" i="6" s="1"/>
  <c r="D46" i="6"/>
  <c r="D45" i="6"/>
  <c r="E45" i="6" s="1"/>
  <c r="D44" i="6"/>
  <c r="E44" i="6" s="1"/>
  <c r="C25" i="6"/>
  <c r="Q30" i="4"/>
  <c r="P30" i="4"/>
  <c r="Q29" i="4"/>
  <c r="P29" i="4"/>
  <c r="Q28" i="4"/>
  <c r="P28" i="4"/>
  <c r="Q27" i="4"/>
  <c r="J21" i="4"/>
  <c r="K20" i="4"/>
  <c r="K19" i="4"/>
  <c r="K18" i="4"/>
  <c r="K17" i="4"/>
  <c r="K16" i="4"/>
  <c r="K15" i="4"/>
  <c r="K14" i="4"/>
  <c r="K13" i="4"/>
  <c r="K12" i="4"/>
  <c r="K11" i="4"/>
  <c r="K10" i="4"/>
  <c r="K9" i="4"/>
  <c r="K8" i="4"/>
  <c r="K7" i="4"/>
  <c r="K6" i="4"/>
  <c r="K21" i="4" s="1"/>
  <c r="AE5" i="2"/>
  <c r="AF5" i="2" s="1"/>
  <c r="AG5" i="2" s="1"/>
  <c r="AH5" i="2" s="1"/>
  <c r="AI5" i="2" s="1"/>
  <c r="AJ5" i="2" s="1"/>
  <c r="AK5" i="2" s="1"/>
  <c r="AL5" i="2" s="1"/>
  <c r="AM5" i="2" s="1"/>
  <c r="AN5" i="2" s="1"/>
  <c r="AO5" i="2" s="1"/>
  <c r="AP5" i="2" s="1"/>
  <c r="AQ5" i="2" s="1"/>
  <c r="AR5" i="2" s="1"/>
  <c r="AS5" i="2" s="1"/>
  <c r="AT5" i="2" s="1"/>
  <c r="AU5" i="2" s="1"/>
  <c r="AV5" i="2" s="1"/>
  <c r="AW5" i="2" s="1"/>
  <c r="AX5" i="2" s="1"/>
  <c r="AY5" i="2" s="1"/>
  <c r="AZ5" i="2" s="1"/>
  <c r="BA5" i="2" s="1"/>
  <c r="BB5" i="2" s="1"/>
  <c r="BC5" i="2" s="1"/>
  <c r="BD5" i="2" s="1"/>
  <c r="BE5" i="2" s="1"/>
  <c r="BF5" i="2" s="1"/>
  <c r="BG5" i="2" s="1"/>
  <c r="BH5" i="2" s="1"/>
  <c r="BI5" i="2" s="1"/>
  <c r="BJ5" i="2" s="1"/>
  <c r="BK5" i="2" s="1"/>
  <c r="BL5" i="2" s="1"/>
  <c r="BM5" i="2" s="1"/>
  <c r="BN5" i="2" s="1"/>
  <c r="BO5" i="2" s="1"/>
  <c r="BP5" i="2" s="1"/>
  <c r="BQ5" i="2" s="1"/>
  <c r="BR5" i="2" s="1"/>
  <c r="BS5" i="2" s="1"/>
  <c r="BT5" i="2" s="1"/>
  <c r="BU5" i="2" s="1"/>
  <c r="BW5" i="2" s="1"/>
  <c r="BX5" i="2" s="1"/>
  <c r="BY5" i="2" s="1"/>
  <c r="BZ5" i="2" s="1"/>
  <c r="CA5" i="2" s="1"/>
  <c r="CB5" i="2" s="1"/>
  <c r="CC5" i="2" s="1"/>
  <c r="CE5" i="2" s="1"/>
  <c r="CF5" i="2" s="1"/>
  <c r="CG5" i="2" s="1"/>
  <c r="CH5" i="2" s="1"/>
  <c r="CI5" i="2" s="1"/>
  <c r="CJ5" i="2" s="1"/>
  <c r="CK5" i="2" s="1"/>
  <c r="CL5" i="2" s="1"/>
  <c r="CM5" i="2" s="1"/>
  <c r="AB5" i="2"/>
  <c r="AC5" i="2" s="1"/>
  <c r="AD5" i="2" s="1"/>
  <c r="Z5" i="2"/>
  <c r="AA5" i="2" s="1"/>
  <c r="Y5" i="2"/>
  <c r="X5" i="2"/>
  <c r="P4" i="2"/>
  <c r="Q3" i="2"/>
  <c r="Q4" i="2" s="1"/>
  <c r="O3" i="2"/>
  <c r="O4" i="2" s="1"/>
  <c r="AI5" i="1"/>
  <c r="AJ5" i="1" s="1"/>
  <c r="AK5" i="1" s="1"/>
  <c r="AL5" i="1" s="1"/>
  <c r="AM5" i="1" s="1"/>
  <c r="AN5" i="1" s="1"/>
  <c r="AO5" i="1" s="1"/>
  <c r="AP5" i="1" s="1"/>
  <c r="AQ5" i="1" s="1"/>
  <c r="AR5" i="1" s="1"/>
  <c r="AS5" i="1" s="1"/>
  <c r="AT5" i="1" s="1"/>
  <c r="AU5" i="1" s="1"/>
  <c r="AV5" i="1" s="1"/>
  <c r="AW5" i="1" s="1"/>
  <c r="AX5" i="1" s="1"/>
  <c r="AY5" i="1" s="1"/>
  <c r="AZ5" i="1" s="1"/>
  <c r="BA5" i="1" s="1"/>
  <c r="BB5" i="1" s="1"/>
  <c r="BC5" i="1" s="1"/>
  <c r="BD5" i="1" s="1"/>
  <c r="BE5" i="1" s="1"/>
  <c r="BF5" i="1" s="1"/>
  <c r="BG5" i="1" s="1"/>
  <c r="BH5" i="1" s="1"/>
  <c r="BI5" i="1" s="1"/>
  <c r="BJ5" i="1" s="1"/>
  <c r="BK5" i="1" s="1"/>
  <c r="BL5" i="1" s="1"/>
  <c r="BM5" i="1" s="1"/>
  <c r="BN5" i="1" s="1"/>
  <c r="BO5" i="1" s="1"/>
  <c r="BP5" i="1" s="1"/>
  <c r="BQ5" i="1" s="1"/>
  <c r="BR5" i="1" s="1"/>
  <c r="BS5" i="1" s="1"/>
  <c r="BT5" i="1" s="1"/>
  <c r="BU5" i="1" s="1"/>
  <c r="BV5" i="1" s="1"/>
  <c r="BW5" i="1" s="1"/>
  <c r="BX5" i="1" s="1"/>
  <c r="BY5" i="1" s="1"/>
  <c r="BZ5" i="1" s="1"/>
  <c r="CA5" i="1" s="1"/>
  <c r="CB5" i="1" s="1"/>
  <c r="CC5" i="1" s="1"/>
  <c r="CD5" i="1" s="1"/>
  <c r="Y5" i="1"/>
  <c r="Z5" i="1" s="1"/>
  <c r="AA5" i="1" s="1"/>
  <c r="AB5" i="1" s="1"/>
  <c r="AC5" i="1" s="1"/>
  <c r="AD5" i="1" s="1"/>
  <c r="AE5" i="1" s="1"/>
  <c r="AF5" i="1" s="1"/>
  <c r="AG5" i="1" s="1"/>
  <c r="AH5" i="1" s="1"/>
  <c r="Q5" i="1"/>
  <c r="R5" i="1" s="1"/>
  <c r="S5" i="1" s="1"/>
  <c r="T5" i="1" s="1"/>
  <c r="U5" i="1" s="1"/>
  <c r="V5" i="1" s="1"/>
  <c r="W5" i="1" s="1"/>
  <c r="X5" i="1" s="1"/>
  <c r="I4" i="1"/>
  <c r="K3" i="1"/>
  <c r="L3" i="1" s="1"/>
  <c r="J3" i="1"/>
  <c r="J4" i="1" s="1"/>
  <c r="H3" i="1"/>
  <c r="H4" i="1" s="1"/>
  <c r="G3" i="1"/>
  <c r="G4" i="1" s="1"/>
  <c r="F3" i="1"/>
  <c r="E3" i="1"/>
  <c r="T182" i="5"/>
  <c r="T181" i="5"/>
  <c r="T180" i="5"/>
  <c r="T179" i="5"/>
  <c r="T178" i="5"/>
  <c r="T177" i="5"/>
  <c r="T176" i="5"/>
  <c r="HE175" i="5"/>
  <c r="HD175" i="5"/>
  <c r="HC175" i="5"/>
  <c r="HB175" i="5"/>
  <c r="HA175" i="5"/>
  <c r="GZ175" i="5"/>
  <c r="GY175" i="5"/>
  <c r="GX175" i="5"/>
  <c r="GW175" i="5"/>
  <c r="GV175" i="5"/>
  <c r="GU175" i="5"/>
  <c r="GT175" i="5"/>
  <c r="GS175" i="5"/>
  <c r="GR175" i="5"/>
  <c r="GQ175" i="5"/>
  <c r="GP175" i="5"/>
  <c r="T175" i="5"/>
  <c r="HE174" i="5"/>
  <c r="HD174" i="5"/>
  <c r="HC174" i="5"/>
  <c r="HB174" i="5"/>
  <c r="HA174" i="5"/>
  <c r="GZ174" i="5"/>
  <c r="GY174" i="5"/>
  <c r="GX174" i="5"/>
  <c r="GW174" i="5"/>
  <c r="GV174" i="5"/>
  <c r="GU174" i="5"/>
  <c r="GT174" i="5"/>
  <c r="GS174" i="5"/>
  <c r="GR174" i="5"/>
  <c r="GQ174" i="5"/>
  <c r="GP174" i="5"/>
  <c r="T174" i="5"/>
  <c r="HE173" i="5"/>
  <c r="HD173" i="5"/>
  <c r="HC173" i="5"/>
  <c r="HB173" i="5"/>
  <c r="HA173" i="5"/>
  <c r="GZ173" i="5"/>
  <c r="GY173" i="5"/>
  <c r="GX173" i="5"/>
  <c r="GW173" i="5"/>
  <c r="GV173" i="5"/>
  <c r="GU173" i="5"/>
  <c r="GT173" i="5"/>
  <c r="GS173" i="5"/>
  <c r="GR173" i="5"/>
  <c r="GQ173" i="5"/>
  <c r="GP173" i="5"/>
  <c r="AA173" i="5"/>
  <c r="W173" i="5"/>
  <c r="U173" i="5"/>
  <c r="T173" i="5"/>
  <c r="P173" i="5"/>
  <c r="O173" i="5"/>
  <c r="N173" i="5"/>
  <c r="AA172" i="5"/>
  <c r="W172" i="5"/>
  <c r="V172" i="5"/>
  <c r="U172" i="5"/>
  <c r="T172" i="5"/>
  <c r="S172" i="5"/>
  <c r="P172" i="5"/>
  <c r="O172" i="5"/>
  <c r="AB172" i="5" s="1"/>
  <c r="N172" i="5"/>
  <c r="HE171" i="5"/>
  <c r="HD171" i="5"/>
  <c r="HC171" i="5"/>
  <c r="HB171" i="5"/>
  <c r="HA171" i="5"/>
  <c r="GZ171" i="5"/>
  <c r="GY171" i="5"/>
  <c r="GX171" i="5"/>
  <c r="GW171" i="5"/>
  <c r="GV171" i="5"/>
  <c r="S171" i="5" s="1"/>
  <c r="GU171" i="5"/>
  <c r="GT171" i="5"/>
  <c r="GS171" i="5"/>
  <c r="GR171" i="5"/>
  <c r="GQ171" i="5"/>
  <c r="GP171" i="5"/>
  <c r="AB171" i="5"/>
  <c r="R171" i="5" s="1"/>
  <c r="AA171" i="5"/>
  <c r="W171" i="5"/>
  <c r="U171" i="5"/>
  <c r="T171" i="5"/>
  <c r="P171" i="5"/>
  <c r="O171" i="5"/>
  <c r="V171" i="5" s="1"/>
  <c r="N171" i="5"/>
  <c r="HE170" i="5"/>
  <c r="HD170" i="5"/>
  <c r="HC170" i="5"/>
  <c r="HB170" i="5"/>
  <c r="HA170" i="5"/>
  <c r="GZ170" i="5"/>
  <c r="GY170" i="5"/>
  <c r="GX170" i="5"/>
  <c r="GW170" i="5"/>
  <c r="GV170" i="5"/>
  <c r="GU170" i="5"/>
  <c r="GT170" i="5"/>
  <c r="GS170" i="5"/>
  <c r="V170" i="5" s="1"/>
  <c r="GR170" i="5"/>
  <c r="GQ170" i="5"/>
  <c r="GP170" i="5"/>
  <c r="AA170" i="5"/>
  <c r="W170" i="5"/>
  <c r="U170" i="5"/>
  <c r="T170" i="5"/>
  <c r="R170" i="5"/>
  <c r="Q170" i="5"/>
  <c r="HE169" i="5"/>
  <c r="HD169" i="5"/>
  <c r="HC169" i="5"/>
  <c r="HB169" i="5"/>
  <c r="HA169" i="5"/>
  <c r="GZ169" i="5"/>
  <c r="GY169" i="5"/>
  <c r="GX169" i="5"/>
  <c r="GW169" i="5"/>
  <c r="GV169" i="5"/>
  <c r="GU169" i="5"/>
  <c r="GT169" i="5"/>
  <c r="GS169" i="5"/>
  <c r="GR169" i="5"/>
  <c r="GQ169" i="5"/>
  <c r="S169" i="5" s="1"/>
  <c r="GP169" i="5"/>
  <c r="AA169" i="5"/>
  <c r="W169" i="5"/>
  <c r="V169" i="5"/>
  <c r="U169" i="5"/>
  <c r="T169" i="5"/>
  <c r="P169" i="5"/>
  <c r="O169" i="5"/>
  <c r="AB169" i="5" s="1"/>
  <c r="N169" i="5"/>
  <c r="HE168" i="5"/>
  <c r="HD168" i="5"/>
  <c r="HC168" i="5"/>
  <c r="HB168" i="5"/>
  <c r="HA168" i="5"/>
  <c r="GZ168" i="5"/>
  <c r="GY168" i="5"/>
  <c r="GX168" i="5"/>
  <c r="GW168" i="5"/>
  <c r="GV168" i="5"/>
  <c r="GU168" i="5"/>
  <c r="GT168" i="5"/>
  <c r="GS168" i="5"/>
  <c r="GR168" i="5"/>
  <c r="GQ168" i="5"/>
  <c r="GP168" i="5"/>
  <c r="AB168" i="5"/>
  <c r="R168" i="5" s="1"/>
  <c r="AA168" i="5"/>
  <c r="W168" i="5"/>
  <c r="V168" i="5"/>
  <c r="U168" i="5"/>
  <c r="T168" i="5"/>
  <c r="S168" i="5"/>
  <c r="Q168" i="5"/>
  <c r="P168" i="5"/>
  <c r="O168" i="5"/>
  <c r="N168" i="5"/>
  <c r="HE167" i="5"/>
  <c r="HD167" i="5"/>
  <c r="HC167" i="5"/>
  <c r="HB167" i="5"/>
  <c r="HA167" i="5"/>
  <c r="GZ167" i="5"/>
  <c r="GY167" i="5"/>
  <c r="GX167" i="5"/>
  <c r="GW167" i="5"/>
  <c r="GV167" i="5"/>
  <c r="GU167" i="5"/>
  <c r="GT167" i="5"/>
  <c r="GS167" i="5"/>
  <c r="S167" i="5" s="1"/>
  <c r="GR167" i="5"/>
  <c r="GQ167" i="5"/>
  <c r="GP167" i="5"/>
  <c r="AB167" i="5"/>
  <c r="AA167" i="5"/>
  <c r="W167" i="5"/>
  <c r="V167" i="5"/>
  <c r="U167" i="5"/>
  <c r="T167" i="5"/>
  <c r="R167" i="5"/>
  <c r="Q167" i="5"/>
  <c r="P167" i="5"/>
  <c r="O167" i="5"/>
  <c r="N167" i="5"/>
  <c r="HE166" i="5"/>
  <c r="HD166" i="5"/>
  <c r="HC166" i="5"/>
  <c r="HB166" i="5"/>
  <c r="HA166" i="5"/>
  <c r="GZ166" i="5"/>
  <c r="GY166" i="5"/>
  <c r="GX166" i="5"/>
  <c r="GW166" i="5"/>
  <c r="GV166" i="5"/>
  <c r="GU166" i="5"/>
  <c r="GT166" i="5"/>
  <c r="GS166" i="5"/>
  <c r="GR166" i="5"/>
  <c r="S166" i="5" s="1"/>
  <c r="GQ166" i="5"/>
  <c r="GP166" i="5"/>
  <c r="AA166" i="5"/>
  <c r="W166" i="5"/>
  <c r="U166" i="5"/>
  <c r="T166" i="5"/>
  <c r="P166" i="5"/>
  <c r="O166" i="5"/>
  <c r="AB166" i="5" s="1"/>
  <c r="N166" i="5"/>
  <c r="HE165" i="5"/>
  <c r="HD165" i="5"/>
  <c r="HC165" i="5"/>
  <c r="HB165" i="5"/>
  <c r="HA165" i="5"/>
  <c r="GZ165" i="5"/>
  <c r="GY165" i="5"/>
  <c r="GX165" i="5"/>
  <c r="GW165" i="5"/>
  <c r="GV165" i="5"/>
  <c r="GU165" i="5"/>
  <c r="GT165" i="5"/>
  <c r="GS165" i="5"/>
  <c r="GR165" i="5"/>
  <c r="GQ165" i="5"/>
  <c r="S165" i="5" s="1"/>
  <c r="GP165" i="5"/>
  <c r="AA165" i="5"/>
  <c r="W165" i="5"/>
  <c r="U165" i="5"/>
  <c r="T165" i="5"/>
  <c r="R165" i="5"/>
  <c r="P165" i="5"/>
  <c r="O165" i="5"/>
  <c r="AB165" i="5" s="1"/>
  <c r="Q165" i="5" s="1"/>
  <c r="N165" i="5"/>
  <c r="HE164" i="5"/>
  <c r="HD164" i="5"/>
  <c r="HC164" i="5"/>
  <c r="HB164" i="5"/>
  <c r="HA164" i="5"/>
  <c r="GZ164" i="5"/>
  <c r="GY164" i="5"/>
  <c r="GX164" i="5"/>
  <c r="GW164" i="5"/>
  <c r="GV164" i="5"/>
  <c r="GU164" i="5"/>
  <c r="GT164" i="5"/>
  <c r="GS164" i="5"/>
  <c r="GR164" i="5"/>
  <c r="GQ164" i="5"/>
  <c r="S164" i="5" s="1"/>
  <c r="GP164" i="5"/>
  <c r="AA164" i="5"/>
  <c r="W164" i="5"/>
  <c r="U164" i="5"/>
  <c r="T164" i="5"/>
  <c r="P164" i="5"/>
  <c r="O164" i="5"/>
  <c r="N164" i="5"/>
  <c r="HE163" i="5"/>
  <c r="HD163" i="5"/>
  <c r="HC163" i="5"/>
  <c r="HB163" i="5"/>
  <c r="HA163" i="5"/>
  <c r="GZ163" i="5"/>
  <c r="GY163" i="5"/>
  <c r="GX163" i="5"/>
  <c r="GW163" i="5"/>
  <c r="GV163" i="5"/>
  <c r="GU163" i="5"/>
  <c r="GT163" i="5"/>
  <c r="GS163" i="5"/>
  <c r="GR163" i="5"/>
  <c r="GQ163" i="5"/>
  <c r="S163" i="5" s="1"/>
  <c r="GP163" i="5"/>
  <c r="AA163" i="5"/>
  <c r="W163" i="5"/>
  <c r="V163" i="5"/>
  <c r="U163" i="5"/>
  <c r="T163" i="5"/>
  <c r="P163" i="5"/>
  <c r="O163" i="5"/>
  <c r="AB163" i="5" s="1"/>
  <c r="N163" i="5"/>
  <c r="HE162" i="5"/>
  <c r="HD162" i="5"/>
  <c r="HC162" i="5"/>
  <c r="HB162" i="5"/>
  <c r="HA162" i="5"/>
  <c r="GZ162" i="5"/>
  <c r="GY162" i="5"/>
  <c r="GX162" i="5"/>
  <c r="GW162" i="5"/>
  <c r="GV162" i="5"/>
  <c r="S162" i="5" s="1"/>
  <c r="GU162" i="5"/>
  <c r="GT162" i="5"/>
  <c r="GS162" i="5"/>
  <c r="GR162" i="5"/>
  <c r="GQ162" i="5"/>
  <c r="GP162" i="5"/>
  <c r="AB162" i="5"/>
  <c r="R162" i="5" s="1"/>
  <c r="AA162" i="5"/>
  <c r="W162" i="5"/>
  <c r="U162" i="5"/>
  <c r="T162" i="5"/>
  <c r="P162" i="5"/>
  <c r="O162" i="5"/>
  <c r="V162" i="5" s="1"/>
  <c r="N162" i="5"/>
  <c r="HE161" i="5"/>
  <c r="HD161" i="5"/>
  <c r="HC161" i="5"/>
  <c r="HB161" i="5"/>
  <c r="HA161" i="5"/>
  <c r="GZ161" i="5"/>
  <c r="GY161" i="5"/>
  <c r="GX161" i="5"/>
  <c r="GW161" i="5"/>
  <c r="GV161" i="5"/>
  <c r="GU161" i="5"/>
  <c r="GT161" i="5"/>
  <c r="GS161" i="5"/>
  <c r="GR161" i="5"/>
  <c r="GQ161" i="5"/>
  <c r="S161" i="5" s="1"/>
  <c r="GP161" i="5"/>
  <c r="AA161" i="5"/>
  <c r="W161" i="5"/>
  <c r="V161" i="5"/>
  <c r="U161" i="5"/>
  <c r="T161" i="5"/>
  <c r="P161" i="5"/>
  <c r="O161" i="5"/>
  <c r="AB161" i="5" s="1"/>
  <c r="N161" i="5"/>
  <c r="HE160" i="5"/>
  <c r="HD160" i="5"/>
  <c r="HC160" i="5"/>
  <c r="HB160" i="5"/>
  <c r="HA160" i="5"/>
  <c r="GZ160" i="5"/>
  <c r="GY160" i="5"/>
  <c r="GX160" i="5"/>
  <c r="GW160" i="5"/>
  <c r="GV160" i="5"/>
  <c r="GU160" i="5"/>
  <c r="GT160" i="5"/>
  <c r="GS160" i="5"/>
  <c r="GR160" i="5"/>
  <c r="GQ160" i="5"/>
  <c r="GP160" i="5"/>
  <c r="S160" i="5" s="1"/>
  <c r="AB160" i="5"/>
  <c r="R160" i="5" s="1"/>
  <c r="AA160" i="5"/>
  <c r="W160" i="5"/>
  <c r="V160" i="5"/>
  <c r="U160" i="5"/>
  <c r="T160" i="5"/>
  <c r="Q160" i="5"/>
  <c r="P160" i="5"/>
  <c r="O160" i="5"/>
  <c r="N160" i="5"/>
  <c r="HE159" i="5"/>
  <c r="HD159" i="5"/>
  <c r="HC159" i="5"/>
  <c r="HB159" i="5"/>
  <c r="HA159" i="5"/>
  <c r="GZ159" i="5"/>
  <c r="GY159" i="5"/>
  <c r="GX159" i="5"/>
  <c r="GW159" i="5"/>
  <c r="GV159" i="5"/>
  <c r="GU159" i="5"/>
  <c r="GT159" i="5"/>
  <c r="GS159" i="5"/>
  <c r="GR159" i="5"/>
  <c r="GQ159" i="5"/>
  <c r="GP159" i="5"/>
  <c r="AB159" i="5"/>
  <c r="AA159" i="5"/>
  <c r="W159" i="5"/>
  <c r="V159" i="5"/>
  <c r="U159" i="5"/>
  <c r="T159" i="5"/>
  <c r="R159" i="5"/>
  <c r="Q159" i="5"/>
  <c r="P159" i="5"/>
  <c r="O159" i="5"/>
  <c r="N159" i="5"/>
  <c r="HE158" i="5"/>
  <c r="HD158" i="5"/>
  <c r="HC158" i="5"/>
  <c r="HB158" i="5"/>
  <c r="HA158" i="5"/>
  <c r="GZ158" i="5"/>
  <c r="GY158" i="5"/>
  <c r="GX158" i="5"/>
  <c r="GW158" i="5"/>
  <c r="GV158" i="5"/>
  <c r="GU158" i="5"/>
  <c r="GT158" i="5"/>
  <c r="GS158" i="5"/>
  <c r="GR158" i="5"/>
  <c r="S158" i="5" s="1"/>
  <c r="GQ158" i="5"/>
  <c r="GP158" i="5"/>
  <c r="AA158" i="5"/>
  <c r="W158" i="5"/>
  <c r="U158" i="5"/>
  <c r="T158" i="5"/>
  <c r="P158" i="5"/>
  <c r="O158" i="5"/>
  <c r="N158" i="5"/>
  <c r="HE157" i="5"/>
  <c r="HD157" i="5"/>
  <c r="HC157" i="5"/>
  <c r="HB157" i="5"/>
  <c r="HA157" i="5"/>
  <c r="GZ157" i="5"/>
  <c r="GY157" i="5"/>
  <c r="GX157" i="5"/>
  <c r="GW157" i="5"/>
  <c r="GV157" i="5"/>
  <c r="GU157" i="5"/>
  <c r="GT157" i="5"/>
  <c r="GS157" i="5"/>
  <c r="GR157" i="5"/>
  <c r="GQ157" i="5"/>
  <c r="GP157" i="5"/>
  <c r="AA157" i="5"/>
  <c r="W157" i="5"/>
  <c r="U157" i="5"/>
  <c r="T157" i="5"/>
  <c r="R157" i="5"/>
  <c r="P157" i="5"/>
  <c r="O157" i="5"/>
  <c r="AB157" i="5" s="1"/>
  <c r="Q157" i="5" s="1"/>
  <c r="N157" i="5"/>
  <c r="HE156" i="5"/>
  <c r="HD156" i="5"/>
  <c r="HC156" i="5"/>
  <c r="HB156" i="5"/>
  <c r="HA156" i="5"/>
  <c r="GZ156" i="5"/>
  <c r="GY156" i="5"/>
  <c r="GX156" i="5"/>
  <c r="GW156" i="5"/>
  <c r="GV156" i="5"/>
  <c r="GU156" i="5"/>
  <c r="GT156" i="5"/>
  <c r="GS156" i="5"/>
  <c r="GR156" i="5"/>
  <c r="GQ156" i="5"/>
  <c r="GP156" i="5"/>
  <c r="AB156" i="5"/>
  <c r="R156" i="5" s="1"/>
  <c r="AA156" i="5"/>
  <c r="W156" i="5"/>
  <c r="U156" i="5"/>
  <c r="T156" i="5"/>
  <c r="P156" i="5"/>
  <c r="O156" i="5"/>
  <c r="V156" i="5" s="1"/>
  <c r="N156" i="5"/>
  <c r="HE155" i="5"/>
  <c r="HD155" i="5"/>
  <c r="HC155" i="5"/>
  <c r="HB155" i="5"/>
  <c r="HA155" i="5"/>
  <c r="GZ155" i="5"/>
  <c r="GY155" i="5"/>
  <c r="GX155" i="5"/>
  <c r="GW155" i="5"/>
  <c r="GV155" i="5"/>
  <c r="GU155" i="5"/>
  <c r="GT155" i="5"/>
  <c r="GS155" i="5"/>
  <c r="GR155" i="5"/>
  <c r="GQ155" i="5"/>
  <c r="GP155" i="5"/>
  <c r="AA155" i="5"/>
  <c r="W155" i="5"/>
  <c r="V155" i="5"/>
  <c r="U155" i="5"/>
  <c r="T155" i="5"/>
  <c r="R155" i="5"/>
  <c r="P155" i="5"/>
  <c r="O155" i="5"/>
  <c r="AB155" i="5" s="1"/>
  <c r="Q155" i="5" s="1"/>
  <c r="N155" i="5"/>
  <c r="HE154" i="5"/>
  <c r="HD154" i="5"/>
  <c r="HC154" i="5"/>
  <c r="HB154" i="5"/>
  <c r="HA154" i="5"/>
  <c r="GZ154" i="5"/>
  <c r="GY154" i="5"/>
  <c r="GX154" i="5"/>
  <c r="GW154" i="5"/>
  <c r="GV154" i="5"/>
  <c r="GU154" i="5"/>
  <c r="GT154" i="5"/>
  <c r="GS154" i="5"/>
  <c r="GR154" i="5"/>
  <c r="GQ154" i="5"/>
  <c r="GP154" i="5"/>
  <c r="S154" i="5" s="1"/>
  <c r="AA154" i="5"/>
  <c r="W154" i="5"/>
  <c r="U154" i="5"/>
  <c r="T154" i="5"/>
  <c r="P154" i="5"/>
  <c r="O154" i="5"/>
  <c r="V154" i="5" s="1"/>
  <c r="N154" i="5"/>
  <c r="HE153" i="5"/>
  <c r="HD153" i="5"/>
  <c r="HC153" i="5"/>
  <c r="HB153" i="5"/>
  <c r="HA153" i="5"/>
  <c r="GZ153" i="5"/>
  <c r="GY153" i="5"/>
  <c r="GX153" i="5"/>
  <c r="GW153" i="5"/>
  <c r="GV153" i="5"/>
  <c r="GU153" i="5"/>
  <c r="GT153" i="5"/>
  <c r="GS153" i="5"/>
  <c r="GR153" i="5"/>
  <c r="GQ153" i="5"/>
  <c r="GP153" i="5"/>
  <c r="AA153" i="5"/>
  <c r="W153" i="5"/>
  <c r="U153" i="5"/>
  <c r="T153" i="5"/>
  <c r="P153" i="5"/>
  <c r="O153" i="5"/>
  <c r="V153" i="5" s="1"/>
  <c r="N153" i="5"/>
  <c r="HE152" i="5"/>
  <c r="HD152" i="5"/>
  <c r="HC152" i="5"/>
  <c r="HB152" i="5"/>
  <c r="HA152" i="5"/>
  <c r="GZ152" i="5"/>
  <c r="GY152" i="5"/>
  <c r="GX152" i="5"/>
  <c r="GW152" i="5"/>
  <c r="GV152" i="5"/>
  <c r="GU152" i="5"/>
  <c r="GT152" i="5"/>
  <c r="GS152" i="5"/>
  <c r="GR152" i="5"/>
  <c r="GQ152" i="5"/>
  <c r="S152" i="5" s="1"/>
  <c r="GP152" i="5"/>
  <c r="AB152" i="5"/>
  <c r="R152" i="5" s="1"/>
  <c r="AA152" i="5"/>
  <c r="W152" i="5"/>
  <c r="U152" i="5"/>
  <c r="T152" i="5"/>
  <c r="P152" i="5"/>
  <c r="O152" i="5"/>
  <c r="V152" i="5" s="1"/>
  <c r="N152" i="5"/>
  <c r="HE151" i="5"/>
  <c r="HD151" i="5"/>
  <c r="HC151" i="5"/>
  <c r="HB151" i="5"/>
  <c r="HA151" i="5"/>
  <c r="GZ151" i="5"/>
  <c r="GY151" i="5"/>
  <c r="GX151" i="5"/>
  <c r="GW151" i="5"/>
  <c r="GV151" i="5"/>
  <c r="GU151" i="5"/>
  <c r="GT151" i="5"/>
  <c r="GS151" i="5"/>
  <c r="GR151" i="5"/>
  <c r="GQ151" i="5"/>
  <c r="S151" i="5" s="1"/>
  <c r="GP151" i="5"/>
  <c r="AB151" i="5"/>
  <c r="R151" i="5" s="1"/>
  <c r="AA151" i="5"/>
  <c r="W151" i="5"/>
  <c r="V151" i="5"/>
  <c r="U151" i="5"/>
  <c r="T151" i="5"/>
  <c r="Q151" i="5"/>
  <c r="P151" i="5"/>
  <c r="O151" i="5"/>
  <c r="N151" i="5"/>
  <c r="HE150" i="5"/>
  <c r="HD150" i="5"/>
  <c r="HC150" i="5"/>
  <c r="HB150" i="5"/>
  <c r="HA150" i="5"/>
  <c r="GZ150" i="5"/>
  <c r="GY150" i="5"/>
  <c r="GX150" i="5"/>
  <c r="GW150" i="5"/>
  <c r="GV150" i="5"/>
  <c r="GU150" i="5"/>
  <c r="GT150" i="5"/>
  <c r="GS150" i="5"/>
  <c r="GR150" i="5"/>
  <c r="GQ150" i="5"/>
  <c r="GP150" i="5"/>
  <c r="S150" i="5" s="1"/>
  <c r="AA150" i="5"/>
  <c r="W150" i="5"/>
  <c r="V150" i="5"/>
  <c r="U150" i="5"/>
  <c r="T150" i="5"/>
  <c r="P150" i="5"/>
  <c r="O150" i="5"/>
  <c r="AB150" i="5" s="1"/>
  <c r="N150" i="5"/>
  <c r="HE149" i="5"/>
  <c r="HD149" i="5"/>
  <c r="HC149" i="5"/>
  <c r="HB149" i="5"/>
  <c r="HA149" i="5"/>
  <c r="GZ149" i="5"/>
  <c r="GY149" i="5"/>
  <c r="GX149" i="5"/>
  <c r="GW149" i="5"/>
  <c r="GV149" i="5"/>
  <c r="GU149" i="5"/>
  <c r="S149" i="5" s="1"/>
  <c r="GT149" i="5"/>
  <c r="GS149" i="5"/>
  <c r="GR149" i="5"/>
  <c r="GQ149" i="5"/>
  <c r="GP149" i="5"/>
  <c r="AB149" i="5"/>
  <c r="R149" i="5" s="1"/>
  <c r="AA149" i="5"/>
  <c r="W149" i="5"/>
  <c r="V149" i="5"/>
  <c r="U149" i="5"/>
  <c r="T149" i="5"/>
  <c r="Q149" i="5"/>
  <c r="P149" i="5"/>
  <c r="O149" i="5"/>
  <c r="N149" i="5"/>
  <c r="HE148" i="5"/>
  <c r="HD148" i="5"/>
  <c r="HC148" i="5"/>
  <c r="HB148" i="5"/>
  <c r="HA148" i="5"/>
  <c r="GZ148" i="5"/>
  <c r="GY148" i="5"/>
  <c r="GX148" i="5"/>
  <c r="GW148" i="5"/>
  <c r="GV148" i="5"/>
  <c r="GU148" i="5"/>
  <c r="GT148" i="5"/>
  <c r="GS148" i="5"/>
  <c r="GR148" i="5"/>
  <c r="S148" i="5" s="1"/>
  <c r="GQ148" i="5"/>
  <c r="GP148" i="5"/>
  <c r="AB148" i="5"/>
  <c r="R148" i="5" s="1"/>
  <c r="AA148" i="5"/>
  <c r="W148" i="5"/>
  <c r="V148" i="5"/>
  <c r="U148" i="5"/>
  <c r="T148" i="5"/>
  <c r="Q148" i="5"/>
  <c r="P148" i="5"/>
  <c r="O148" i="5"/>
  <c r="N148" i="5"/>
  <c r="HE147" i="5"/>
  <c r="HD147" i="5"/>
  <c r="HC147" i="5"/>
  <c r="HB147" i="5"/>
  <c r="HA147" i="5"/>
  <c r="GZ147" i="5"/>
  <c r="GY147" i="5"/>
  <c r="GX147" i="5"/>
  <c r="GW147" i="5"/>
  <c r="GV147" i="5"/>
  <c r="GU147" i="5"/>
  <c r="GT147" i="5"/>
  <c r="GS147" i="5"/>
  <c r="GR147" i="5"/>
  <c r="GQ147" i="5"/>
  <c r="GP147" i="5"/>
  <c r="AB147" i="5"/>
  <c r="R147" i="5" s="1"/>
  <c r="AA147" i="5"/>
  <c r="W147" i="5"/>
  <c r="V147" i="5"/>
  <c r="U147" i="5"/>
  <c r="T147" i="5"/>
  <c r="Q147" i="5"/>
  <c r="P147" i="5"/>
  <c r="O147" i="5"/>
  <c r="N147" i="5"/>
  <c r="HE146" i="5"/>
  <c r="HD146" i="5"/>
  <c r="HC146" i="5"/>
  <c r="HB146" i="5"/>
  <c r="HA146" i="5"/>
  <c r="GZ146" i="5"/>
  <c r="GY146" i="5"/>
  <c r="GX146" i="5"/>
  <c r="GW146" i="5"/>
  <c r="GV146" i="5"/>
  <c r="GU146" i="5"/>
  <c r="GT146" i="5"/>
  <c r="GS146" i="5"/>
  <c r="GR146" i="5"/>
  <c r="GQ146" i="5"/>
  <c r="GP146" i="5"/>
  <c r="AB146" i="5"/>
  <c r="R146" i="5" s="1"/>
  <c r="AA146" i="5"/>
  <c r="W146" i="5"/>
  <c r="U146" i="5"/>
  <c r="T146" i="5"/>
  <c r="P146" i="5"/>
  <c r="O146" i="5"/>
  <c r="V146" i="5" s="1"/>
  <c r="N146" i="5"/>
  <c r="AB145" i="5"/>
  <c r="R145" i="5" s="1"/>
  <c r="AA145" i="5"/>
  <c r="W145" i="5"/>
  <c r="V145" i="5"/>
  <c r="U145" i="5"/>
  <c r="T145" i="5"/>
  <c r="S145" i="5"/>
  <c r="Q145" i="5"/>
  <c r="P145" i="5"/>
  <c r="O145" i="5"/>
  <c r="N145" i="5"/>
  <c r="HE144" i="5"/>
  <c r="HD144" i="5"/>
  <c r="HC144" i="5"/>
  <c r="HB144" i="5"/>
  <c r="HA144" i="5"/>
  <c r="GZ144" i="5"/>
  <c r="GY144" i="5"/>
  <c r="GX144" i="5"/>
  <c r="GW144" i="5"/>
  <c r="GV144" i="5"/>
  <c r="GU144" i="5"/>
  <c r="GT144" i="5"/>
  <c r="GS144" i="5"/>
  <c r="GR144" i="5"/>
  <c r="GQ144" i="5"/>
  <c r="GP144" i="5"/>
  <c r="S144" i="5" s="1"/>
  <c r="AB144" i="5"/>
  <c r="R144" i="5" s="1"/>
  <c r="AA144" i="5"/>
  <c r="W144" i="5"/>
  <c r="V144" i="5"/>
  <c r="U144" i="5"/>
  <c r="T144" i="5"/>
  <c r="Q144" i="5"/>
  <c r="P144" i="5"/>
  <c r="O144" i="5"/>
  <c r="N144" i="5"/>
  <c r="HE143" i="5"/>
  <c r="HD143" i="5"/>
  <c r="HC143" i="5"/>
  <c r="HB143" i="5"/>
  <c r="HA143" i="5"/>
  <c r="GZ143" i="5"/>
  <c r="GY143" i="5"/>
  <c r="GX143" i="5"/>
  <c r="GW143" i="5"/>
  <c r="GV143" i="5"/>
  <c r="GU143" i="5"/>
  <c r="GT143" i="5"/>
  <c r="GS143" i="5"/>
  <c r="GR143" i="5"/>
  <c r="GQ143" i="5"/>
  <c r="GP143" i="5"/>
  <c r="AA143" i="5"/>
  <c r="W143" i="5"/>
  <c r="T143" i="5"/>
  <c r="R143" i="5"/>
  <c r="Q143" i="5"/>
  <c r="HE142" i="5"/>
  <c r="HD142" i="5"/>
  <c r="HC142" i="5"/>
  <c r="HB142" i="5"/>
  <c r="HA142" i="5"/>
  <c r="GZ142" i="5"/>
  <c r="GY142" i="5"/>
  <c r="GX142" i="5"/>
  <c r="GW142" i="5"/>
  <c r="GV142" i="5"/>
  <c r="GU142" i="5"/>
  <c r="GT142" i="5"/>
  <c r="GS142" i="5"/>
  <c r="GR142" i="5"/>
  <c r="GQ142" i="5"/>
  <c r="GP142" i="5"/>
  <c r="S142" i="5" s="1"/>
  <c r="AB142" i="5"/>
  <c r="R142" i="5" s="1"/>
  <c r="AA142" i="5"/>
  <c r="W142" i="5"/>
  <c r="V142" i="5"/>
  <c r="U142" i="5"/>
  <c r="T142" i="5"/>
  <c r="Q142" i="5"/>
  <c r="P142" i="5"/>
  <c r="O142" i="5"/>
  <c r="N142" i="5"/>
  <c r="HE141" i="5"/>
  <c r="HD141" i="5"/>
  <c r="HC141" i="5"/>
  <c r="HB141" i="5"/>
  <c r="HA141" i="5"/>
  <c r="GZ141" i="5"/>
  <c r="GY141" i="5"/>
  <c r="GX141" i="5"/>
  <c r="GW141" i="5"/>
  <c r="GV141" i="5"/>
  <c r="GU141" i="5"/>
  <c r="GT141" i="5"/>
  <c r="GS141" i="5"/>
  <c r="GR141" i="5"/>
  <c r="S141" i="5" s="1"/>
  <c r="GQ141" i="5"/>
  <c r="GP141" i="5"/>
  <c r="AB141" i="5"/>
  <c r="R141" i="5" s="1"/>
  <c r="AA141" i="5"/>
  <c r="W141" i="5"/>
  <c r="V141" i="5"/>
  <c r="U141" i="5"/>
  <c r="T141" i="5"/>
  <c r="Q141" i="5"/>
  <c r="P141" i="5"/>
  <c r="O141" i="5"/>
  <c r="N141" i="5"/>
  <c r="HE140" i="5"/>
  <c r="HD140" i="5"/>
  <c r="HC140" i="5"/>
  <c r="HB140" i="5"/>
  <c r="HA140" i="5"/>
  <c r="GZ140" i="5"/>
  <c r="GY140" i="5"/>
  <c r="GX140" i="5"/>
  <c r="GW140" i="5"/>
  <c r="GV140" i="5"/>
  <c r="GU140" i="5"/>
  <c r="GT140" i="5"/>
  <c r="GS140" i="5"/>
  <c r="GR140" i="5"/>
  <c r="S140" i="5" s="1"/>
  <c r="GQ140" i="5"/>
  <c r="GP140" i="5"/>
  <c r="AA140" i="5"/>
  <c r="W140" i="5"/>
  <c r="V140" i="5"/>
  <c r="U140" i="5"/>
  <c r="T140" i="5"/>
  <c r="P140" i="5"/>
  <c r="O140" i="5"/>
  <c r="AB140" i="5" s="1"/>
  <c r="Q140" i="5" s="1"/>
  <c r="N140" i="5"/>
  <c r="HE139" i="5"/>
  <c r="HD139" i="5"/>
  <c r="HC139" i="5"/>
  <c r="HB139" i="5"/>
  <c r="HA139" i="5"/>
  <c r="GZ139" i="5"/>
  <c r="GY139" i="5"/>
  <c r="GX139" i="5"/>
  <c r="GW139" i="5"/>
  <c r="GV139" i="5"/>
  <c r="GU139" i="5"/>
  <c r="GT139" i="5"/>
  <c r="GS139" i="5"/>
  <c r="GR139" i="5"/>
  <c r="GQ139" i="5"/>
  <c r="GP139" i="5"/>
  <c r="AA139" i="5"/>
  <c r="W139" i="5"/>
  <c r="U139" i="5"/>
  <c r="T139" i="5"/>
  <c r="P139" i="5"/>
  <c r="O139" i="5"/>
  <c r="N139" i="5"/>
  <c r="HE138" i="5"/>
  <c r="HD138" i="5"/>
  <c r="HC138" i="5"/>
  <c r="HB138" i="5"/>
  <c r="HA138" i="5"/>
  <c r="GZ138" i="5"/>
  <c r="GY138" i="5"/>
  <c r="GX138" i="5"/>
  <c r="GW138" i="5"/>
  <c r="GV138" i="5"/>
  <c r="GU138" i="5"/>
  <c r="GT138" i="5"/>
  <c r="GS138" i="5"/>
  <c r="GR138" i="5"/>
  <c r="GQ138" i="5"/>
  <c r="GP138" i="5"/>
  <c r="AA138" i="5"/>
  <c r="W138" i="5"/>
  <c r="U138" i="5"/>
  <c r="T138" i="5"/>
  <c r="P138" i="5"/>
  <c r="O138" i="5"/>
  <c r="N138" i="5"/>
  <c r="HE137" i="5"/>
  <c r="HD137" i="5"/>
  <c r="HC137" i="5"/>
  <c r="HB137" i="5"/>
  <c r="HA137" i="5"/>
  <c r="GZ137" i="5"/>
  <c r="GY137" i="5"/>
  <c r="GX137" i="5"/>
  <c r="GW137" i="5"/>
  <c r="GV137" i="5"/>
  <c r="GU137" i="5"/>
  <c r="GT137" i="5"/>
  <c r="GS137" i="5"/>
  <c r="GR137" i="5"/>
  <c r="GQ137" i="5"/>
  <c r="GP137" i="5"/>
  <c r="AA137" i="5"/>
  <c r="W137" i="5"/>
  <c r="U137" i="5"/>
  <c r="T137" i="5"/>
  <c r="P137" i="5"/>
  <c r="O137" i="5"/>
  <c r="V137" i="5" s="1"/>
  <c r="N137" i="5"/>
  <c r="HE136" i="5"/>
  <c r="HD136" i="5"/>
  <c r="HC136" i="5"/>
  <c r="HB136" i="5"/>
  <c r="HA136" i="5"/>
  <c r="GZ136" i="5"/>
  <c r="GY136" i="5"/>
  <c r="GX136" i="5"/>
  <c r="GW136" i="5"/>
  <c r="GV136" i="5"/>
  <c r="GU136" i="5"/>
  <c r="GT136" i="5"/>
  <c r="GS136" i="5"/>
  <c r="GR136" i="5"/>
  <c r="GQ136" i="5"/>
  <c r="S136" i="5" s="1"/>
  <c r="GP136" i="5"/>
  <c r="AA136" i="5"/>
  <c r="W136" i="5"/>
  <c r="U136" i="5"/>
  <c r="T136" i="5"/>
  <c r="P136" i="5"/>
  <c r="O136" i="5"/>
  <c r="AB136" i="5" s="1"/>
  <c r="N136" i="5"/>
  <c r="HE135" i="5"/>
  <c r="HD135" i="5"/>
  <c r="HC135" i="5"/>
  <c r="HB135" i="5"/>
  <c r="HA135" i="5"/>
  <c r="GZ135" i="5"/>
  <c r="GY135" i="5"/>
  <c r="GX135" i="5"/>
  <c r="GW135" i="5"/>
  <c r="GV135" i="5"/>
  <c r="GU135" i="5"/>
  <c r="GT135" i="5"/>
  <c r="GS135" i="5"/>
  <c r="S135" i="5" s="1"/>
  <c r="GR135" i="5"/>
  <c r="GQ135" i="5"/>
  <c r="GP135" i="5"/>
  <c r="AA135" i="5"/>
  <c r="W135" i="5"/>
  <c r="V135" i="5"/>
  <c r="U135" i="5"/>
  <c r="T135" i="5"/>
  <c r="P135" i="5"/>
  <c r="O135" i="5"/>
  <c r="AB135" i="5" s="1"/>
  <c r="N135" i="5"/>
  <c r="HE134" i="5"/>
  <c r="HD134" i="5"/>
  <c r="HC134" i="5"/>
  <c r="HB134" i="5"/>
  <c r="HA134" i="5"/>
  <c r="GZ134" i="5"/>
  <c r="GY134" i="5"/>
  <c r="GX134" i="5"/>
  <c r="GW134" i="5"/>
  <c r="GV134" i="5"/>
  <c r="GU134" i="5"/>
  <c r="GT134" i="5"/>
  <c r="GS134" i="5"/>
  <c r="GR134" i="5"/>
  <c r="GQ134" i="5"/>
  <c r="GP134" i="5"/>
  <c r="AA134" i="5"/>
  <c r="W134" i="5"/>
  <c r="U134" i="5"/>
  <c r="T134" i="5"/>
  <c r="P134" i="5"/>
  <c r="O134" i="5"/>
  <c r="AB134" i="5" s="1"/>
  <c r="N134" i="5"/>
  <c r="AB133" i="5"/>
  <c r="R133" i="5" s="1"/>
  <c r="AA133" i="5"/>
  <c r="W133" i="5"/>
  <c r="V133" i="5"/>
  <c r="U133" i="5"/>
  <c r="T133" i="5"/>
  <c r="S133" i="5"/>
  <c r="Q133" i="5"/>
  <c r="P133" i="5"/>
  <c r="O133" i="5"/>
  <c r="N133" i="5"/>
  <c r="HE132" i="5"/>
  <c r="HD132" i="5"/>
  <c r="HC132" i="5"/>
  <c r="HB132" i="5"/>
  <c r="HA132" i="5"/>
  <c r="GZ132" i="5"/>
  <c r="GY132" i="5"/>
  <c r="GX132" i="5"/>
  <c r="GW132" i="5"/>
  <c r="GV132" i="5"/>
  <c r="GU132" i="5"/>
  <c r="GT132" i="5"/>
  <c r="GS132" i="5"/>
  <c r="GR132" i="5"/>
  <c r="GQ132" i="5"/>
  <c r="GP132" i="5"/>
  <c r="S132" i="5" s="1"/>
  <c r="AB132" i="5"/>
  <c r="R132" i="5" s="1"/>
  <c r="AA132" i="5"/>
  <c r="W132" i="5"/>
  <c r="V132" i="5"/>
  <c r="U132" i="5"/>
  <c r="T132" i="5"/>
  <c r="Q132" i="5"/>
  <c r="P132" i="5"/>
  <c r="O132" i="5"/>
  <c r="N132" i="5"/>
  <c r="HE131" i="5"/>
  <c r="HD131" i="5"/>
  <c r="HC131" i="5"/>
  <c r="HB131" i="5"/>
  <c r="HA131" i="5"/>
  <c r="GZ131" i="5"/>
  <c r="GY131" i="5"/>
  <c r="GX131" i="5"/>
  <c r="GW131" i="5"/>
  <c r="GV131" i="5"/>
  <c r="GU131" i="5"/>
  <c r="GT131" i="5"/>
  <c r="GS131" i="5"/>
  <c r="GR131" i="5"/>
  <c r="GQ131" i="5"/>
  <c r="GP131" i="5"/>
  <c r="V131" i="5" s="1"/>
  <c r="U131" i="5" s="1"/>
  <c r="AA131" i="5"/>
  <c r="W131" i="5"/>
  <c r="T131" i="5"/>
  <c r="R131" i="5"/>
  <c r="Q131" i="5"/>
  <c r="HE130" i="5"/>
  <c r="HD130" i="5"/>
  <c r="HC130" i="5"/>
  <c r="HB130" i="5"/>
  <c r="HA130" i="5"/>
  <c r="GZ130" i="5"/>
  <c r="GY130" i="5"/>
  <c r="GX130" i="5"/>
  <c r="GW130" i="5"/>
  <c r="GV130" i="5"/>
  <c r="GU130" i="5"/>
  <c r="GT130" i="5"/>
  <c r="GS130" i="5"/>
  <c r="S130" i="5" s="1"/>
  <c r="GR130" i="5"/>
  <c r="GQ130" i="5"/>
  <c r="GP130" i="5"/>
  <c r="AB130" i="5"/>
  <c r="R130" i="5" s="1"/>
  <c r="AA130" i="5"/>
  <c r="W130" i="5"/>
  <c r="V130" i="5"/>
  <c r="U130" i="5"/>
  <c r="T130" i="5"/>
  <c r="Q130" i="5"/>
  <c r="P130" i="5"/>
  <c r="O130" i="5"/>
  <c r="N130" i="5"/>
  <c r="HE129" i="5"/>
  <c r="HD129" i="5"/>
  <c r="HC129" i="5"/>
  <c r="HB129" i="5"/>
  <c r="HA129" i="5"/>
  <c r="GZ129" i="5"/>
  <c r="GY129" i="5"/>
  <c r="GX129" i="5"/>
  <c r="GW129" i="5"/>
  <c r="GV129" i="5"/>
  <c r="GU129" i="5"/>
  <c r="GT129" i="5"/>
  <c r="GS129" i="5"/>
  <c r="GR129" i="5"/>
  <c r="GQ129" i="5"/>
  <c r="GP129" i="5"/>
  <c r="AA129" i="5"/>
  <c r="W129" i="5"/>
  <c r="U129" i="5"/>
  <c r="T129" i="5"/>
  <c r="P129" i="5"/>
  <c r="O129" i="5"/>
  <c r="AB129" i="5" s="1"/>
  <c r="N129" i="5"/>
  <c r="HE128" i="5"/>
  <c r="HD128" i="5"/>
  <c r="HC128" i="5"/>
  <c r="HB128" i="5"/>
  <c r="HA128" i="5"/>
  <c r="GZ128" i="5"/>
  <c r="GY128" i="5"/>
  <c r="GX128" i="5"/>
  <c r="GW128" i="5"/>
  <c r="GV128" i="5"/>
  <c r="GU128" i="5"/>
  <c r="GT128" i="5"/>
  <c r="GS128" i="5"/>
  <c r="GR128" i="5"/>
  <c r="GQ128" i="5"/>
  <c r="S128" i="5" s="1"/>
  <c r="GP128" i="5"/>
  <c r="AB128" i="5"/>
  <c r="AA128" i="5"/>
  <c r="W128" i="5"/>
  <c r="U128" i="5"/>
  <c r="T128" i="5"/>
  <c r="R128" i="5"/>
  <c r="Q128" i="5"/>
  <c r="P128" i="5"/>
  <c r="O128" i="5"/>
  <c r="V128" i="5" s="1"/>
  <c r="N128" i="5"/>
  <c r="HE127" i="5"/>
  <c r="HD127" i="5"/>
  <c r="HC127" i="5"/>
  <c r="HB127" i="5"/>
  <c r="HA127" i="5"/>
  <c r="GZ127" i="5"/>
  <c r="GY127" i="5"/>
  <c r="GX127" i="5"/>
  <c r="GW127" i="5"/>
  <c r="GV127" i="5"/>
  <c r="GU127" i="5"/>
  <c r="GT127" i="5"/>
  <c r="GS127" i="5"/>
  <c r="GR127" i="5"/>
  <c r="GQ127" i="5"/>
  <c r="GP127" i="5"/>
  <c r="AB127" i="5"/>
  <c r="R127" i="5" s="1"/>
  <c r="AA127" i="5"/>
  <c r="W127" i="5"/>
  <c r="V127" i="5"/>
  <c r="U127" i="5"/>
  <c r="T127" i="5"/>
  <c r="Q127" i="5"/>
  <c r="P127" i="5"/>
  <c r="O127" i="5"/>
  <c r="N127" i="5"/>
  <c r="AB126" i="5"/>
  <c r="R126" i="5" s="1"/>
  <c r="AA126" i="5"/>
  <c r="W126" i="5"/>
  <c r="V126" i="5"/>
  <c r="U126" i="5"/>
  <c r="T126" i="5"/>
  <c r="S126" i="5"/>
  <c r="Q126" i="5"/>
  <c r="P126" i="5"/>
  <c r="O126" i="5"/>
  <c r="N126" i="5"/>
  <c r="AA125" i="5"/>
  <c r="W125" i="5"/>
  <c r="V125" i="5"/>
  <c r="U125" i="5"/>
  <c r="T125" i="5"/>
  <c r="S125" i="5"/>
  <c r="P125" i="5"/>
  <c r="O125" i="5"/>
  <c r="AB125" i="5" s="1"/>
  <c r="N125" i="5"/>
  <c r="HE124" i="5"/>
  <c r="HD124" i="5"/>
  <c r="HC124" i="5"/>
  <c r="HB124" i="5"/>
  <c r="HA124" i="5"/>
  <c r="GZ124" i="5"/>
  <c r="GY124" i="5"/>
  <c r="GX124" i="5"/>
  <c r="GW124" i="5"/>
  <c r="GV124" i="5"/>
  <c r="GU124" i="5"/>
  <c r="GT124" i="5"/>
  <c r="GS124" i="5"/>
  <c r="GR124" i="5"/>
  <c r="V124" i="5" s="1"/>
  <c r="GQ124" i="5"/>
  <c r="GP124" i="5"/>
  <c r="AA124" i="5"/>
  <c r="T124" i="5"/>
  <c r="R124" i="5"/>
  <c r="Q124" i="5"/>
  <c r="HE123" i="5"/>
  <c r="HD123" i="5"/>
  <c r="HC123" i="5"/>
  <c r="HB123" i="5"/>
  <c r="HA123" i="5"/>
  <c r="GZ123" i="5"/>
  <c r="GY123" i="5"/>
  <c r="GX123" i="5"/>
  <c r="GW123" i="5"/>
  <c r="GV123" i="5"/>
  <c r="GU123" i="5"/>
  <c r="GT123" i="5"/>
  <c r="GS123" i="5"/>
  <c r="GR123" i="5"/>
  <c r="GQ123" i="5"/>
  <c r="GP123" i="5"/>
  <c r="S123" i="5" s="1"/>
  <c r="AB123" i="5"/>
  <c r="R123" i="5" s="1"/>
  <c r="AA123" i="5"/>
  <c r="W123" i="5"/>
  <c r="V123" i="5"/>
  <c r="U123" i="5"/>
  <c r="T123" i="5"/>
  <c r="Q123" i="5"/>
  <c r="P123" i="5"/>
  <c r="O123" i="5"/>
  <c r="N123" i="5"/>
  <c r="HE122" i="5"/>
  <c r="HD122" i="5"/>
  <c r="HC122" i="5"/>
  <c r="HB122" i="5"/>
  <c r="HA122" i="5"/>
  <c r="GZ122" i="5"/>
  <c r="GY122" i="5"/>
  <c r="GX122" i="5"/>
  <c r="GW122" i="5"/>
  <c r="GV122" i="5"/>
  <c r="GU122" i="5"/>
  <c r="S122" i="5" s="1"/>
  <c r="GT122" i="5"/>
  <c r="GS122" i="5"/>
  <c r="GR122" i="5"/>
  <c r="GQ122" i="5"/>
  <c r="GP122" i="5"/>
  <c r="AA122" i="5"/>
  <c r="W122" i="5"/>
  <c r="V122" i="5"/>
  <c r="U122" i="5"/>
  <c r="T122" i="5"/>
  <c r="P122" i="5"/>
  <c r="O122" i="5"/>
  <c r="AB122" i="5" s="1"/>
  <c r="N122" i="5"/>
  <c r="HE121" i="5"/>
  <c r="HD121" i="5"/>
  <c r="HC121" i="5"/>
  <c r="HB121" i="5"/>
  <c r="HA121" i="5"/>
  <c r="GZ121" i="5"/>
  <c r="GY121" i="5"/>
  <c r="GX121" i="5"/>
  <c r="GW121" i="5"/>
  <c r="GV121" i="5"/>
  <c r="GU121" i="5"/>
  <c r="GT121" i="5"/>
  <c r="GS121" i="5"/>
  <c r="GR121" i="5"/>
  <c r="S121" i="5" s="1"/>
  <c r="GQ121" i="5"/>
  <c r="GP121" i="5"/>
  <c r="AA121" i="5"/>
  <c r="W121" i="5"/>
  <c r="U121" i="5"/>
  <c r="T121" i="5"/>
  <c r="P121" i="5"/>
  <c r="O121" i="5"/>
  <c r="V121" i="5" s="1"/>
  <c r="N121" i="5"/>
  <c r="HE120" i="5"/>
  <c r="HD120" i="5"/>
  <c r="HC120" i="5"/>
  <c r="HB120" i="5"/>
  <c r="HA120" i="5"/>
  <c r="GZ120" i="5"/>
  <c r="GY120" i="5"/>
  <c r="GX120" i="5"/>
  <c r="GW120" i="5"/>
  <c r="GV120" i="5"/>
  <c r="GU120" i="5"/>
  <c r="GT120" i="5"/>
  <c r="GS120" i="5"/>
  <c r="GR120" i="5"/>
  <c r="GQ120" i="5"/>
  <c r="GP120" i="5"/>
  <c r="AA120" i="5"/>
  <c r="W120" i="5"/>
  <c r="U120" i="5"/>
  <c r="T120" i="5"/>
  <c r="P120" i="5"/>
  <c r="O120" i="5"/>
  <c r="N120" i="5"/>
  <c r="HE119" i="5"/>
  <c r="HD119" i="5"/>
  <c r="HC119" i="5"/>
  <c r="HB119" i="5"/>
  <c r="HA119" i="5"/>
  <c r="GZ119" i="5"/>
  <c r="GY119" i="5"/>
  <c r="GX119" i="5"/>
  <c r="GW119" i="5"/>
  <c r="GV119" i="5"/>
  <c r="GU119" i="5"/>
  <c r="GT119" i="5"/>
  <c r="GS119" i="5"/>
  <c r="GR119" i="5"/>
  <c r="GQ119" i="5"/>
  <c r="GP119" i="5"/>
  <c r="AB119" i="5"/>
  <c r="R119" i="5" s="1"/>
  <c r="AA119" i="5"/>
  <c r="W119" i="5"/>
  <c r="V119" i="5"/>
  <c r="U119" i="5"/>
  <c r="T119" i="5"/>
  <c r="Q119" i="5"/>
  <c r="P119" i="5"/>
  <c r="O119" i="5"/>
  <c r="N119" i="5"/>
  <c r="HE118" i="5"/>
  <c r="HD118" i="5"/>
  <c r="HC118" i="5"/>
  <c r="HB118" i="5"/>
  <c r="HA118" i="5"/>
  <c r="GZ118" i="5"/>
  <c r="GY118" i="5"/>
  <c r="GX118" i="5"/>
  <c r="GW118" i="5"/>
  <c r="GV118" i="5"/>
  <c r="GU118" i="5"/>
  <c r="S118" i="5" s="1"/>
  <c r="GT118" i="5"/>
  <c r="GS118" i="5"/>
  <c r="GR118" i="5"/>
  <c r="GQ118" i="5"/>
  <c r="GP118" i="5"/>
  <c r="AA118" i="5"/>
  <c r="W118" i="5"/>
  <c r="V118" i="5"/>
  <c r="U118" i="5"/>
  <c r="T118" i="5"/>
  <c r="P118" i="5"/>
  <c r="O118" i="5"/>
  <c r="AB118" i="5" s="1"/>
  <c r="N118" i="5"/>
  <c r="HE117" i="5"/>
  <c r="HD117" i="5"/>
  <c r="HC117" i="5"/>
  <c r="HB117" i="5"/>
  <c r="HA117" i="5"/>
  <c r="GZ117" i="5"/>
  <c r="GY117" i="5"/>
  <c r="GX117" i="5"/>
  <c r="GW117" i="5"/>
  <c r="GV117" i="5"/>
  <c r="GU117" i="5"/>
  <c r="GT117" i="5"/>
  <c r="GS117" i="5"/>
  <c r="GR117" i="5"/>
  <c r="GQ117" i="5"/>
  <c r="GP117" i="5"/>
  <c r="AA117" i="5"/>
  <c r="W117" i="5"/>
  <c r="U117" i="5"/>
  <c r="T117" i="5"/>
  <c r="P117" i="5"/>
  <c r="O117" i="5"/>
  <c r="N117" i="5"/>
  <c r="HE116" i="5"/>
  <c r="HD116" i="5"/>
  <c r="HC116" i="5"/>
  <c r="HB116" i="5"/>
  <c r="HA116" i="5"/>
  <c r="GZ116" i="5"/>
  <c r="GY116" i="5"/>
  <c r="GX116" i="5"/>
  <c r="GW116" i="5"/>
  <c r="GV116" i="5"/>
  <c r="GU116" i="5"/>
  <c r="GT116" i="5"/>
  <c r="GS116" i="5"/>
  <c r="GR116" i="5"/>
  <c r="GQ116" i="5"/>
  <c r="GP116" i="5"/>
  <c r="AA116" i="5"/>
  <c r="W116" i="5"/>
  <c r="V116" i="5"/>
  <c r="U116" i="5"/>
  <c r="T116" i="5"/>
  <c r="R116" i="5"/>
  <c r="P116" i="5"/>
  <c r="O116" i="5"/>
  <c r="AB116" i="5" s="1"/>
  <c r="Q116" i="5" s="1"/>
  <c r="N116" i="5"/>
  <c r="HE115" i="5"/>
  <c r="HD115" i="5"/>
  <c r="HC115" i="5"/>
  <c r="HB115" i="5"/>
  <c r="HA115" i="5"/>
  <c r="GZ115" i="5"/>
  <c r="GY115" i="5"/>
  <c r="GX115" i="5"/>
  <c r="GW115" i="5"/>
  <c r="GV115" i="5"/>
  <c r="GU115" i="5"/>
  <c r="GT115" i="5"/>
  <c r="S115" i="5" s="1"/>
  <c r="GS115" i="5"/>
  <c r="GR115" i="5"/>
  <c r="GQ115" i="5"/>
  <c r="GP115" i="5"/>
  <c r="AA115" i="5"/>
  <c r="W115" i="5"/>
  <c r="U115" i="5"/>
  <c r="T115" i="5"/>
  <c r="P115" i="5"/>
  <c r="O115" i="5"/>
  <c r="V115" i="5" s="1"/>
  <c r="N115" i="5"/>
  <c r="HE114" i="5"/>
  <c r="HD114" i="5"/>
  <c r="HC114" i="5"/>
  <c r="HB114" i="5"/>
  <c r="HA114" i="5"/>
  <c r="GZ114" i="5"/>
  <c r="GY114" i="5"/>
  <c r="GX114" i="5"/>
  <c r="GW114" i="5"/>
  <c r="GV114" i="5"/>
  <c r="GU114" i="5"/>
  <c r="GT114" i="5"/>
  <c r="GS114" i="5"/>
  <c r="GR114" i="5"/>
  <c r="GQ114" i="5"/>
  <c r="S114" i="5" s="1"/>
  <c r="GP114" i="5"/>
  <c r="AB114" i="5"/>
  <c r="R114" i="5" s="1"/>
  <c r="AA114" i="5"/>
  <c r="W114" i="5"/>
  <c r="V114" i="5"/>
  <c r="U114" i="5"/>
  <c r="T114" i="5"/>
  <c r="P114" i="5"/>
  <c r="O114" i="5"/>
  <c r="N114" i="5"/>
  <c r="HE113" i="5"/>
  <c r="HD113" i="5"/>
  <c r="HC113" i="5"/>
  <c r="HB113" i="5"/>
  <c r="HA113" i="5"/>
  <c r="GZ113" i="5"/>
  <c r="GY113" i="5"/>
  <c r="GX113" i="5"/>
  <c r="GW113" i="5"/>
  <c r="GV113" i="5"/>
  <c r="GU113" i="5"/>
  <c r="GT113" i="5"/>
  <c r="GS113" i="5"/>
  <c r="GR113" i="5"/>
  <c r="GQ113" i="5"/>
  <c r="GP113" i="5"/>
  <c r="S113" i="5" s="1"/>
  <c r="AB113" i="5"/>
  <c r="R113" i="5" s="1"/>
  <c r="AA113" i="5"/>
  <c r="W113" i="5"/>
  <c r="V113" i="5"/>
  <c r="U113" i="5"/>
  <c r="T113" i="5"/>
  <c r="P113" i="5"/>
  <c r="O113" i="5"/>
  <c r="N113" i="5"/>
  <c r="HE112" i="5"/>
  <c r="HD112" i="5"/>
  <c r="HC112" i="5"/>
  <c r="HB112" i="5"/>
  <c r="HA112" i="5"/>
  <c r="GZ112" i="5"/>
  <c r="GY112" i="5"/>
  <c r="GX112" i="5"/>
  <c r="GW112" i="5"/>
  <c r="GV112" i="5"/>
  <c r="GU112" i="5"/>
  <c r="GT112" i="5"/>
  <c r="GS112" i="5"/>
  <c r="GR112" i="5"/>
  <c r="GQ112" i="5"/>
  <c r="GP112" i="5"/>
  <c r="AA112" i="5"/>
  <c r="W112" i="5"/>
  <c r="V112" i="5"/>
  <c r="U112" i="5"/>
  <c r="T112" i="5"/>
  <c r="P112" i="5"/>
  <c r="O112" i="5"/>
  <c r="AB112" i="5" s="1"/>
  <c r="Q112" i="5" s="1"/>
  <c r="N112" i="5"/>
  <c r="HE111" i="5"/>
  <c r="HD111" i="5"/>
  <c r="HC111" i="5"/>
  <c r="HB111" i="5"/>
  <c r="HA111" i="5"/>
  <c r="GZ111" i="5"/>
  <c r="GY111" i="5"/>
  <c r="GX111" i="5"/>
  <c r="GW111" i="5"/>
  <c r="GV111" i="5"/>
  <c r="GU111" i="5"/>
  <c r="GT111" i="5"/>
  <c r="GS111" i="5"/>
  <c r="GR111" i="5"/>
  <c r="GQ111" i="5"/>
  <c r="GP111" i="5"/>
  <c r="S111" i="5" s="1"/>
  <c r="AA111" i="5"/>
  <c r="W111" i="5"/>
  <c r="U111" i="5"/>
  <c r="T111" i="5"/>
  <c r="P111" i="5"/>
  <c r="O111" i="5"/>
  <c r="N111" i="5"/>
  <c r="HE110" i="5"/>
  <c r="HD110" i="5"/>
  <c r="HC110" i="5"/>
  <c r="HB110" i="5"/>
  <c r="HA110" i="5"/>
  <c r="GZ110" i="5"/>
  <c r="GY110" i="5"/>
  <c r="GX110" i="5"/>
  <c r="GW110" i="5"/>
  <c r="GV110" i="5"/>
  <c r="GU110" i="5"/>
  <c r="GT110" i="5"/>
  <c r="GS110" i="5"/>
  <c r="GR110" i="5"/>
  <c r="GQ110" i="5"/>
  <c r="GP110" i="5"/>
  <c r="AA110" i="5"/>
  <c r="W110" i="5"/>
  <c r="U110" i="5"/>
  <c r="T110" i="5"/>
  <c r="P110" i="5"/>
  <c r="O110" i="5"/>
  <c r="V110" i="5" s="1"/>
  <c r="N110" i="5"/>
  <c r="HE109" i="5"/>
  <c r="HD109" i="5"/>
  <c r="HC109" i="5"/>
  <c r="HB109" i="5"/>
  <c r="HA109" i="5"/>
  <c r="GZ109" i="5"/>
  <c r="GY109" i="5"/>
  <c r="GX109" i="5"/>
  <c r="GW109" i="5"/>
  <c r="GV109" i="5"/>
  <c r="GU109" i="5"/>
  <c r="GT109" i="5"/>
  <c r="GS109" i="5"/>
  <c r="GR109" i="5"/>
  <c r="GQ109" i="5"/>
  <c r="GP109" i="5"/>
  <c r="AA109" i="5"/>
  <c r="W109" i="5"/>
  <c r="V109" i="5"/>
  <c r="U109" i="5"/>
  <c r="T109" i="5"/>
  <c r="P109" i="5"/>
  <c r="O109" i="5"/>
  <c r="AB109" i="5" s="1"/>
  <c r="N109" i="5"/>
  <c r="HE108" i="5"/>
  <c r="HD108" i="5"/>
  <c r="HC108" i="5"/>
  <c r="HB108" i="5"/>
  <c r="HA108" i="5"/>
  <c r="GZ108" i="5"/>
  <c r="GY108" i="5"/>
  <c r="GX108" i="5"/>
  <c r="GW108" i="5"/>
  <c r="GV108" i="5"/>
  <c r="GU108" i="5"/>
  <c r="GT108" i="5"/>
  <c r="GS108" i="5"/>
  <c r="GR108" i="5"/>
  <c r="GQ108" i="5"/>
  <c r="S108" i="5" s="1"/>
  <c r="GP108" i="5"/>
  <c r="AA108" i="5"/>
  <c r="W108" i="5"/>
  <c r="V108" i="5"/>
  <c r="U108" i="5"/>
  <c r="T108" i="5"/>
  <c r="P108" i="5"/>
  <c r="O108" i="5"/>
  <c r="AB108" i="5" s="1"/>
  <c r="N108" i="5"/>
  <c r="HE107" i="5"/>
  <c r="HD107" i="5"/>
  <c r="HC107" i="5"/>
  <c r="HB107" i="5"/>
  <c r="HA107" i="5"/>
  <c r="GZ107" i="5"/>
  <c r="GY107" i="5"/>
  <c r="GX107" i="5"/>
  <c r="GW107" i="5"/>
  <c r="GV107" i="5"/>
  <c r="GU107" i="5"/>
  <c r="GT107" i="5"/>
  <c r="GS107" i="5"/>
  <c r="GR107" i="5"/>
  <c r="GQ107" i="5"/>
  <c r="GP107" i="5"/>
  <c r="AB107" i="5"/>
  <c r="R107" i="5" s="1"/>
  <c r="AA107" i="5"/>
  <c r="W107" i="5"/>
  <c r="U107" i="5"/>
  <c r="T107" i="5"/>
  <c r="Q107" i="5"/>
  <c r="P107" i="5"/>
  <c r="O107" i="5"/>
  <c r="V107" i="5" s="1"/>
  <c r="N107" i="5"/>
  <c r="HE106" i="5"/>
  <c r="HD106" i="5"/>
  <c r="HC106" i="5"/>
  <c r="HB106" i="5"/>
  <c r="HA106" i="5"/>
  <c r="GZ106" i="5"/>
  <c r="GY106" i="5"/>
  <c r="GX106" i="5"/>
  <c r="GW106" i="5"/>
  <c r="GV106" i="5"/>
  <c r="GU106" i="5"/>
  <c r="GT106" i="5"/>
  <c r="GS106" i="5"/>
  <c r="GR106" i="5"/>
  <c r="GQ106" i="5"/>
  <c r="GP106" i="5"/>
  <c r="AA106" i="5"/>
  <c r="W106" i="5"/>
  <c r="V106" i="5"/>
  <c r="U106" i="5"/>
  <c r="T106" i="5"/>
  <c r="P106" i="5"/>
  <c r="O106" i="5"/>
  <c r="AB106" i="5" s="1"/>
  <c r="N106" i="5"/>
  <c r="HE105" i="5"/>
  <c r="HD105" i="5"/>
  <c r="HC105" i="5"/>
  <c r="HB105" i="5"/>
  <c r="HA105" i="5"/>
  <c r="GZ105" i="5"/>
  <c r="GY105" i="5"/>
  <c r="GX105" i="5"/>
  <c r="GW105" i="5"/>
  <c r="GV105" i="5"/>
  <c r="GU105" i="5"/>
  <c r="GT105" i="5"/>
  <c r="GS105" i="5"/>
  <c r="GR105" i="5"/>
  <c r="GQ105" i="5"/>
  <c r="GP105" i="5"/>
  <c r="S105" i="5" s="1"/>
  <c r="AB105" i="5"/>
  <c r="AA105" i="5"/>
  <c r="W105" i="5"/>
  <c r="V105" i="5"/>
  <c r="U105" i="5"/>
  <c r="T105" i="5"/>
  <c r="R105" i="5"/>
  <c r="Q105" i="5"/>
  <c r="P105" i="5"/>
  <c r="O105" i="5"/>
  <c r="N105" i="5"/>
  <c r="HE104" i="5"/>
  <c r="HD104" i="5"/>
  <c r="HC104" i="5"/>
  <c r="HB104" i="5"/>
  <c r="HA104" i="5"/>
  <c r="GZ104" i="5"/>
  <c r="GY104" i="5"/>
  <c r="GX104" i="5"/>
  <c r="GW104" i="5"/>
  <c r="GV104" i="5"/>
  <c r="GU104" i="5"/>
  <c r="GT104" i="5"/>
  <c r="GS104" i="5"/>
  <c r="GR104" i="5"/>
  <c r="GQ104" i="5"/>
  <c r="GP104" i="5"/>
  <c r="AB104" i="5"/>
  <c r="AA104" i="5"/>
  <c r="W104" i="5"/>
  <c r="V104" i="5"/>
  <c r="U104" i="5"/>
  <c r="T104" i="5"/>
  <c r="P104" i="5"/>
  <c r="O104" i="5"/>
  <c r="N104" i="5"/>
  <c r="HE103" i="5"/>
  <c r="HD103" i="5"/>
  <c r="HC103" i="5"/>
  <c r="HB103" i="5"/>
  <c r="HA103" i="5"/>
  <c r="GZ103" i="5"/>
  <c r="GY103" i="5"/>
  <c r="GX103" i="5"/>
  <c r="GW103" i="5"/>
  <c r="GV103" i="5"/>
  <c r="GU103" i="5"/>
  <c r="GT103" i="5"/>
  <c r="GS103" i="5"/>
  <c r="GR103" i="5"/>
  <c r="GQ103" i="5"/>
  <c r="GP103" i="5"/>
  <c r="S103" i="5" s="1"/>
  <c r="AA103" i="5"/>
  <c r="W103" i="5"/>
  <c r="V103" i="5"/>
  <c r="U103" i="5"/>
  <c r="T103" i="5"/>
  <c r="P103" i="5"/>
  <c r="O103" i="5"/>
  <c r="AB103" i="5" s="1"/>
  <c r="N103" i="5"/>
  <c r="HE102" i="5"/>
  <c r="HD102" i="5"/>
  <c r="HC102" i="5"/>
  <c r="HB102" i="5"/>
  <c r="HA102" i="5"/>
  <c r="GZ102" i="5"/>
  <c r="GY102" i="5"/>
  <c r="GX102" i="5"/>
  <c r="GW102" i="5"/>
  <c r="GV102" i="5"/>
  <c r="GU102" i="5"/>
  <c r="GT102" i="5"/>
  <c r="GS102" i="5"/>
  <c r="GR102" i="5"/>
  <c r="GQ102" i="5"/>
  <c r="GP102" i="5"/>
  <c r="AA102" i="5"/>
  <c r="W102" i="5"/>
  <c r="U102" i="5"/>
  <c r="T102" i="5"/>
  <c r="P102" i="5"/>
  <c r="O102" i="5"/>
  <c r="V102" i="5" s="1"/>
  <c r="N102" i="5"/>
  <c r="HE101" i="5"/>
  <c r="HD101" i="5"/>
  <c r="HC101" i="5"/>
  <c r="HB101" i="5"/>
  <c r="HA101" i="5"/>
  <c r="GZ101" i="5"/>
  <c r="GY101" i="5"/>
  <c r="GX101" i="5"/>
  <c r="GW101" i="5"/>
  <c r="GV101" i="5"/>
  <c r="GU101" i="5"/>
  <c r="GT101" i="5"/>
  <c r="GS101" i="5"/>
  <c r="GR101" i="5"/>
  <c r="GQ101" i="5"/>
  <c r="GP101" i="5"/>
  <c r="AB101" i="5"/>
  <c r="Q101" i="5" s="1"/>
  <c r="AA101" i="5"/>
  <c r="W101" i="5"/>
  <c r="V101" i="5"/>
  <c r="U101" i="5"/>
  <c r="T101" i="5"/>
  <c r="R101" i="5"/>
  <c r="P101" i="5"/>
  <c r="O101" i="5"/>
  <c r="N101" i="5"/>
  <c r="HE100" i="5"/>
  <c r="HD100" i="5"/>
  <c r="HC100" i="5"/>
  <c r="HB100" i="5"/>
  <c r="HA100" i="5"/>
  <c r="GZ100" i="5"/>
  <c r="GY100" i="5"/>
  <c r="GX100" i="5"/>
  <c r="GW100" i="5"/>
  <c r="GV100" i="5"/>
  <c r="GU100" i="5"/>
  <c r="GT100" i="5"/>
  <c r="GS100" i="5"/>
  <c r="GR100" i="5"/>
  <c r="GQ100" i="5"/>
  <c r="GP100" i="5"/>
  <c r="AA100" i="5"/>
  <c r="W100" i="5"/>
  <c r="U100" i="5"/>
  <c r="T100" i="5"/>
  <c r="P100" i="5"/>
  <c r="O100" i="5"/>
  <c r="V100" i="5" s="1"/>
  <c r="N100" i="5"/>
  <c r="AB99" i="5"/>
  <c r="AA99" i="5"/>
  <c r="W99" i="5"/>
  <c r="V99" i="5"/>
  <c r="U99" i="5"/>
  <c r="T99" i="5"/>
  <c r="S99" i="5"/>
  <c r="R99" i="5"/>
  <c r="Q99" i="5"/>
  <c r="P99" i="5"/>
  <c r="O99" i="5"/>
  <c r="N99" i="5"/>
  <c r="AA98" i="5"/>
  <c r="T98" i="5"/>
  <c r="R98" i="5"/>
  <c r="Q98" i="5"/>
  <c r="AB97" i="5"/>
  <c r="R97" i="5" s="1"/>
  <c r="AA97" i="5"/>
  <c r="W97" i="5"/>
  <c r="V97" i="5"/>
  <c r="U97" i="5"/>
  <c r="T97" i="5"/>
  <c r="S97" i="5"/>
  <c r="Q97" i="5"/>
  <c r="P97" i="5"/>
  <c r="O97" i="5"/>
  <c r="N97" i="5"/>
  <c r="AA96" i="5"/>
  <c r="W96" i="5"/>
  <c r="U96" i="5"/>
  <c r="T96" i="5"/>
  <c r="S96" i="5"/>
  <c r="P96" i="5"/>
  <c r="O96" i="5"/>
  <c r="N96" i="5"/>
  <c r="AA95" i="5"/>
  <c r="W95" i="5"/>
  <c r="U95" i="5"/>
  <c r="T95" i="5"/>
  <c r="S95" i="5"/>
  <c r="P95" i="5"/>
  <c r="O95" i="5"/>
  <c r="N95" i="5"/>
  <c r="AB94" i="5"/>
  <c r="AA94" i="5"/>
  <c r="W94" i="5"/>
  <c r="U94" i="5"/>
  <c r="T94" i="5"/>
  <c r="S94" i="5"/>
  <c r="P94" i="5"/>
  <c r="O94" i="5"/>
  <c r="V94" i="5" s="1"/>
  <c r="N94" i="5"/>
  <c r="AB93" i="5"/>
  <c r="AA93" i="5"/>
  <c r="W93" i="5"/>
  <c r="V93" i="5"/>
  <c r="U93" i="5"/>
  <c r="T93" i="5"/>
  <c r="S93" i="5"/>
  <c r="R93" i="5"/>
  <c r="Q93" i="5"/>
  <c r="P93" i="5"/>
  <c r="O93" i="5"/>
  <c r="N93" i="5"/>
  <c r="AB92" i="5"/>
  <c r="AA92" i="5"/>
  <c r="W92" i="5"/>
  <c r="V92" i="5"/>
  <c r="U92" i="5"/>
  <c r="T92" i="5"/>
  <c r="S92" i="5"/>
  <c r="R92" i="5"/>
  <c r="Q92" i="5"/>
  <c r="P92" i="5"/>
  <c r="O92" i="5"/>
  <c r="N92" i="5"/>
  <c r="AA91" i="5"/>
  <c r="W91" i="5"/>
  <c r="U91" i="5"/>
  <c r="T91" i="5"/>
  <c r="S91" i="5"/>
  <c r="P91" i="5"/>
  <c r="O91" i="5"/>
  <c r="N91" i="5"/>
  <c r="AA90" i="5"/>
  <c r="W90" i="5"/>
  <c r="U90" i="5"/>
  <c r="T90" i="5"/>
  <c r="S90" i="5"/>
  <c r="P90" i="5"/>
  <c r="O90" i="5"/>
  <c r="V90" i="5" s="1"/>
  <c r="N90" i="5"/>
  <c r="AB89" i="5"/>
  <c r="R89" i="5" s="1"/>
  <c r="AA89" i="5"/>
  <c r="W89" i="5"/>
  <c r="U89" i="5"/>
  <c r="T89" i="5"/>
  <c r="S89" i="5"/>
  <c r="Q89" i="5"/>
  <c r="P89" i="5"/>
  <c r="O89" i="5"/>
  <c r="V89" i="5" s="1"/>
  <c r="N89" i="5"/>
  <c r="AB88" i="5"/>
  <c r="AA88" i="5"/>
  <c r="W88" i="5"/>
  <c r="V88" i="5"/>
  <c r="U88" i="5"/>
  <c r="T88" i="5"/>
  <c r="S88" i="5"/>
  <c r="R88" i="5"/>
  <c r="Q88" i="5"/>
  <c r="P88" i="5"/>
  <c r="O88" i="5"/>
  <c r="N88" i="5"/>
  <c r="AA87" i="5"/>
  <c r="W87" i="5"/>
  <c r="U87" i="5"/>
  <c r="T87" i="5"/>
  <c r="S87" i="5"/>
  <c r="P87" i="5"/>
  <c r="O87" i="5"/>
  <c r="N87" i="5"/>
  <c r="AA86" i="5"/>
  <c r="W86" i="5"/>
  <c r="V86" i="5"/>
  <c r="U86" i="5"/>
  <c r="T86" i="5"/>
  <c r="S86" i="5"/>
  <c r="P86" i="5"/>
  <c r="O86" i="5"/>
  <c r="AB86" i="5" s="1"/>
  <c r="N86" i="5"/>
  <c r="AB85" i="5"/>
  <c r="R85" i="5" s="1"/>
  <c r="AA85" i="5"/>
  <c r="W85" i="5"/>
  <c r="U85" i="5"/>
  <c r="T85" i="5"/>
  <c r="S85" i="5"/>
  <c r="P85" i="5"/>
  <c r="O85" i="5"/>
  <c r="V85" i="5" s="1"/>
  <c r="N85" i="5"/>
  <c r="AB84" i="5"/>
  <c r="AA84" i="5"/>
  <c r="W84" i="5"/>
  <c r="V84" i="5"/>
  <c r="U84" i="5"/>
  <c r="T84" i="5"/>
  <c r="S84" i="5"/>
  <c r="R84" i="5"/>
  <c r="Q84" i="5"/>
  <c r="P84" i="5"/>
  <c r="O84" i="5"/>
  <c r="N84" i="5"/>
  <c r="AA83" i="5"/>
  <c r="W83" i="5"/>
  <c r="U83" i="5"/>
  <c r="T83" i="5"/>
  <c r="S83" i="5"/>
  <c r="P83" i="5"/>
  <c r="O83" i="5"/>
  <c r="N83" i="5"/>
  <c r="AA82" i="5"/>
  <c r="W82" i="5"/>
  <c r="U82" i="5"/>
  <c r="T82" i="5"/>
  <c r="S82" i="5"/>
  <c r="P82" i="5"/>
  <c r="O82" i="5"/>
  <c r="V82" i="5" s="1"/>
  <c r="N82" i="5"/>
  <c r="AB81" i="5"/>
  <c r="AA81" i="5"/>
  <c r="W81" i="5"/>
  <c r="U81" i="5"/>
  <c r="T81" i="5"/>
  <c r="S81" i="5"/>
  <c r="P81" i="5"/>
  <c r="O81" i="5"/>
  <c r="V81" i="5" s="1"/>
  <c r="N81" i="5"/>
  <c r="AB80" i="5"/>
  <c r="AA80" i="5"/>
  <c r="W80" i="5"/>
  <c r="V80" i="5"/>
  <c r="U80" i="5"/>
  <c r="T80" i="5"/>
  <c r="S80" i="5"/>
  <c r="R80" i="5"/>
  <c r="Q80" i="5"/>
  <c r="P80" i="5"/>
  <c r="O80" i="5"/>
  <c r="N80" i="5"/>
  <c r="HE79" i="5"/>
  <c r="HD79" i="5"/>
  <c r="HC79" i="5"/>
  <c r="HB79" i="5"/>
  <c r="HA79" i="5"/>
  <c r="GZ79" i="5"/>
  <c r="GY79" i="5"/>
  <c r="GX79" i="5"/>
  <c r="GW79" i="5"/>
  <c r="GV79" i="5"/>
  <c r="GU79" i="5"/>
  <c r="GT79" i="5"/>
  <c r="S79" i="5" s="1"/>
  <c r="GS79" i="5"/>
  <c r="GR79" i="5"/>
  <c r="GQ79" i="5"/>
  <c r="GP79" i="5"/>
  <c r="AA79" i="5"/>
  <c r="W79" i="5"/>
  <c r="U79" i="5"/>
  <c r="T79" i="5"/>
  <c r="P79" i="5"/>
  <c r="O79" i="5"/>
  <c r="N79" i="5"/>
  <c r="AA78" i="5"/>
  <c r="W78" i="5"/>
  <c r="V78" i="5"/>
  <c r="U78" i="5"/>
  <c r="T78" i="5"/>
  <c r="S78" i="5"/>
  <c r="P78" i="5"/>
  <c r="O78" i="5"/>
  <c r="AB78" i="5" s="1"/>
  <c r="N78" i="5"/>
  <c r="AA77" i="5"/>
  <c r="T77" i="5"/>
  <c r="R77" i="5"/>
  <c r="Q77" i="5"/>
  <c r="AB76" i="5"/>
  <c r="AA76" i="5"/>
  <c r="W76" i="5"/>
  <c r="V76" i="5"/>
  <c r="U76" i="5"/>
  <c r="T76" i="5"/>
  <c r="S76" i="5"/>
  <c r="R76" i="5"/>
  <c r="Q76" i="5"/>
  <c r="P76" i="5"/>
  <c r="O76" i="5"/>
  <c r="N76" i="5"/>
  <c r="AA75" i="5"/>
  <c r="W75" i="5"/>
  <c r="U75" i="5"/>
  <c r="T75" i="5"/>
  <c r="S75" i="5"/>
  <c r="P75" i="5"/>
  <c r="O75" i="5"/>
  <c r="N75" i="5"/>
  <c r="HE74" i="5"/>
  <c r="HD74" i="5"/>
  <c r="HC74" i="5"/>
  <c r="HB74" i="5"/>
  <c r="HA74" i="5"/>
  <c r="GZ74" i="5"/>
  <c r="GY74" i="5"/>
  <c r="GX74" i="5"/>
  <c r="GW74" i="5"/>
  <c r="GV74" i="5"/>
  <c r="GU74" i="5"/>
  <c r="GT74" i="5"/>
  <c r="GS74" i="5"/>
  <c r="GR74" i="5"/>
  <c r="GQ74" i="5"/>
  <c r="GP74" i="5"/>
  <c r="AA74" i="5"/>
  <c r="W74" i="5"/>
  <c r="U74" i="5"/>
  <c r="T74" i="5"/>
  <c r="P74" i="5"/>
  <c r="O74" i="5"/>
  <c r="V74" i="5" s="1"/>
  <c r="N74" i="5"/>
  <c r="HE73" i="5"/>
  <c r="HD73" i="5"/>
  <c r="HC73" i="5"/>
  <c r="HB73" i="5"/>
  <c r="HA73" i="5"/>
  <c r="GZ73" i="5"/>
  <c r="GY73" i="5"/>
  <c r="GX73" i="5"/>
  <c r="GW73" i="5"/>
  <c r="GV73" i="5"/>
  <c r="GU73" i="5"/>
  <c r="GT73" i="5"/>
  <c r="GS73" i="5"/>
  <c r="GR73" i="5"/>
  <c r="GQ73" i="5"/>
  <c r="S73" i="5" s="1"/>
  <c r="GP73" i="5"/>
  <c r="AB73" i="5"/>
  <c r="AA73" i="5"/>
  <c r="W73" i="5"/>
  <c r="U73" i="5"/>
  <c r="T73" i="5"/>
  <c r="P73" i="5"/>
  <c r="O73" i="5"/>
  <c r="V73" i="5" s="1"/>
  <c r="N73" i="5"/>
  <c r="HE72" i="5"/>
  <c r="HD72" i="5"/>
  <c r="HC72" i="5"/>
  <c r="HB72" i="5"/>
  <c r="HA72" i="5"/>
  <c r="GZ72" i="5"/>
  <c r="GY72" i="5"/>
  <c r="GX72" i="5"/>
  <c r="GW72" i="5"/>
  <c r="GV72" i="5"/>
  <c r="GU72" i="5"/>
  <c r="GT72" i="5"/>
  <c r="GS72" i="5"/>
  <c r="GR72" i="5"/>
  <c r="GQ72" i="5"/>
  <c r="GP72" i="5"/>
  <c r="AB72" i="5"/>
  <c r="AA72" i="5"/>
  <c r="W72" i="5"/>
  <c r="V72" i="5"/>
  <c r="U72" i="5"/>
  <c r="T72" i="5"/>
  <c r="R72" i="5"/>
  <c r="Q72" i="5"/>
  <c r="P72" i="5"/>
  <c r="O72" i="5"/>
  <c r="N72" i="5"/>
  <c r="HE71" i="5"/>
  <c r="HD71" i="5"/>
  <c r="HC71" i="5"/>
  <c r="HB71" i="5"/>
  <c r="HA71" i="5"/>
  <c r="GZ71" i="5"/>
  <c r="GY71" i="5"/>
  <c r="GX71" i="5"/>
  <c r="GW71" i="5"/>
  <c r="GV71" i="5"/>
  <c r="GU71" i="5"/>
  <c r="GT71" i="5"/>
  <c r="S71" i="5" s="1"/>
  <c r="GS71" i="5"/>
  <c r="GR71" i="5"/>
  <c r="GQ71" i="5"/>
  <c r="GP71" i="5"/>
  <c r="AA71" i="5"/>
  <c r="W71" i="5"/>
  <c r="U71" i="5"/>
  <c r="T71" i="5"/>
  <c r="P71" i="5"/>
  <c r="O71" i="5"/>
  <c r="N71" i="5"/>
  <c r="HE70" i="5"/>
  <c r="HD70" i="5"/>
  <c r="HC70" i="5"/>
  <c r="HB70" i="5"/>
  <c r="HA70" i="5"/>
  <c r="GZ70" i="5"/>
  <c r="GY70" i="5"/>
  <c r="GX70" i="5"/>
  <c r="GW70" i="5"/>
  <c r="GV70" i="5"/>
  <c r="GU70" i="5"/>
  <c r="GT70" i="5"/>
  <c r="GS70" i="5"/>
  <c r="GR70" i="5"/>
  <c r="GQ70" i="5"/>
  <c r="S70" i="5" s="1"/>
  <c r="GP70" i="5"/>
  <c r="AA70" i="5"/>
  <c r="W70" i="5"/>
  <c r="V70" i="5"/>
  <c r="U70" i="5"/>
  <c r="T70" i="5"/>
  <c r="P70" i="5"/>
  <c r="O70" i="5"/>
  <c r="AB70" i="5" s="1"/>
  <c r="N70" i="5"/>
  <c r="HE69" i="5"/>
  <c r="HD69" i="5"/>
  <c r="HC69" i="5"/>
  <c r="HB69" i="5"/>
  <c r="HA69" i="5"/>
  <c r="GZ69" i="5"/>
  <c r="GY69" i="5"/>
  <c r="GX69" i="5"/>
  <c r="GW69" i="5"/>
  <c r="GV69" i="5"/>
  <c r="S69" i="5" s="1"/>
  <c r="GU69" i="5"/>
  <c r="GT69" i="5"/>
  <c r="GS69" i="5"/>
  <c r="GR69" i="5"/>
  <c r="GQ69" i="5"/>
  <c r="GP69" i="5"/>
  <c r="AB69" i="5"/>
  <c r="R69" i="5" s="1"/>
  <c r="AA69" i="5"/>
  <c r="W69" i="5"/>
  <c r="U69" i="5"/>
  <c r="T69" i="5"/>
  <c r="Q69" i="5"/>
  <c r="P69" i="5"/>
  <c r="O69" i="5"/>
  <c r="V69" i="5" s="1"/>
  <c r="N69" i="5"/>
  <c r="HE68" i="5"/>
  <c r="HD68" i="5"/>
  <c r="HC68" i="5"/>
  <c r="HB68" i="5"/>
  <c r="HA68" i="5"/>
  <c r="GZ68" i="5"/>
  <c r="GY68" i="5"/>
  <c r="GX68" i="5"/>
  <c r="GW68" i="5"/>
  <c r="GV68" i="5"/>
  <c r="GU68" i="5"/>
  <c r="GT68" i="5"/>
  <c r="GS68" i="5"/>
  <c r="GR68" i="5"/>
  <c r="GQ68" i="5"/>
  <c r="GP68" i="5"/>
  <c r="AB68" i="5"/>
  <c r="AA68" i="5"/>
  <c r="W68" i="5"/>
  <c r="V68" i="5"/>
  <c r="U68" i="5"/>
  <c r="T68" i="5"/>
  <c r="R68" i="5"/>
  <c r="Q68" i="5"/>
  <c r="P68" i="5"/>
  <c r="O68" i="5"/>
  <c r="N68" i="5"/>
  <c r="HE67" i="5"/>
  <c r="HD67" i="5"/>
  <c r="HC67" i="5"/>
  <c r="HB67" i="5"/>
  <c r="HA67" i="5"/>
  <c r="GZ67" i="5"/>
  <c r="GY67" i="5"/>
  <c r="GX67" i="5"/>
  <c r="GW67" i="5"/>
  <c r="GV67" i="5"/>
  <c r="GU67" i="5"/>
  <c r="GT67" i="5"/>
  <c r="GS67" i="5"/>
  <c r="GR67" i="5"/>
  <c r="GQ67" i="5"/>
  <c r="GP67" i="5"/>
  <c r="AA67" i="5"/>
  <c r="W67" i="5"/>
  <c r="U67" i="5"/>
  <c r="T67" i="5"/>
  <c r="P67" i="5"/>
  <c r="O67" i="5"/>
  <c r="V67" i="5" s="1"/>
  <c r="N67" i="5"/>
  <c r="HE66" i="5"/>
  <c r="HD66" i="5"/>
  <c r="HC66" i="5"/>
  <c r="HB66" i="5"/>
  <c r="HA66" i="5"/>
  <c r="GZ66" i="5"/>
  <c r="GY66" i="5"/>
  <c r="GX66" i="5"/>
  <c r="GW66" i="5"/>
  <c r="GV66" i="5"/>
  <c r="GU66" i="5"/>
  <c r="GT66" i="5"/>
  <c r="GS66" i="5"/>
  <c r="GR66" i="5"/>
  <c r="GQ66" i="5"/>
  <c r="GP66" i="5"/>
  <c r="AA66" i="5"/>
  <c r="W66" i="5"/>
  <c r="V66" i="5"/>
  <c r="U66" i="5"/>
  <c r="T66" i="5"/>
  <c r="P66" i="5"/>
  <c r="O66" i="5"/>
  <c r="AB66" i="5" s="1"/>
  <c r="N66" i="5"/>
  <c r="AB65" i="5"/>
  <c r="R65" i="5" s="1"/>
  <c r="AA65" i="5"/>
  <c r="W65" i="5"/>
  <c r="U65" i="5"/>
  <c r="T65" i="5"/>
  <c r="S65" i="5"/>
  <c r="P65" i="5"/>
  <c r="O65" i="5"/>
  <c r="V65" i="5" s="1"/>
  <c r="N65" i="5"/>
  <c r="HE64" i="5"/>
  <c r="HD64" i="5"/>
  <c r="HC64" i="5"/>
  <c r="HB64" i="5"/>
  <c r="HA64" i="5"/>
  <c r="GZ64" i="5"/>
  <c r="GY64" i="5"/>
  <c r="GX64" i="5"/>
  <c r="GW64" i="5"/>
  <c r="GV64" i="5"/>
  <c r="GU64" i="5"/>
  <c r="GT64" i="5"/>
  <c r="GS64" i="5"/>
  <c r="GR64" i="5"/>
  <c r="GQ64" i="5"/>
  <c r="GP64" i="5"/>
  <c r="AA64" i="5"/>
  <c r="T64" i="5"/>
  <c r="R64" i="5"/>
  <c r="Q64" i="5"/>
  <c r="HE63" i="5"/>
  <c r="HD63" i="5"/>
  <c r="HC63" i="5"/>
  <c r="HB63" i="5"/>
  <c r="HA63" i="5"/>
  <c r="GZ63" i="5"/>
  <c r="GY63" i="5"/>
  <c r="GX63" i="5"/>
  <c r="GW63" i="5"/>
  <c r="GV63" i="5"/>
  <c r="GU63" i="5"/>
  <c r="GT63" i="5"/>
  <c r="GS63" i="5"/>
  <c r="GR63" i="5"/>
  <c r="GQ63" i="5"/>
  <c r="GP63" i="5"/>
  <c r="AB63" i="5"/>
  <c r="R63" i="5" s="1"/>
  <c r="AA63" i="5"/>
  <c r="W63" i="5"/>
  <c r="V63" i="5"/>
  <c r="U63" i="5"/>
  <c r="T63" i="5"/>
  <c r="Q63" i="5"/>
  <c r="P63" i="5"/>
  <c r="O63" i="5"/>
  <c r="N63" i="5"/>
  <c r="HE62" i="5"/>
  <c r="HD62" i="5"/>
  <c r="HC62" i="5"/>
  <c r="HB62" i="5"/>
  <c r="HA62" i="5"/>
  <c r="GZ62" i="5"/>
  <c r="GY62" i="5"/>
  <c r="GX62" i="5"/>
  <c r="GW62" i="5"/>
  <c r="GV62" i="5"/>
  <c r="GU62" i="5"/>
  <c r="GT62" i="5"/>
  <c r="GS62" i="5"/>
  <c r="GR62" i="5"/>
  <c r="GQ62" i="5"/>
  <c r="GP62" i="5"/>
  <c r="AA62" i="5"/>
  <c r="W62" i="5"/>
  <c r="V62" i="5"/>
  <c r="U62" i="5"/>
  <c r="T62" i="5"/>
  <c r="P62" i="5"/>
  <c r="O62" i="5"/>
  <c r="AB62" i="5" s="1"/>
  <c r="N62" i="5"/>
  <c r="HE61" i="5"/>
  <c r="HD61" i="5"/>
  <c r="HC61" i="5"/>
  <c r="HB61" i="5"/>
  <c r="HA61" i="5"/>
  <c r="GZ61" i="5"/>
  <c r="GY61" i="5"/>
  <c r="GX61" i="5"/>
  <c r="GW61" i="5"/>
  <c r="GV61" i="5"/>
  <c r="GU61" i="5"/>
  <c r="GT61" i="5"/>
  <c r="GS61" i="5"/>
  <c r="GR61" i="5"/>
  <c r="GQ61" i="5"/>
  <c r="GP61" i="5"/>
  <c r="AA61" i="5"/>
  <c r="W61" i="5"/>
  <c r="U61" i="5"/>
  <c r="T61" i="5"/>
  <c r="P61" i="5"/>
  <c r="O61" i="5"/>
  <c r="N61" i="5"/>
  <c r="HE60" i="5"/>
  <c r="HD60" i="5"/>
  <c r="HC60" i="5"/>
  <c r="HB60" i="5"/>
  <c r="HA60" i="5"/>
  <c r="GZ60" i="5"/>
  <c r="GY60" i="5"/>
  <c r="GX60" i="5"/>
  <c r="GW60" i="5"/>
  <c r="GV60" i="5"/>
  <c r="GU60" i="5"/>
  <c r="GT60" i="5"/>
  <c r="GS60" i="5"/>
  <c r="GR60" i="5"/>
  <c r="GQ60" i="5"/>
  <c r="GP60" i="5"/>
  <c r="AB60" i="5"/>
  <c r="R60" i="5" s="1"/>
  <c r="AA60" i="5"/>
  <c r="W60" i="5"/>
  <c r="V60" i="5"/>
  <c r="U60" i="5"/>
  <c r="T60" i="5"/>
  <c r="Q60" i="5"/>
  <c r="P60" i="5"/>
  <c r="O60" i="5"/>
  <c r="N60" i="5"/>
  <c r="HE59" i="5"/>
  <c r="HD59" i="5"/>
  <c r="HC59" i="5"/>
  <c r="HB59" i="5"/>
  <c r="HA59" i="5"/>
  <c r="GZ59" i="5"/>
  <c r="GY59" i="5"/>
  <c r="GX59" i="5"/>
  <c r="GW59" i="5"/>
  <c r="GV59" i="5"/>
  <c r="GU59" i="5"/>
  <c r="GT59" i="5"/>
  <c r="GS59" i="5"/>
  <c r="GR59" i="5"/>
  <c r="GQ59" i="5"/>
  <c r="GP59" i="5"/>
  <c r="AA59" i="5"/>
  <c r="W59" i="5"/>
  <c r="U59" i="5"/>
  <c r="T59" i="5"/>
  <c r="P59" i="5"/>
  <c r="O59" i="5"/>
  <c r="AB59" i="5" s="1"/>
  <c r="N59" i="5"/>
  <c r="HE58" i="5"/>
  <c r="HD58" i="5"/>
  <c r="HC58" i="5"/>
  <c r="HB58" i="5"/>
  <c r="HA58" i="5"/>
  <c r="GZ58" i="5"/>
  <c r="GY58" i="5"/>
  <c r="GX58" i="5"/>
  <c r="GW58" i="5"/>
  <c r="GV58" i="5"/>
  <c r="GU58" i="5"/>
  <c r="GT58" i="5"/>
  <c r="GS58" i="5"/>
  <c r="GR58" i="5"/>
  <c r="GQ58" i="5"/>
  <c r="GP58" i="5"/>
  <c r="AA58" i="5"/>
  <c r="W58" i="5"/>
  <c r="U58" i="5"/>
  <c r="T58" i="5"/>
  <c r="P58" i="5"/>
  <c r="O58" i="5"/>
  <c r="N58" i="5"/>
  <c r="HE57" i="5"/>
  <c r="HD57" i="5"/>
  <c r="HC57" i="5"/>
  <c r="HB57" i="5"/>
  <c r="HA57" i="5"/>
  <c r="GZ57" i="5"/>
  <c r="GY57" i="5"/>
  <c r="GX57" i="5"/>
  <c r="GW57" i="5"/>
  <c r="GV57" i="5"/>
  <c r="GU57" i="5"/>
  <c r="GT57" i="5"/>
  <c r="GS57" i="5"/>
  <c r="GR57" i="5"/>
  <c r="GQ57" i="5"/>
  <c r="GP57" i="5"/>
  <c r="AB57" i="5"/>
  <c r="R57" i="5" s="1"/>
  <c r="AA57" i="5"/>
  <c r="W57" i="5"/>
  <c r="V57" i="5"/>
  <c r="U57" i="5"/>
  <c r="T57" i="5"/>
  <c r="P57" i="5"/>
  <c r="O57" i="5"/>
  <c r="N57" i="5"/>
  <c r="AA56" i="5"/>
  <c r="W56" i="5"/>
  <c r="V56" i="5"/>
  <c r="U56" i="5"/>
  <c r="T56" i="5"/>
  <c r="S56" i="5"/>
  <c r="P56" i="5"/>
  <c r="O56" i="5"/>
  <c r="AB56" i="5" s="1"/>
  <c r="N56" i="5"/>
  <c r="HE55" i="5"/>
  <c r="HD55" i="5"/>
  <c r="HC55" i="5"/>
  <c r="HB55" i="5"/>
  <c r="HA55" i="5"/>
  <c r="GZ55" i="5"/>
  <c r="GY55" i="5"/>
  <c r="GX55" i="5"/>
  <c r="GW55" i="5"/>
  <c r="GV55" i="5"/>
  <c r="GU55" i="5"/>
  <c r="GT55" i="5"/>
  <c r="GS55" i="5"/>
  <c r="GR55" i="5"/>
  <c r="GQ55" i="5"/>
  <c r="GP55" i="5"/>
  <c r="AA55" i="5"/>
  <c r="T55" i="5"/>
  <c r="R55" i="5"/>
  <c r="Q55" i="5"/>
  <c r="HE54" i="5"/>
  <c r="HD54" i="5"/>
  <c r="HC54" i="5"/>
  <c r="HB54" i="5"/>
  <c r="HA54" i="5"/>
  <c r="GZ54" i="5"/>
  <c r="GY54" i="5"/>
  <c r="GX54" i="5"/>
  <c r="GW54" i="5"/>
  <c r="GV54" i="5"/>
  <c r="GU54" i="5"/>
  <c r="GT54" i="5"/>
  <c r="GS54" i="5"/>
  <c r="GR54" i="5"/>
  <c r="GQ54" i="5"/>
  <c r="S54" i="5" s="1"/>
  <c r="GP54" i="5"/>
  <c r="AA54" i="5"/>
  <c r="W54" i="5"/>
  <c r="U54" i="5"/>
  <c r="T54" i="5"/>
  <c r="P54" i="5"/>
  <c r="O54" i="5"/>
  <c r="N54" i="5"/>
  <c r="HE53" i="5"/>
  <c r="HD53" i="5"/>
  <c r="HC53" i="5"/>
  <c r="HB53" i="5"/>
  <c r="HA53" i="5"/>
  <c r="GZ53" i="5"/>
  <c r="GY53" i="5"/>
  <c r="GX53" i="5"/>
  <c r="GW53" i="5"/>
  <c r="GV53" i="5"/>
  <c r="GU53" i="5"/>
  <c r="GT53" i="5"/>
  <c r="GS53" i="5"/>
  <c r="GR53" i="5"/>
  <c r="GQ53" i="5"/>
  <c r="GP53" i="5"/>
  <c r="AA53" i="5"/>
  <c r="W53" i="5"/>
  <c r="U53" i="5"/>
  <c r="T53" i="5"/>
  <c r="P53" i="5"/>
  <c r="O53" i="5"/>
  <c r="N53" i="5"/>
  <c r="HE52" i="5"/>
  <c r="HD52" i="5"/>
  <c r="HC52" i="5"/>
  <c r="HB52" i="5"/>
  <c r="HA52" i="5"/>
  <c r="GZ52" i="5"/>
  <c r="GY52" i="5"/>
  <c r="GX52" i="5"/>
  <c r="GW52" i="5"/>
  <c r="GV52" i="5"/>
  <c r="GU52" i="5"/>
  <c r="GT52" i="5"/>
  <c r="GS52" i="5"/>
  <c r="GR52" i="5"/>
  <c r="GQ52" i="5"/>
  <c r="S52" i="5" s="1"/>
  <c r="GP52" i="5"/>
  <c r="AA52" i="5"/>
  <c r="W52" i="5"/>
  <c r="U52" i="5"/>
  <c r="T52" i="5"/>
  <c r="P52" i="5"/>
  <c r="O52" i="5"/>
  <c r="V52" i="5" s="1"/>
  <c r="N52" i="5"/>
  <c r="AB51" i="5"/>
  <c r="R51" i="5" s="1"/>
  <c r="AA51" i="5"/>
  <c r="W51" i="5"/>
  <c r="V51" i="5"/>
  <c r="U51" i="5"/>
  <c r="T51" i="5"/>
  <c r="S51" i="5"/>
  <c r="P51" i="5"/>
  <c r="O51" i="5"/>
  <c r="N51" i="5"/>
  <c r="HE50" i="5"/>
  <c r="HD50" i="5"/>
  <c r="HC50" i="5"/>
  <c r="HB50" i="5"/>
  <c r="HA50" i="5"/>
  <c r="GZ50" i="5"/>
  <c r="GY50" i="5"/>
  <c r="GX50" i="5"/>
  <c r="GW50" i="5"/>
  <c r="GV50" i="5"/>
  <c r="GU50" i="5"/>
  <c r="GT50" i="5"/>
  <c r="GS50" i="5"/>
  <c r="GR50" i="5"/>
  <c r="GQ50" i="5"/>
  <c r="GP50" i="5"/>
  <c r="S50" i="5" s="1"/>
  <c r="AB50" i="5"/>
  <c r="R50" i="5" s="1"/>
  <c r="AA50" i="5"/>
  <c r="W50" i="5"/>
  <c r="V50" i="5"/>
  <c r="U50" i="5"/>
  <c r="T50" i="5"/>
  <c r="Q50" i="5"/>
  <c r="P50" i="5"/>
  <c r="O50" i="5"/>
  <c r="N50" i="5"/>
  <c r="HE49" i="5"/>
  <c r="HD49" i="5"/>
  <c r="HC49" i="5"/>
  <c r="HB49" i="5"/>
  <c r="HA49" i="5"/>
  <c r="GZ49" i="5"/>
  <c r="GY49" i="5"/>
  <c r="GX49" i="5"/>
  <c r="GW49" i="5"/>
  <c r="GV49" i="5"/>
  <c r="GU49" i="5"/>
  <c r="S49" i="5" s="1"/>
  <c r="GT49" i="5"/>
  <c r="GS49" i="5"/>
  <c r="GR49" i="5"/>
  <c r="GQ49" i="5"/>
  <c r="GP49" i="5"/>
  <c r="AB49" i="5"/>
  <c r="R49" i="5" s="1"/>
  <c r="AA49" i="5"/>
  <c r="W49" i="5"/>
  <c r="V49" i="5"/>
  <c r="U49" i="5"/>
  <c r="T49" i="5"/>
  <c r="P49" i="5"/>
  <c r="O49" i="5"/>
  <c r="N49" i="5"/>
  <c r="HE48" i="5"/>
  <c r="HD48" i="5"/>
  <c r="HC48" i="5"/>
  <c r="HB48" i="5"/>
  <c r="HA48" i="5"/>
  <c r="GZ48" i="5"/>
  <c r="GY48" i="5"/>
  <c r="GX48" i="5"/>
  <c r="GW48" i="5"/>
  <c r="GV48" i="5"/>
  <c r="GU48" i="5"/>
  <c r="GT48" i="5"/>
  <c r="GS48" i="5"/>
  <c r="GR48" i="5"/>
  <c r="S48" i="5" s="1"/>
  <c r="GQ48" i="5"/>
  <c r="GP48" i="5"/>
  <c r="AA48" i="5"/>
  <c r="W48" i="5"/>
  <c r="V48" i="5"/>
  <c r="U48" i="5"/>
  <c r="T48" i="5"/>
  <c r="P48" i="5"/>
  <c r="O48" i="5"/>
  <c r="AB48" i="5" s="1"/>
  <c r="N48" i="5"/>
  <c r="HE47" i="5"/>
  <c r="HD47" i="5"/>
  <c r="HC47" i="5"/>
  <c r="HB47" i="5"/>
  <c r="HA47" i="5"/>
  <c r="GZ47" i="5"/>
  <c r="GY47" i="5"/>
  <c r="GX47" i="5"/>
  <c r="GW47" i="5"/>
  <c r="GV47" i="5"/>
  <c r="GU47" i="5"/>
  <c r="GT47" i="5"/>
  <c r="GS47" i="5"/>
  <c r="GR47" i="5"/>
  <c r="GQ47" i="5"/>
  <c r="GP47" i="5"/>
  <c r="S47" i="5" s="1"/>
  <c r="AA47" i="5"/>
  <c r="W47" i="5"/>
  <c r="U47" i="5"/>
  <c r="T47" i="5"/>
  <c r="R47" i="5"/>
  <c r="P47" i="5"/>
  <c r="O47" i="5"/>
  <c r="AB47" i="5" s="1"/>
  <c r="Q47" i="5" s="1"/>
  <c r="N47" i="5"/>
  <c r="HE46" i="5"/>
  <c r="HD46" i="5"/>
  <c r="HC46" i="5"/>
  <c r="HB46" i="5"/>
  <c r="HA46" i="5"/>
  <c r="GZ46" i="5"/>
  <c r="GY46" i="5"/>
  <c r="GX46" i="5"/>
  <c r="GW46" i="5"/>
  <c r="GV46" i="5"/>
  <c r="GU46" i="5"/>
  <c r="GT46" i="5"/>
  <c r="GS46" i="5"/>
  <c r="GR46" i="5"/>
  <c r="GQ46" i="5"/>
  <c r="GP46" i="5"/>
  <c r="AA46" i="5"/>
  <c r="W46" i="5"/>
  <c r="U46" i="5"/>
  <c r="T46" i="5"/>
  <c r="P46" i="5"/>
  <c r="O46" i="5"/>
  <c r="N46" i="5"/>
  <c r="HE45" i="5"/>
  <c r="HD45" i="5"/>
  <c r="HC45" i="5"/>
  <c r="HB45" i="5"/>
  <c r="HA45" i="5"/>
  <c r="GZ45" i="5"/>
  <c r="GY45" i="5"/>
  <c r="GX45" i="5"/>
  <c r="GW45" i="5"/>
  <c r="GV45" i="5"/>
  <c r="GU45" i="5"/>
  <c r="GT45" i="5"/>
  <c r="GS45" i="5"/>
  <c r="GR45" i="5"/>
  <c r="GQ45" i="5"/>
  <c r="GP45" i="5"/>
  <c r="AA45" i="5"/>
  <c r="W45" i="5"/>
  <c r="U45" i="5"/>
  <c r="T45" i="5"/>
  <c r="P45" i="5"/>
  <c r="O45" i="5"/>
  <c r="AB45" i="5" s="1"/>
  <c r="N45" i="5"/>
  <c r="AB44" i="5"/>
  <c r="R44" i="5" s="1"/>
  <c r="AA44" i="5"/>
  <c r="W44" i="5"/>
  <c r="V44" i="5"/>
  <c r="U44" i="5"/>
  <c r="T44" i="5"/>
  <c r="S44" i="5"/>
  <c r="P44" i="5"/>
  <c r="O44" i="5"/>
  <c r="N44" i="5"/>
  <c r="HE43" i="5"/>
  <c r="HD43" i="5"/>
  <c r="HC43" i="5"/>
  <c r="HB43" i="5"/>
  <c r="HA43" i="5"/>
  <c r="GZ43" i="5"/>
  <c r="GY43" i="5"/>
  <c r="GX43" i="5"/>
  <c r="GW43" i="5"/>
  <c r="GV43" i="5"/>
  <c r="GU43" i="5"/>
  <c r="GT43" i="5"/>
  <c r="GS43" i="5"/>
  <c r="GR43" i="5"/>
  <c r="GQ43" i="5"/>
  <c r="GP43" i="5"/>
  <c r="AA43" i="5"/>
  <c r="T43" i="5"/>
  <c r="R43" i="5"/>
  <c r="Q43" i="5"/>
  <c r="HE42" i="5"/>
  <c r="HD42" i="5"/>
  <c r="HC42" i="5"/>
  <c r="HB42" i="5"/>
  <c r="HA42" i="5"/>
  <c r="GZ42" i="5"/>
  <c r="GY42" i="5"/>
  <c r="GX42" i="5"/>
  <c r="GW42" i="5"/>
  <c r="GV42" i="5"/>
  <c r="GU42" i="5"/>
  <c r="GT42" i="5"/>
  <c r="GS42" i="5"/>
  <c r="GR42" i="5"/>
  <c r="GQ42" i="5"/>
  <c r="GP42" i="5"/>
  <c r="S42" i="5" s="1"/>
  <c r="AA42" i="5"/>
  <c r="W42" i="5"/>
  <c r="V42" i="5"/>
  <c r="U42" i="5"/>
  <c r="T42" i="5"/>
  <c r="P42" i="5"/>
  <c r="O42" i="5"/>
  <c r="AB42" i="5" s="1"/>
  <c r="N42" i="5"/>
  <c r="HE41" i="5"/>
  <c r="HD41" i="5"/>
  <c r="HC41" i="5"/>
  <c r="HB41" i="5"/>
  <c r="HA41" i="5"/>
  <c r="GZ41" i="5"/>
  <c r="GY41" i="5"/>
  <c r="GX41" i="5"/>
  <c r="GW41" i="5"/>
  <c r="GV41" i="5"/>
  <c r="GU41" i="5"/>
  <c r="GT41" i="5"/>
  <c r="GS41" i="5"/>
  <c r="GR41" i="5"/>
  <c r="GQ41" i="5"/>
  <c r="GP41" i="5"/>
  <c r="S41" i="5" s="1"/>
  <c r="AA41" i="5"/>
  <c r="W41" i="5"/>
  <c r="U41" i="5"/>
  <c r="T41" i="5"/>
  <c r="R41" i="5"/>
  <c r="P41" i="5"/>
  <c r="O41" i="5"/>
  <c r="AB41" i="5" s="1"/>
  <c r="Q41" i="5" s="1"/>
  <c r="N41" i="5"/>
  <c r="HE40" i="5"/>
  <c r="HD40" i="5"/>
  <c r="HC40" i="5"/>
  <c r="HB40" i="5"/>
  <c r="HA40" i="5"/>
  <c r="GZ40" i="5"/>
  <c r="GY40" i="5"/>
  <c r="GX40" i="5"/>
  <c r="GW40" i="5"/>
  <c r="GV40" i="5"/>
  <c r="GU40" i="5"/>
  <c r="GT40" i="5"/>
  <c r="GS40" i="5"/>
  <c r="GR40" i="5"/>
  <c r="GQ40" i="5"/>
  <c r="GP40" i="5"/>
  <c r="AA40" i="5"/>
  <c r="W40" i="5"/>
  <c r="U40" i="5"/>
  <c r="T40" i="5"/>
  <c r="P40" i="5"/>
  <c r="O40" i="5"/>
  <c r="N40" i="5"/>
  <c r="HE39" i="5"/>
  <c r="HD39" i="5"/>
  <c r="HC39" i="5"/>
  <c r="HB39" i="5"/>
  <c r="HA39" i="5"/>
  <c r="GZ39" i="5"/>
  <c r="GY39" i="5"/>
  <c r="GX39" i="5"/>
  <c r="GW39" i="5"/>
  <c r="GV39" i="5"/>
  <c r="GU39" i="5"/>
  <c r="GT39" i="5"/>
  <c r="GS39" i="5"/>
  <c r="GR39" i="5"/>
  <c r="GQ39" i="5"/>
  <c r="GP39" i="5"/>
  <c r="AA39" i="5"/>
  <c r="W39" i="5"/>
  <c r="U39" i="5"/>
  <c r="T39" i="5"/>
  <c r="P39" i="5"/>
  <c r="O39" i="5"/>
  <c r="N39" i="5"/>
  <c r="HE38" i="5"/>
  <c r="HD38" i="5"/>
  <c r="HC38" i="5"/>
  <c r="HB38" i="5"/>
  <c r="HA38" i="5"/>
  <c r="GZ38" i="5"/>
  <c r="GY38" i="5"/>
  <c r="GX38" i="5"/>
  <c r="GW38" i="5"/>
  <c r="GV38" i="5"/>
  <c r="GU38" i="5"/>
  <c r="GT38" i="5"/>
  <c r="GS38" i="5"/>
  <c r="GR38" i="5"/>
  <c r="GQ38" i="5"/>
  <c r="GP38" i="5"/>
  <c r="AA38" i="5"/>
  <c r="W38" i="5"/>
  <c r="U38" i="5"/>
  <c r="T38" i="5"/>
  <c r="P38" i="5"/>
  <c r="O38" i="5"/>
  <c r="V38" i="5" s="1"/>
  <c r="N38" i="5"/>
  <c r="HE37" i="5"/>
  <c r="HD37" i="5"/>
  <c r="HC37" i="5"/>
  <c r="HB37" i="5"/>
  <c r="HA37" i="5"/>
  <c r="GZ37" i="5"/>
  <c r="GY37" i="5"/>
  <c r="GX37" i="5"/>
  <c r="GW37" i="5"/>
  <c r="GV37" i="5"/>
  <c r="GU37" i="5"/>
  <c r="GT37" i="5"/>
  <c r="GS37" i="5"/>
  <c r="GR37" i="5"/>
  <c r="GQ37" i="5"/>
  <c r="GP37" i="5"/>
  <c r="AA37" i="5"/>
  <c r="W37" i="5"/>
  <c r="V37" i="5"/>
  <c r="U37" i="5"/>
  <c r="T37" i="5"/>
  <c r="P37" i="5"/>
  <c r="O37" i="5"/>
  <c r="AB37" i="5" s="1"/>
  <c r="N37" i="5"/>
  <c r="AB36" i="5"/>
  <c r="R36" i="5" s="1"/>
  <c r="AA36" i="5"/>
  <c r="W36" i="5"/>
  <c r="V36" i="5"/>
  <c r="U36" i="5"/>
  <c r="T36" i="5"/>
  <c r="S36" i="5"/>
  <c r="Q36" i="5"/>
  <c r="P36" i="5"/>
  <c r="O36" i="5"/>
  <c r="N36" i="5"/>
  <c r="HE35" i="5"/>
  <c r="HD35" i="5"/>
  <c r="HC35" i="5"/>
  <c r="HB35" i="5"/>
  <c r="HA35" i="5"/>
  <c r="GZ35" i="5"/>
  <c r="GY35" i="5"/>
  <c r="GX35" i="5"/>
  <c r="GW35" i="5"/>
  <c r="GV35" i="5"/>
  <c r="GU35" i="5"/>
  <c r="GT35" i="5"/>
  <c r="GS35" i="5"/>
  <c r="GR35" i="5"/>
  <c r="GQ35" i="5"/>
  <c r="GP35" i="5"/>
  <c r="AA35" i="5"/>
  <c r="T35" i="5"/>
  <c r="R35" i="5"/>
  <c r="Q35" i="5"/>
  <c r="HE34" i="5"/>
  <c r="HD34" i="5"/>
  <c r="HC34" i="5"/>
  <c r="HB34" i="5"/>
  <c r="HA34" i="5"/>
  <c r="GZ34" i="5"/>
  <c r="GY34" i="5"/>
  <c r="GX34" i="5"/>
  <c r="GW34" i="5"/>
  <c r="GV34" i="5"/>
  <c r="GU34" i="5"/>
  <c r="GT34" i="5"/>
  <c r="GS34" i="5"/>
  <c r="S34" i="5" s="1"/>
  <c r="GR34" i="5"/>
  <c r="GQ34" i="5"/>
  <c r="GP34" i="5"/>
  <c r="AA34" i="5"/>
  <c r="W34" i="5"/>
  <c r="U34" i="5"/>
  <c r="T34" i="5"/>
  <c r="P34" i="5"/>
  <c r="O34" i="5"/>
  <c r="AB34" i="5" s="1"/>
  <c r="N34" i="5"/>
  <c r="HE33" i="5"/>
  <c r="HD33" i="5"/>
  <c r="HC33" i="5"/>
  <c r="HB33" i="5"/>
  <c r="HA33" i="5"/>
  <c r="GZ33" i="5"/>
  <c r="GY33" i="5"/>
  <c r="GX33" i="5"/>
  <c r="GW33" i="5"/>
  <c r="GV33" i="5"/>
  <c r="GU33" i="5"/>
  <c r="GT33" i="5"/>
  <c r="GS33" i="5"/>
  <c r="GR33" i="5"/>
  <c r="GQ33" i="5"/>
  <c r="GP33" i="5"/>
  <c r="AA33" i="5"/>
  <c r="W33" i="5"/>
  <c r="U33" i="5"/>
  <c r="T33" i="5"/>
  <c r="S33" i="5"/>
  <c r="P33" i="5"/>
  <c r="O33" i="5"/>
  <c r="AB33" i="5" s="1"/>
  <c r="Q33" i="5" s="1"/>
  <c r="N33" i="5"/>
  <c r="HE32" i="5"/>
  <c r="HD32" i="5"/>
  <c r="HC32" i="5"/>
  <c r="HB32" i="5"/>
  <c r="HA32" i="5"/>
  <c r="GZ32" i="5"/>
  <c r="GY32" i="5"/>
  <c r="GX32" i="5"/>
  <c r="GW32" i="5"/>
  <c r="GV32" i="5"/>
  <c r="GU32" i="5"/>
  <c r="GT32" i="5"/>
  <c r="GS32" i="5"/>
  <c r="GR32" i="5"/>
  <c r="GQ32" i="5"/>
  <c r="GP32" i="5"/>
  <c r="AA32" i="5"/>
  <c r="W32" i="5"/>
  <c r="U32" i="5"/>
  <c r="T32" i="5"/>
  <c r="P32" i="5"/>
  <c r="O32" i="5"/>
  <c r="V32" i="5" s="1"/>
  <c r="N32" i="5"/>
  <c r="HE31" i="5"/>
  <c r="HD31" i="5"/>
  <c r="HC31" i="5"/>
  <c r="HB31" i="5"/>
  <c r="HA31" i="5"/>
  <c r="GZ31" i="5"/>
  <c r="GY31" i="5"/>
  <c r="GX31" i="5"/>
  <c r="GW31" i="5"/>
  <c r="GV31" i="5"/>
  <c r="GU31" i="5"/>
  <c r="GT31" i="5"/>
  <c r="GS31" i="5"/>
  <c r="GR31" i="5"/>
  <c r="GQ31" i="5"/>
  <c r="GP31" i="5"/>
  <c r="AA31" i="5"/>
  <c r="W31" i="5"/>
  <c r="U31" i="5"/>
  <c r="T31" i="5"/>
  <c r="P31" i="5"/>
  <c r="O31" i="5"/>
  <c r="AB31" i="5" s="1"/>
  <c r="Q31" i="5" s="1"/>
  <c r="N31" i="5"/>
  <c r="HE30" i="5"/>
  <c r="HD30" i="5"/>
  <c r="HC30" i="5"/>
  <c r="HB30" i="5"/>
  <c r="HA30" i="5"/>
  <c r="GZ30" i="5"/>
  <c r="GY30" i="5"/>
  <c r="GX30" i="5"/>
  <c r="GW30" i="5"/>
  <c r="GV30" i="5"/>
  <c r="GU30" i="5"/>
  <c r="GT30" i="5"/>
  <c r="GS30" i="5"/>
  <c r="GR30" i="5"/>
  <c r="GQ30" i="5"/>
  <c r="GP30" i="5"/>
  <c r="S30" i="5" s="1"/>
  <c r="AB30" i="5"/>
  <c r="R30" i="5" s="1"/>
  <c r="AA30" i="5"/>
  <c r="W30" i="5"/>
  <c r="U30" i="5"/>
  <c r="T30" i="5"/>
  <c r="P30" i="5"/>
  <c r="O30" i="5"/>
  <c r="V30" i="5" s="1"/>
  <c r="N30" i="5"/>
  <c r="HE29" i="5"/>
  <c r="HD29" i="5"/>
  <c r="HC29" i="5"/>
  <c r="HB29" i="5"/>
  <c r="HA29" i="5"/>
  <c r="GZ29" i="5"/>
  <c r="GY29" i="5"/>
  <c r="GX29" i="5"/>
  <c r="GW29" i="5"/>
  <c r="GV29" i="5"/>
  <c r="GU29" i="5"/>
  <c r="GT29" i="5"/>
  <c r="GS29" i="5"/>
  <c r="GR29" i="5"/>
  <c r="GQ29" i="5"/>
  <c r="GP29" i="5"/>
  <c r="AB29" i="5"/>
  <c r="Q29" i="5" s="1"/>
  <c r="AA29" i="5"/>
  <c r="W29" i="5"/>
  <c r="U29" i="5"/>
  <c r="T29" i="5"/>
  <c r="S29" i="5"/>
  <c r="P29" i="5"/>
  <c r="O29" i="5"/>
  <c r="V29" i="5" s="1"/>
  <c r="N29" i="5"/>
  <c r="HE28" i="5"/>
  <c r="HD28" i="5"/>
  <c r="HC28" i="5"/>
  <c r="HB28" i="5"/>
  <c r="HA28" i="5"/>
  <c r="GZ28" i="5"/>
  <c r="GY28" i="5"/>
  <c r="GX28" i="5"/>
  <c r="GW28" i="5"/>
  <c r="GV28" i="5"/>
  <c r="GU28" i="5"/>
  <c r="GT28" i="5"/>
  <c r="GS28" i="5"/>
  <c r="GR28" i="5"/>
  <c r="GQ28" i="5"/>
  <c r="S28" i="5" s="1"/>
  <c r="GP28" i="5"/>
  <c r="AA28" i="5"/>
  <c r="W28" i="5"/>
  <c r="V28" i="5"/>
  <c r="U28" i="5"/>
  <c r="T28" i="5"/>
  <c r="P28" i="5"/>
  <c r="O28" i="5"/>
  <c r="AB28" i="5" s="1"/>
  <c r="N28" i="5"/>
  <c r="HE27" i="5"/>
  <c r="HD27" i="5"/>
  <c r="HC27" i="5"/>
  <c r="HB27" i="5"/>
  <c r="HA27" i="5"/>
  <c r="GZ27" i="5"/>
  <c r="GY27" i="5"/>
  <c r="GX27" i="5"/>
  <c r="GW27" i="5"/>
  <c r="GV27" i="5"/>
  <c r="GU27" i="5"/>
  <c r="GT27" i="5"/>
  <c r="GS27" i="5"/>
  <c r="GR27" i="5"/>
  <c r="GQ27" i="5"/>
  <c r="GP27" i="5"/>
  <c r="S27" i="5" s="1"/>
  <c r="AB27" i="5"/>
  <c r="R27" i="5" s="1"/>
  <c r="AA27" i="5"/>
  <c r="W27" i="5"/>
  <c r="V27" i="5"/>
  <c r="U27" i="5"/>
  <c r="T27" i="5"/>
  <c r="Q27" i="5"/>
  <c r="P27" i="5"/>
  <c r="O27" i="5"/>
  <c r="N27" i="5"/>
  <c r="HE26" i="5"/>
  <c r="HD26" i="5"/>
  <c r="HC26" i="5"/>
  <c r="HB26" i="5"/>
  <c r="HA26" i="5"/>
  <c r="GZ26" i="5"/>
  <c r="GY26" i="5"/>
  <c r="GX26" i="5"/>
  <c r="GW26" i="5"/>
  <c r="GV26" i="5"/>
  <c r="GU26" i="5"/>
  <c r="GT26" i="5"/>
  <c r="GS26" i="5"/>
  <c r="S26" i="5" s="1"/>
  <c r="GR26" i="5"/>
  <c r="GQ26" i="5"/>
  <c r="GP26" i="5"/>
  <c r="AB26" i="5"/>
  <c r="R26" i="5" s="1"/>
  <c r="AA26" i="5"/>
  <c r="W26" i="5"/>
  <c r="V26" i="5"/>
  <c r="U26" i="5"/>
  <c r="T26" i="5"/>
  <c r="Q26" i="5"/>
  <c r="P26" i="5"/>
  <c r="O26" i="5"/>
  <c r="N26" i="5"/>
  <c r="HE25" i="5"/>
  <c r="HD25" i="5"/>
  <c r="HC25" i="5"/>
  <c r="HB25" i="5"/>
  <c r="HA25" i="5"/>
  <c r="GZ25" i="5"/>
  <c r="GY25" i="5"/>
  <c r="GX25" i="5"/>
  <c r="GW25" i="5"/>
  <c r="GV25" i="5"/>
  <c r="GU25" i="5"/>
  <c r="GT25" i="5"/>
  <c r="GS25" i="5"/>
  <c r="GR25" i="5"/>
  <c r="S25" i="5" s="1"/>
  <c r="GQ25" i="5"/>
  <c r="GP25" i="5"/>
  <c r="AA25" i="5"/>
  <c r="W25" i="5"/>
  <c r="V25" i="5"/>
  <c r="U25" i="5"/>
  <c r="T25" i="5"/>
  <c r="P25" i="5"/>
  <c r="O25" i="5"/>
  <c r="AB25" i="5" s="1"/>
  <c r="N25" i="5"/>
  <c r="HE24" i="5"/>
  <c r="HD24" i="5"/>
  <c r="HC24" i="5"/>
  <c r="HB24" i="5"/>
  <c r="HA24" i="5"/>
  <c r="GZ24" i="5"/>
  <c r="GY24" i="5"/>
  <c r="GX24" i="5"/>
  <c r="GW24" i="5"/>
  <c r="S24" i="5" s="1"/>
  <c r="GV24" i="5"/>
  <c r="GU24" i="5"/>
  <c r="GT24" i="5"/>
  <c r="GS24" i="5"/>
  <c r="GR24" i="5"/>
  <c r="GQ24" i="5"/>
  <c r="GP24" i="5"/>
  <c r="AA24" i="5"/>
  <c r="W24" i="5"/>
  <c r="V24" i="5"/>
  <c r="U24" i="5"/>
  <c r="T24" i="5"/>
  <c r="P24" i="5"/>
  <c r="O24" i="5"/>
  <c r="AB24" i="5" s="1"/>
  <c r="N24" i="5"/>
  <c r="HE23" i="5"/>
  <c r="HD23" i="5"/>
  <c r="HC23" i="5"/>
  <c r="HB23" i="5"/>
  <c r="HA23" i="5"/>
  <c r="GZ23" i="5"/>
  <c r="GY23" i="5"/>
  <c r="GX23" i="5"/>
  <c r="GW23" i="5"/>
  <c r="GV23" i="5"/>
  <c r="GU23" i="5"/>
  <c r="GT23" i="5"/>
  <c r="GS23" i="5"/>
  <c r="GR23" i="5"/>
  <c r="S23" i="5" s="1"/>
  <c r="GQ23" i="5"/>
  <c r="GP23" i="5"/>
  <c r="AA23" i="5"/>
  <c r="W23" i="5"/>
  <c r="U23" i="5"/>
  <c r="T23" i="5"/>
  <c r="P23" i="5"/>
  <c r="O23" i="5"/>
  <c r="V23" i="5" s="1"/>
  <c r="N23" i="5"/>
  <c r="HE22" i="5"/>
  <c r="HD22" i="5"/>
  <c r="HC22" i="5"/>
  <c r="HB22" i="5"/>
  <c r="HA22" i="5"/>
  <c r="GZ22" i="5"/>
  <c r="GY22" i="5"/>
  <c r="GX22" i="5"/>
  <c r="GW22" i="5"/>
  <c r="GV22" i="5"/>
  <c r="GU22" i="5"/>
  <c r="GT22" i="5"/>
  <c r="GS22" i="5"/>
  <c r="GR22" i="5"/>
  <c r="GQ22" i="5"/>
  <c r="S22" i="5" s="1"/>
  <c r="GP22" i="5"/>
  <c r="AA22" i="5"/>
  <c r="W22" i="5"/>
  <c r="V22" i="5"/>
  <c r="U22" i="5"/>
  <c r="T22" i="5"/>
  <c r="P22" i="5"/>
  <c r="O22" i="5"/>
  <c r="AB22" i="5" s="1"/>
  <c r="N22" i="5"/>
  <c r="AB21" i="5"/>
  <c r="Q21" i="5" s="1"/>
  <c r="AA21" i="5"/>
  <c r="W21" i="5"/>
  <c r="U21" i="5"/>
  <c r="T21" i="5"/>
  <c r="S21" i="5"/>
  <c r="P21" i="5"/>
  <c r="O21" i="5"/>
  <c r="V21" i="5" s="1"/>
  <c r="N21" i="5"/>
  <c r="HE20" i="5"/>
  <c r="HD20" i="5"/>
  <c r="HC20" i="5"/>
  <c r="HB20" i="5"/>
  <c r="HA20" i="5"/>
  <c r="GZ20" i="5"/>
  <c r="GY20" i="5"/>
  <c r="GX20" i="5"/>
  <c r="GW20" i="5"/>
  <c r="GV20" i="5"/>
  <c r="GU20" i="5"/>
  <c r="GT20" i="5"/>
  <c r="GS20" i="5"/>
  <c r="GR20" i="5"/>
  <c r="GQ20" i="5"/>
  <c r="GP20" i="5"/>
  <c r="AA20" i="5"/>
  <c r="T20" i="5"/>
  <c r="R20" i="5"/>
  <c r="Q20" i="5"/>
  <c r="HE19" i="5"/>
  <c r="HD19" i="5"/>
  <c r="HC19" i="5"/>
  <c r="HB19" i="5"/>
  <c r="HA19" i="5"/>
  <c r="GZ19" i="5"/>
  <c r="GY19" i="5"/>
  <c r="GX19" i="5"/>
  <c r="GW19" i="5"/>
  <c r="GV19" i="5"/>
  <c r="GU19" i="5"/>
  <c r="GT19" i="5"/>
  <c r="GS19" i="5"/>
  <c r="GR19" i="5"/>
  <c r="GQ19" i="5"/>
  <c r="GP19" i="5"/>
  <c r="AA19" i="5"/>
  <c r="W19" i="5"/>
  <c r="U19" i="5"/>
  <c r="T19" i="5"/>
  <c r="P19" i="5"/>
  <c r="O19" i="5"/>
  <c r="V19" i="5" s="1"/>
  <c r="N19" i="5"/>
  <c r="AA18" i="5"/>
  <c r="W18" i="5"/>
  <c r="V18" i="5"/>
  <c r="U18" i="5"/>
  <c r="T18" i="5"/>
  <c r="S18" i="5"/>
  <c r="P18" i="5"/>
  <c r="O18" i="5"/>
  <c r="AB18" i="5" s="1"/>
  <c r="N18" i="5"/>
  <c r="AA17" i="5"/>
  <c r="T17" i="5"/>
  <c r="R17" i="5"/>
  <c r="Q17" i="5"/>
  <c r="HE16" i="5"/>
  <c r="HD16" i="5"/>
  <c r="HC16" i="5"/>
  <c r="HB16" i="5"/>
  <c r="HA16" i="5"/>
  <c r="GZ16" i="5"/>
  <c r="GY16" i="5"/>
  <c r="GX16" i="5"/>
  <c r="GW16" i="5"/>
  <c r="GV16" i="5"/>
  <c r="GU16" i="5"/>
  <c r="GT16" i="5"/>
  <c r="GS16" i="5"/>
  <c r="GR16" i="5"/>
  <c r="GQ16" i="5"/>
  <c r="GP16" i="5"/>
  <c r="AB16" i="5"/>
  <c r="R16" i="5" s="1"/>
  <c r="AA16" i="5"/>
  <c r="W16" i="5"/>
  <c r="V16" i="5"/>
  <c r="U16" i="5"/>
  <c r="T16" i="5"/>
  <c r="Q16" i="5"/>
  <c r="P16" i="5"/>
  <c r="O16" i="5"/>
  <c r="N16" i="5"/>
  <c r="HE15" i="5"/>
  <c r="HD15" i="5"/>
  <c r="HC15" i="5"/>
  <c r="HB15" i="5"/>
  <c r="HA15" i="5"/>
  <c r="GZ15" i="5"/>
  <c r="GY15" i="5"/>
  <c r="GX15" i="5"/>
  <c r="GW15" i="5"/>
  <c r="GV15" i="5"/>
  <c r="GU15" i="5"/>
  <c r="GT15" i="5"/>
  <c r="GS15" i="5"/>
  <c r="GR15" i="5"/>
  <c r="GQ15" i="5"/>
  <c r="GP15" i="5"/>
  <c r="AA15" i="5"/>
  <c r="W15" i="5"/>
  <c r="U15" i="5"/>
  <c r="T15" i="5"/>
  <c r="P15" i="5"/>
  <c r="O15" i="5"/>
  <c r="V15" i="5" s="1"/>
  <c r="N15" i="5"/>
  <c r="HE14" i="5"/>
  <c r="HD14" i="5"/>
  <c r="HC14" i="5"/>
  <c r="HB14" i="5"/>
  <c r="HA14" i="5"/>
  <c r="GZ14" i="5"/>
  <c r="GY14" i="5"/>
  <c r="GX14" i="5"/>
  <c r="GW14" i="5"/>
  <c r="GV14" i="5"/>
  <c r="GU14" i="5"/>
  <c r="GT14" i="5"/>
  <c r="GS14" i="5"/>
  <c r="GR14" i="5"/>
  <c r="GQ14" i="5"/>
  <c r="GP14" i="5"/>
  <c r="AA14" i="5"/>
  <c r="W14" i="5"/>
  <c r="V14" i="5"/>
  <c r="U14" i="5"/>
  <c r="T14" i="5"/>
  <c r="P14" i="5"/>
  <c r="O14" i="5"/>
  <c r="AB14" i="5" s="1"/>
  <c r="N14" i="5"/>
  <c r="HE13" i="5"/>
  <c r="HD13" i="5"/>
  <c r="HC13" i="5"/>
  <c r="HB13" i="5"/>
  <c r="HA13" i="5"/>
  <c r="GZ13" i="5"/>
  <c r="GY13" i="5"/>
  <c r="GX13" i="5"/>
  <c r="GW13" i="5"/>
  <c r="GV13" i="5"/>
  <c r="GU13" i="5"/>
  <c r="GT13" i="5"/>
  <c r="GS13" i="5"/>
  <c r="GR13" i="5"/>
  <c r="GQ13" i="5"/>
  <c r="GP13" i="5"/>
  <c r="AA13" i="5"/>
  <c r="W13" i="5"/>
  <c r="V13" i="5"/>
  <c r="U13" i="5"/>
  <c r="T13" i="5"/>
  <c r="P13" i="5"/>
  <c r="O13" i="5"/>
  <c r="AB13" i="5" s="1"/>
  <c r="N13" i="5"/>
  <c r="HE12" i="5"/>
  <c r="HD12" i="5"/>
  <c r="HC12" i="5"/>
  <c r="HB12" i="5"/>
  <c r="HA12" i="5"/>
  <c r="GZ12" i="5"/>
  <c r="GY12" i="5"/>
  <c r="GX12" i="5"/>
  <c r="GW12" i="5"/>
  <c r="GV12" i="5"/>
  <c r="GU12" i="5"/>
  <c r="GT12" i="5"/>
  <c r="GS12" i="5"/>
  <c r="GR12" i="5"/>
  <c r="GQ12" i="5"/>
  <c r="GP12" i="5"/>
  <c r="AB12" i="5"/>
  <c r="R12" i="5" s="1"/>
  <c r="AA12" i="5"/>
  <c r="W12" i="5"/>
  <c r="U12" i="5"/>
  <c r="T12" i="5"/>
  <c r="P12" i="5"/>
  <c r="O12" i="5"/>
  <c r="V12" i="5" s="1"/>
  <c r="N12" i="5"/>
  <c r="HE11" i="5"/>
  <c r="HD11" i="5"/>
  <c r="HC11" i="5"/>
  <c r="HB11" i="5"/>
  <c r="HA11" i="5"/>
  <c r="GZ11" i="5"/>
  <c r="GY11" i="5"/>
  <c r="GX11" i="5"/>
  <c r="GW11" i="5"/>
  <c r="GV11" i="5"/>
  <c r="GU11" i="5"/>
  <c r="GT11" i="5"/>
  <c r="GS11" i="5"/>
  <c r="GR11" i="5"/>
  <c r="GQ11" i="5"/>
  <c r="GP11" i="5"/>
  <c r="AA11" i="5"/>
  <c r="W11" i="5"/>
  <c r="V11" i="5"/>
  <c r="U11" i="5"/>
  <c r="T11" i="5"/>
  <c r="P11" i="5"/>
  <c r="O11" i="5"/>
  <c r="AB11" i="5" s="1"/>
  <c r="N11" i="5"/>
  <c r="HE10" i="5"/>
  <c r="HD10" i="5"/>
  <c r="HC10" i="5"/>
  <c r="HB10" i="5"/>
  <c r="HA10" i="5"/>
  <c r="GZ10" i="5"/>
  <c r="GY10" i="5"/>
  <c r="GX10" i="5"/>
  <c r="GW10" i="5"/>
  <c r="GV10" i="5"/>
  <c r="GU10" i="5"/>
  <c r="GT10" i="5"/>
  <c r="GS10" i="5"/>
  <c r="GR10" i="5"/>
  <c r="GQ10" i="5"/>
  <c r="GP10" i="5"/>
  <c r="AB10" i="5"/>
  <c r="R10" i="5" s="1"/>
  <c r="AA10" i="5"/>
  <c r="W10" i="5"/>
  <c r="U10" i="5"/>
  <c r="T10" i="5"/>
  <c r="Q10" i="5"/>
  <c r="P10" i="5"/>
  <c r="O10" i="5"/>
  <c r="V10" i="5" s="1"/>
  <c r="N10" i="5"/>
  <c r="I13" i="4"/>
  <c r="I17" i="4"/>
  <c r="I14" i="4"/>
  <c r="I11" i="4"/>
  <c r="I20" i="4"/>
  <c r="I10" i="4"/>
  <c r="I7" i="4"/>
  <c r="I19" i="4"/>
  <c r="L15" i="4"/>
  <c r="I12" i="4"/>
  <c r="L8" i="4"/>
  <c r="L18" i="4"/>
  <c r="I15" i="4"/>
  <c r="L14" i="4"/>
  <c r="I8" i="4"/>
  <c r="I18" i="4"/>
  <c r="L10" i="4"/>
  <c r="L7" i="4"/>
  <c r="L13" i="4"/>
  <c r="L16" i="4"/>
  <c r="I6" i="4"/>
  <c r="L20" i="4"/>
  <c r="L19" i="4"/>
  <c r="L12" i="4"/>
  <c r="L11" i="4"/>
  <c r="L17" i="4"/>
  <c r="L9" i="4"/>
  <c r="I16" i="4"/>
  <c r="I9" i="4"/>
  <c r="I21" i="4" l="1"/>
  <c r="R18" i="5"/>
  <c r="Q18" i="5"/>
  <c r="R28" i="5"/>
  <c r="Q28" i="5"/>
  <c r="R45" i="5"/>
  <c r="Q45" i="5"/>
  <c r="Q11" i="5"/>
  <c r="R11" i="5"/>
  <c r="R14" i="5"/>
  <c r="Q14" i="5"/>
  <c r="Q24" i="5"/>
  <c r="R24" i="5"/>
  <c r="R25" i="5"/>
  <c r="Q25" i="5"/>
  <c r="R13" i="5"/>
  <c r="Q13" i="5"/>
  <c r="R37" i="5"/>
  <c r="Q37" i="5"/>
  <c r="R22" i="5"/>
  <c r="Q22" i="5"/>
  <c r="R21" i="5"/>
  <c r="R29" i="5"/>
  <c r="Q30" i="5"/>
  <c r="Q44" i="5"/>
  <c r="AB53" i="5"/>
  <c r="V53" i="5"/>
  <c r="R66" i="5"/>
  <c r="Q66" i="5"/>
  <c r="GW181" i="5"/>
  <c r="GW180" i="5"/>
  <c r="AB15" i="5"/>
  <c r="AB19" i="5"/>
  <c r="AB23" i="5"/>
  <c r="S38" i="5"/>
  <c r="AB39" i="5"/>
  <c r="V39" i="5"/>
  <c r="R42" i="5"/>
  <c r="Q42" i="5"/>
  <c r="S46" i="5"/>
  <c r="AB52" i="5"/>
  <c r="R62" i="5"/>
  <c r="Q62" i="5"/>
  <c r="R78" i="5"/>
  <c r="Q78" i="5"/>
  <c r="R104" i="5"/>
  <c r="Q104" i="5"/>
  <c r="HD181" i="5"/>
  <c r="HD180" i="5"/>
  <c r="GQ181" i="5"/>
  <c r="GQ180" i="5"/>
  <c r="GY181" i="5"/>
  <c r="GY180" i="5"/>
  <c r="S31" i="5"/>
  <c r="AB32" i="5"/>
  <c r="V34" i="5"/>
  <c r="S37" i="5"/>
  <c r="AB38" i="5"/>
  <c r="V45" i="5"/>
  <c r="HE181" i="5"/>
  <c r="HE180" i="5"/>
  <c r="GX181" i="5"/>
  <c r="GX180" i="5"/>
  <c r="GZ180" i="5"/>
  <c r="GZ181" i="5"/>
  <c r="R31" i="5"/>
  <c r="S40" i="5"/>
  <c r="R59" i="5"/>
  <c r="Q59" i="5"/>
  <c r="R48" i="5"/>
  <c r="Q48" i="5"/>
  <c r="R81" i="5"/>
  <c r="Q81" i="5"/>
  <c r="GP181" i="5"/>
  <c r="GP180" i="5"/>
  <c r="GR180" i="5"/>
  <c r="GR181" i="5"/>
  <c r="GS180" i="5"/>
  <c r="GS181" i="5"/>
  <c r="HA180" i="5"/>
  <c r="HA181" i="5"/>
  <c r="S32" i="5"/>
  <c r="V46" i="5"/>
  <c r="AB46" i="5"/>
  <c r="Q51" i="5"/>
  <c r="R56" i="5"/>
  <c r="Q56" i="5"/>
  <c r="AB58" i="5"/>
  <c r="V58" i="5"/>
  <c r="GV181" i="5"/>
  <c r="GV180" i="5"/>
  <c r="GT181" i="5"/>
  <c r="GT180" i="5"/>
  <c r="R34" i="5"/>
  <c r="Q34" i="5"/>
  <c r="S53" i="5"/>
  <c r="V54" i="5"/>
  <c r="AB54" i="5"/>
  <c r="R73" i="5"/>
  <c r="Q73" i="5"/>
  <c r="V61" i="5"/>
  <c r="AB61" i="5"/>
  <c r="HB181" i="5"/>
  <c r="HB180" i="5"/>
  <c r="Q12" i="5"/>
  <c r="GU181" i="5"/>
  <c r="GU180" i="5"/>
  <c r="HC181" i="5"/>
  <c r="HC180" i="5"/>
  <c r="V31" i="5"/>
  <c r="R33" i="5"/>
  <c r="S39" i="5"/>
  <c r="V40" i="5"/>
  <c r="AB40" i="5"/>
  <c r="Q49" i="5"/>
  <c r="Q57" i="5"/>
  <c r="V71" i="5"/>
  <c r="AB71" i="5"/>
  <c r="S72" i="5"/>
  <c r="Q85" i="5"/>
  <c r="V96" i="5"/>
  <c r="AB96" i="5"/>
  <c r="V33" i="5"/>
  <c r="V41" i="5"/>
  <c r="V47" i="5"/>
  <c r="V59" i="5"/>
  <c r="R70" i="5"/>
  <c r="Q70" i="5"/>
  <c r="Q65" i="5"/>
  <c r="S102" i="5"/>
  <c r="S68" i="5"/>
  <c r="S74" i="5"/>
  <c r="AB75" i="5"/>
  <c r="V75" i="5"/>
  <c r="AB91" i="5"/>
  <c r="V91" i="5"/>
  <c r="AB95" i="5"/>
  <c r="V95" i="5"/>
  <c r="AB67" i="5"/>
  <c r="AB83" i="5"/>
  <c r="V83" i="5"/>
  <c r="V87" i="5"/>
  <c r="AB87" i="5"/>
  <c r="R94" i="5"/>
  <c r="Q94" i="5"/>
  <c r="S100" i="5"/>
  <c r="V79" i="5"/>
  <c r="AB79" i="5"/>
  <c r="R86" i="5"/>
  <c r="Q86" i="5"/>
  <c r="AB74" i="5"/>
  <c r="AB82" i="5"/>
  <c r="AB90" i="5"/>
  <c r="AB100" i="5"/>
  <c r="S101" i="5"/>
  <c r="Q108" i="5"/>
  <c r="R108" i="5"/>
  <c r="R135" i="5"/>
  <c r="Q135" i="5"/>
  <c r="R136" i="5"/>
  <c r="Q136" i="5"/>
  <c r="AB102" i="5"/>
  <c r="R103" i="5"/>
  <c r="Q103" i="5"/>
  <c r="R109" i="5"/>
  <c r="Q109" i="5"/>
  <c r="R106" i="5"/>
  <c r="Q106" i="5"/>
  <c r="S109" i="5"/>
  <c r="S104" i="5"/>
  <c r="S106" i="5"/>
  <c r="S107" i="5"/>
  <c r="Q125" i="5"/>
  <c r="R125" i="5"/>
  <c r="S112" i="5"/>
  <c r="Q122" i="5"/>
  <c r="R122" i="5"/>
  <c r="R129" i="5"/>
  <c r="Q129" i="5"/>
  <c r="AB115" i="5"/>
  <c r="R134" i="5"/>
  <c r="Q134" i="5"/>
  <c r="S110" i="5"/>
  <c r="V111" i="5"/>
  <c r="AB111" i="5"/>
  <c r="S116" i="5"/>
  <c r="V117" i="5"/>
  <c r="AB117" i="5"/>
  <c r="Q114" i="5"/>
  <c r="Q113" i="5"/>
  <c r="Q118" i="5"/>
  <c r="R118" i="5"/>
  <c r="AB110" i="5"/>
  <c r="R112" i="5"/>
  <c r="AB120" i="5"/>
  <c r="V120" i="5"/>
  <c r="V134" i="5"/>
  <c r="Q152" i="5"/>
  <c r="AB137" i="5"/>
  <c r="AB121" i="5"/>
  <c r="V129" i="5"/>
  <c r="Q146" i="5"/>
  <c r="S137" i="5"/>
  <c r="AB138" i="5"/>
  <c r="V138" i="5"/>
  <c r="S138" i="5"/>
  <c r="V139" i="5"/>
  <c r="AB139" i="5"/>
  <c r="V143" i="5"/>
  <c r="U143" i="5" s="1"/>
  <c r="R166" i="5"/>
  <c r="Q166" i="5"/>
  <c r="V136" i="5"/>
  <c r="R150" i="5"/>
  <c r="Q150" i="5"/>
  <c r="S139" i="5"/>
  <c r="R140" i="5"/>
  <c r="AB173" i="5"/>
  <c r="V173" i="5"/>
  <c r="V164" i="5"/>
  <c r="AB164" i="5"/>
  <c r="AB153" i="5"/>
  <c r="AB154" i="5"/>
  <c r="S155" i="5"/>
  <c r="Q171" i="5"/>
  <c r="S157" i="5"/>
  <c r="AB158" i="5"/>
  <c r="V158" i="5"/>
  <c r="R161" i="5"/>
  <c r="Q161" i="5"/>
  <c r="Q162" i="5"/>
  <c r="Q156" i="5"/>
  <c r="S156" i="5"/>
  <c r="S159" i="5"/>
  <c r="R169" i="5"/>
  <c r="Q169" i="5"/>
  <c r="R172" i="5"/>
  <c r="Q172" i="5"/>
  <c r="R163" i="5"/>
  <c r="Q163" i="5"/>
  <c r="V166" i="5"/>
  <c r="M3" i="1"/>
  <c r="L4" i="1"/>
  <c r="J47" i="6"/>
  <c r="I47" i="6"/>
  <c r="H47" i="6"/>
  <c r="D47" i="6"/>
  <c r="V157" i="5"/>
  <c r="V165" i="5"/>
  <c r="E60" i="6"/>
  <c r="E68" i="6"/>
  <c r="E53" i="6"/>
  <c r="EQ8" i="15"/>
  <c r="EP11" i="15"/>
  <c r="EQ11" i="15" s="1"/>
  <c r="DP60" i="15"/>
  <c r="R42" i="15"/>
  <c r="W40" i="15"/>
  <c r="W35" i="15"/>
  <c r="O35" i="15" s="1"/>
  <c r="R29" i="15"/>
  <c r="W27" i="15"/>
  <c r="R17" i="15"/>
  <c r="W15" i="15"/>
  <c r="W50" i="15"/>
  <c r="O50" i="15" s="1"/>
  <c r="W46" i="15"/>
  <c r="O46" i="15" s="1"/>
  <c r="W32" i="15"/>
  <c r="R20" i="15"/>
  <c r="W18" i="15"/>
  <c r="O18" i="15" s="1"/>
  <c r="R40" i="15"/>
  <c r="W38" i="15"/>
  <c r="W34" i="15"/>
  <c r="W29" i="15"/>
  <c r="O29" i="15" s="1"/>
  <c r="W17" i="15"/>
  <c r="O17" i="15" s="1"/>
  <c r="W41" i="15"/>
  <c r="O41" i="15" s="1"/>
  <c r="R18" i="15"/>
  <c r="W51" i="15"/>
  <c r="O51" i="15" s="1"/>
  <c r="R30" i="15"/>
  <c r="W47" i="15"/>
  <c r="W28" i="15"/>
  <c r="O28" i="15" s="1"/>
  <c r="W43" i="15"/>
  <c r="O43" i="15" s="1"/>
  <c r="W16" i="15"/>
  <c r="O16" i="15" s="1"/>
  <c r="W8" i="15"/>
  <c r="EC61" i="15" s="1"/>
  <c r="W13" i="15"/>
  <c r="O13" i="15" s="1"/>
  <c r="R14" i="15"/>
  <c r="R15" i="15"/>
  <c r="R16" i="15"/>
  <c r="N3" i="2"/>
  <c r="K4" i="1"/>
  <c r="R3" i="2"/>
  <c r="W23" i="15"/>
  <c r="O23" i="15" s="1"/>
  <c r="W19" i="15"/>
  <c r="O19" i="15" s="1"/>
  <c r="R19" i="15"/>
  <c r="W20" i="15"/>
  <c r="P6" i="15"/>
  <c r="EQ12" i="15"/>
  <c r="EP15" i="15"/>
  <c r="EQ15" i="15" s="1"/>
  <c r="EP22" i="15"/>
  <c r="EQ22" i="15" s="1"/>
  <c r="W25" i="15"/>
  <c r="O27" i="15"/>
  <c r="EP41" i="15"/>
  <c r="EQ41" i="15" s="1"/>
  <c r="EP20" i="15"/>
  <c r="EQ20" i="15" s="1"/>
  <c r="W30" i="15"/>
  <c r="O30" i="15" s="1"/>
  <c r="W49" i="15"/>
  <c r="O49" i="15" s="1"/>
  <c r="EP57" i="15"/>
  <c r="EQ57" i="15" s="1"/>
  <c r="DV60" i="15"/>
  <c r="ED60" i="15"/>
  <c r="EL60" i="15"/>
  <c r="O15" i="15"/>
  <c r="EP21" i="15"/>
  <c r="EQ21" i="15" s="1"/>
  <c r="W24" i="15"/>
  <c r="O24" i="15" s="1"/>
  <c r="O25" i="15"/>
  <c r="W31" i="15"/>
  <c r="O31" i="15" s="1"/>
  <c r="W33" i="15"/>
  <c r="O33" i="15" s="1"/>
  <c r="R39" i="15"/>
  <c r="R41" i="15"/>
  <c r="O47" i="15"/>
  <c r="EP26" i="15"/>
  <c r="EQ26" i="15" s="1"/>
  <c r="W42" i="15"/>
  <c r="O42" i="15" s="1"/>
  <c r="W44" i="15"/>
  <c r="O44" i="15" s="1"/>
  <c r="EP28" i="15"/>
  <c r="EQ28" i="15" s="1"/>
  <c r="O32" i="15"/>
  <c r="O34" i="15"/>
  <c r="EP35" i="15"/>
  <c r="EQ35" i="15" s="1"/>
  <c r="O40" i="15"/>
  <c r="W21" i="15"/>
  <c r="O21" i="15" s="1"/>
  <c r="W22" i="15"/>
  <c r="W48" i="15"/>
  <c r="EP16" i="15"/>
  <c r="EQ16" i="15" s="1"/>
  <c r="O20" i="15"/>
  <c r="R26" i="15"/>
  <c r="R27" i="15"/>
  <c r="R28" i="15"/>
  <c r="EP34" i="15"/>
  <c r="EQ34" i="15" s="1"/>
  <c r="W37" i="15"/>
  <c r="O37" i="15" s="1"/>
  <c r="O38" i="15"/>
  <c r="EI60" i="15"/>
  <c r="R9" i="15"/>
  <c r="R10" i="15"/>
  <c r="W11" i="15"/>
  <c r="O11" i="15" s="1"/>
  <c r="R11" i="15"/>
  <c r="W12" i="15"/>
  <c r="O12" i="15" s="1"/>
  <c r="O22" i="15"/>
  <c r="EP30" i="15"/>
  <c r="EQ30" i="15" s="1"/>
  <c r="EP31" i="15"/>
  <c r="EQ31" i="15" s="1"/>
  <c r="EP32" i="15"/>
  <c r="EQ32" i="15" s="1"/>
  <c r="EP33" i="15"/>
  <c r="EQ33" i="15" s="1"/>
  <c r="W36" i="15"/>
  <c r="O36" i="15" s="1"/>
  <c r="EP38" i="15"/>
  <c r="EQ38" i="15" s="1"/>
  <c r="EP40" i="15"/>
  <c r="EQ40" i="15" s="1"/>
  <c r="W45" i="15"/>
  <c r="O45" i="15" s="1"/>
  <c r="O48" i="15"/>
  <c r="W57" i="15"/>
  <c r="DU60" i="15"/>
  <c r="EC60" i="15"/>
  <c r="EK60" i="15"/>
  <c r="W9" i="15"/>
  <c r="O9" i="15" s="1"/>
  <c r="W14" i="15"/>
  <c r="O14" i="15" s="1"/>
  <c r="W26" i="15"/>
  <c r="O26" i="15" s="1"/>
  <c r="W39" i="15"/>
  <c r="O39" i="15" s="1"/>
  <c r="R8" i="15"/>
  <c r="R13" i="15"/>
  <c r="R21" i="15"/>
  <c r="DW60" i="15"/>
  <c r="EE60" i="15"/>
  <c r="EM60" i="15"/>
  <c r="DQ60" i="15"/>
  <c r="DY60" i="15"/>
  <c r="EG60" i="15"/>
  <c r="EO60" i="15"/>
  <c r="R12" i="15"/>
  <c r="DR60" i="15"/>
  <c r="DZ60" i="15"/>
  <c r="EH60" i="15"/>
  <c r="C2" i="15"/>
  <c r="X61" i="15"/>
  <c r="L6" i="4"/>
  <c r="L21" i="4" l="1"/>
  <c r="F60" i="6"/>
  <c r="H60" i="6"/>
  <c r="D60" i="6"/>
  <c r="J60" i="6"/>
  <c r="I60" i="6"/>
  <c r="R67" i="5"/>
  <c r="Q67" i="5"/>
  <c r="Q58" i="5"/>
  <c r="R58" i="5"/>
  <c r="EH61" i="15"/>
  <c r="O8" i="15"/>
  <c r="EN61" i="15"/>
  <c r="R158" i="5"/>
  <c r="Q158" i="5"/>
  <c r="Q138" i="5"/>
  <c r="R138" i="5"/>
  <c r="Q111" i="5"/>
  <c r="R111" i="5"/>
  <c r="R100" i="5"/>
  <c r="Q100" i="5"/>
  <c r="R61" i="5"/>
  <c r="Q61" i="5"/>
  <c r="R102" i="5"/>
  <c r="Q102" i="5"/>
  <c r="F2" i="15"/>
  <c r="F1" i="15"/>
  <c r="F3" i="15"/>
  <c r="DP61" i="15"/>
  <c r="DZ61" i="15"/>
  <c r="EF61" i="15"/>
  <c r="M4" i="1"/>
  <c r="N3" i="1"/>
  <c r="R173" i="5"/>
  <c r="Q173" i="5"/>
  <c r="R90" i="5"/>
  <c r="Q90" i="5"/>
  <c r="Q95" i="5"/>
  <c r="R95" i="5"/>
  <c r="Q39" i="5"/>
  <c r="R39" i="5"/>
  <c r="ED61" i="15"/>
  <c r="EJ61" i="15"/>
  <c r="EA61" i="15"/>
  <c r="EB61" i="15"/>
  <c r="DS61" i="15"/>
  <c r="DT61" i="15"/>
  <c r="DR61" i="15"/>
  <c r="EM61" i="15"/>
  <c r="N4" i="2"/>
  <c r="M3" i="2"/>
  <c r="EO61" i="15"/>
  <c r="DX61" i="15"/>
  <c r="R120" i="5"/>
  <c r="Q120" i="5"/>
  <c r="R82" i="5"/>
  <c r="Q82" i="5"/>
  <c r="R96" i="5"/>
  <c r="Q96" i="5"/>
  <c r="R38" i="5"/>
  <c r="Q38" i="5"/>
  <c r="DU61" i="15"/>
  <c r="DV61" i="15"/>
  <c r="EE61" i="15"/>
  <c r="R4" i="2"/>
  <c r="S3" i="2"/>
  <c r="EG61" i="15"/>
  <c r="EQ6" i="15"/>
  <c r="R74" i="5"/>
  <c r="Q74" i="5"/>
  <c r="R87" i="5"/>
  <c r="Q87" i="5"/>
  <c r="R91" i="5"/>
  <c r="Q91" i="5"/>
  <c r="Q40" i="5"/>
  <c r="R40" i="5"/>
  <c r="Q46" i="5"/>
  <c r="R46" i="5"/>
  <c r="R23" i="5"/>
  <c r="Q23" i="5"/>
  <c r="Q53" i="5"/>
  <c r="R53" i="5"/>
  <c r="EI61" i="15"/>
  <c r="DW61" i="15"/>
  <c r="DY61" i="15"/>
  <c r="EP6" i="15"/>
  <c r="F47" i="6"/>
  <c r="G47" i="6" s="1"/>
  <c r="R154" i="5"/>
  <c r="Q154" i="5"/>
  <c r="Q139" i="5"/>
  <c r="R139" i="5"/>
  <c r="R121" i="5"/>
  <c r="Q121" i="5"/>
  <c r="Q110" i="5"/>
  <c r="R110" i="5"/>
  <c r="R52" i="5"/>
  <c r="Q52" i="5"/>
  <c r="R19" i="5"/>
  <c r="Q19" i="5"/>
  <c r="EL61" i="15"/>
  <c r="EK61" i="15"/>
  <c r="DQ61" i="15"/>
  <c r="I53" i="6"/>
  <c r="I71" i="6" s="1"/>
  <c r="H53" i="6"/>
  <c r="H71" i="6" s="1"/>
  <c r="D53" i="6"/>
  <c r="F53" i="6" s="1"/>
  <c r="G53" i="6" s="1"/>
  <c r="J53" i="6"/>
  <c r="J71" i="6" s="1"/>
  <c r="R153" i="5"/>
  <c r="Q153" i="5"/>
  <c r="R137" i="5"/>
  <c r="Q137" i="5"/>
  <c r="A1" i="8" s="1"/>
  <c r="Q117" i="5"/>
  <c r="R117" i="5"/>
  <c r="R115" i="5"/>
  <c r="Q115" i="5"/>
  <c r="R75" i="5"/>
  <c r="Q75" i="5"/>
  <c r="Q54" i="5"/>
  <c r="R54" i="5"/>
  <c r="HF181" i="5"/>
  <c r="R32" i="5"/>
  <c r="Q32" i="5"/>
  <c r="R15" i="5"/>
  <c r="Q15" i="5"/>
  <c r="Q175" i="5" s="1"/>
  <c r="EP60" i="15"/>
  <c r="I68" i="6"/>
  <c r="D68" i="6"/>
  <c r="F68" i="6" s="1"/>
  <c r="H68" i="6"/>
  <c r="J68" i="6"/>
  <c r="R164" i="5"/>
  <c r="Q164" i="5"/>
  <c r="R79" i="5"/>
  <c r="Q79" i="5"/>
  <c r="R83" i="5"/>
  <c r="Q83" i="5"/>
  <c r="R71" i="5"/>
  <c r="Q71" i="5"/>
  <c r="Q8" i="5" l="1"/>
  <c r="EP61" i="15"/>
  <c r="L3" i="2"/>
  <c r="M4" i="2"/>
  <c r="C1" i="15"/>
  <c r="C3" i="15" s="1"/>
  <c r="O6" i="15"/>
  <c r="S4" i="2"/>
  <c r="T3" i="2"/>
  <c r="G60" i="6"/>
  <c r="G68" i="6" s="1"/>
  <c r="D71" i="6" s="1"/>
  <c r="D72" i="6" s="1"/>
  <c r="N4" i="1"/>
  <c r="O3" i="1"/>
  <c r="C3" i="5"/>
  <c r="R175" i="5"/>
  <c r="O4" i="1" l="1"/>
  <c r="P3" i="1"/>
  <c r="K3" i="2"/>
  <c r="L4" i="2"/>
  <c r="U3" i="2"/>
  <c r="T4" i="2"/>
  <c r="V3" i="2" l="1"/>
  <c r="U4" i="2"/>
  <c r="K4" i="2"/>
  <c r="J3" i="2"/>
  <c r="P4" i="1"/>
  <c r="Q3" i="1"/>
  <c r="Q4" i="1" l="1"/>
  <c r="R3" i="1"/>
  <c r="J4" i="2"/>
  <c r="I3" i="2"/>
  <c r="V4" i="2"/>
  <c r="W3" i="2"/>
  <c r="W4" i="2" l="1"/>
  <c r="X3" i="2"/>
  <c r="I4" i="2"/>
  <c r="H3" i="2"/>
  <c r="R4" i="1"/>
  <c r="S3" i="1"/>
  <c r="T3" i="1" l="1"/>
  <c r="S4" i="1"/>
  <c r="G3" i="2"/>
  <c r="H4" i="2"/>
  <c r="X4" i="2"/>
  <c r="Y3" i="2"/>
  <c r="Y4" i="2" l="1"/>
  <c r="Z3" i="2"/>
  <c r="G4" i="2"/>
  <c r="F3" i="2"/>
  <c r="U3" i="1"/>
  <c r="T4" i="1"/>
  <c r="U4" i="1" l="1"/>
  <c r="V3" i="1"/>
  <c r="F4" i="2"/>
  <c r="E3" i="2"/>
  <c r="Z4" i="2"/>
  <c r="AA3" i="2"/>
  <c r="AA4" i="2" l="1"/>
  <c r="AB3" i="2"/>
  <c r="D3" i="2"/>
  <c r="E4" i="2"/>
  <c r="V4" i="1"/>
  <c r="W3" i="1"/>
  <c r="W4" i="1" l="1"/>
  <c r="X3" i="1"/>
  <c r="D4" i="2"/>
  <c r="C3" i="2"/>
  <c r="C4" i="2" s="1"/>
  <c r="AC3" i="2"/>
  <c r="AB4" i="2"/>
  <c r="AC4" i="2" l="1"/>
  <c r="AD3" i="2"/>
  <c r="X4" i="1"/>
  <c r="Y3" i="1"/>
  <c r="Y4" i="1" l="1"/>
  <c r="Z3" i="1"/>
  <c r="AE3" i="2"/>
  <c r="AD4" i="2"/>
  <c r="AE4" i="2" l="1"/>
  <c r="AF3" i="2"/>
  <c r="Z4" i="1"/>
  <c r="AA3" i="1"/>
  <c r="AB3" i="1" l="1"/>
  <c r="AA4" i="1"/>
  <c r="AF4" i="2"/>
  <c r="AG3" i="2"/>
  <c r="AG4" i="2" l="1"/>
  <c r="AH3" i="2"/>
  <c r="AC3" i="1"/>
  <c r="AB4" i="1"/>
  <c r="AC4" i="1" l="1"/>
  <c r="AD3" i="1"/>
  <c r="AH4" i="2"/>
  <c r="AI3" i="2"/>
  <c r="AI4" i="2" l="1"/>
  <c r="AJ3" i="2"/>
  <c r="AD4" i="1"/>
  <c r="AE3" i="1"/>
  <c r="AE4" i="1" l="1"/>
  <c r="AF3" i="1"/>
  <c r="AK3" i="2"/>
  <c r="AJ4" i="2"/>
  <c r="AK4" i="2" l="1"/>
  <c r="AL3" i="2"/>
  <c r="AF4" i="1"/>
  <c r="AG3" i="1"/>
  <c r="AL4" i="2" l="1"/>
  <c r="AM3" i="2"/>
  <c r="AG4" i="1"/>
  <c r="AH3" i="1"/>
  <c r="AH4" i="1" l="1"/>
  <c r="AI3" i="1"/>
  <c r="AM4" i="2"/>
  <c r="AN3" i="2"/>
  <c r="AN4" i="2" l="1"/>
  <c r="AO3" i="2"/>
  <c r="AJ3" i="1"/>
  <c r="AI4" i="1"/>
  <c r="AK3" i="1" l="1"/>
  <c r="AJ4" i="1"/>
  <c r="AO4" i="2"/>
  <c r="AP3" i="2"/>
  <c r="AP4" i="2" l="1"/>
  <c r="AQ3" i="2"/>
  <c r="AK4" i="1"/>
  <c r="AL3" i="1"/>
  <c r="AL4" i="1" l="1"/>
  <c r="AM3" i="1"/>
  <c r="AQ4" i="2"/>
  <c r="AR3" i="2"/>
  <c r="AS3" i="2" l="1"/>
  <c r="AR4" i="2"/>
  <c r="AM4" i="1"/>
  <c r="AN3" i="1"/>
  <c r="AS4" i="2" l="1"/>
  <c r="AT3" i="2"/>
  <c r="AN4" i="1"/>
  <c r="AO3" i="1"/>
  <c r="AT4" i="2" l="1"/>
  <c r="AU3" i="2"/>
  <c r="AO4" i="1"/>
  <c r="AP3" i="1"/>
  <c r="AU4" i="2" l="1"/>
  <c r="AV3" i="2"/>
  <c r="AP4" i="1"/>
  <c r="AQ3" i="1"/>
  <c r="AR3" i="1" l="1"/>
  <c r="AQ4" i="1"/>
  <c r="AW3" i="2"/>
  <c r="AV4" i="2"/>
  <c r="AW4" i="2" l="1"/>
  <c r="AX3" i="2"/>
  <c r="AS3" i="1"/>
  <c r="AR4" i="1"/>
  <c r="AS4" i="1" l="1"/>
  <c r="AT3" i="1"/>
  <c r="AX4" i="2"/>
  <c r="AY3" i="2"/>
  <c r="AY4" i="2" l="1"/>
  <c r="AZ3" i="2"/>
  <c r="AT4" i="1"/>
  <c r="AU3" i="1"/>
  <c r="AU4" i="1" l="1"/>
  <c r="AV3" i="1"/>
  <c r="BA3" i="2"/>
  <c r="AZ4" i="2"/>
  <c r="BA4" i="2" l="1"/>
  <c r="BB3" i="2"/>
  <c r="AV4" i="1"/>
  <c r="AW3" i="1"/>
  <c r="AW4" i="1" l="1"/>
  <c r="AX3" i="1"/>
  <c r="BB4" i="2"/>
  <c r="BC3" i="2"/>
  <c r="BC4" i="2" l="1"/>
  <c r="BD3" i="2"/>
  <c r="AX4" i="1"/>
  <c r="AY3" i="1"/>
  <c r="AZ3" i="1" l="1"/>
  <c r="AY4" i="1"/>
  <c r="BD4" i="2"/>
  <c r="BE3" i="2"/>
  <c r="BF3" i="2" l="1"/>
  <c r="BE4" i="2"/>
  <c r="BA3" i="1"/>
  <c r="AZ4" i="1"/>
  <c r="BA4" i="1" l="1"/>
  <c r="BB3" i="1"/>
  <c r="BF4" i="2"/>
  <c r="BG3" i="2"/>
  <c r="BG4" i="2" l="1"/>
  <c r="BH3" i="2"/>
  <c r="BB4" i="1"/>
  <c r="BC3" i="1"/>
  <c r="BC4" i="1" l="1"/>
  <c r="BD3" i="1"/>
  <c r="BI3" i="2"/>
  <c r="BH4" i="2"/>
  <c r="BI4" i="2" l="1"/>
  <c r="BJ3" i="2"/>
  <c r="BD4" i="1"/>
  <c r="BE3" i="1"/>
  <c r="BE4" i="1" l="1"/>
  <c r="BF3" i="1"/>
  <c r="BJ4" i="2"/>
  <c r="BK3" i="2"/>
  <c r="BK4" i="2" l="1"/>
  <c r="BL3" i="2"/>
  <c r="BF4" i="1"/>
  <c r="BG3" i="1"/>
  <c r="BG4" i="1" l="1"/>
  <c r="BH3" i="1"/>
  <c r="BL4" i="2"/>
  <c r="BM3" i="2"/>
  <c r="BM4" i="2" l="1"/>
  <c r="BN3" i="2"/>
  <c r="BI3" i="1"/>
  <c r="BH4" i="1"/>
  <c r="BI4" i="1" l="1"/>
  <c r="BJ3" i="1"/>
  <c r="BO3" i="2"/>
  <c r="BN4" i="2"/>
  <c r="BO4" i="2" l="1"/>
  <c r="BP3" i="2"/>
  <c r="BJ4" i="1"/>
  <c r="BK3" i="1"/>
  <c r="BK4" i="1" l="1"/>
  <c r="BL3" i="1"/>
  <c r="BQ3" i="2"/>
  <c r="BP4" i="2"/>
  <c r="BQ4" i="2" l="1"/>
  <c r="BR3" i="2"/>
  <c r="BL4" i="1"/>
  <c r="BM3" i="1"/>
  <c r="BM4" i="1" l="1"/>
  <c r="BN3" i="1"/>
  <c r="BS3" i="2"/>
  <c r="BR4" i="2"/>
  <c r="BS4" i="2" l="1"/>
  <c r="BT3" i="2"/>
  <c r="BN4" i="1"/>
  <c r="BO3" i="1"/>
  <c r="BP3" i="1" l="1"/>
  <c r="BO4" i="1"/>
  <c r="BT4" i="2"/>
  <c r="BU3" i="2"/>
  <c r="BU4" i="2" l="1"/>
  <c r="BW3" i="2"/>
  <c r="BQ3" i="1"/>
  <c r="BP4" i="1"/>
  <c r="BQ4" i="1" l="1"/>
  <c r="BR3" i="1"/>
  <c r="BW4" i="2"/>
  <c r="BX3" i="2"/>
  <c r="BY3" i="2" l="1"/>
  <c r="BX4" i="2"/>
  <c r="BR4" i="1"/>
  <c r="BS3" i="1"/>
  <c r="BS4" i="1" l="1"/>
  <c r="BT3" i="1"/>
  <c r="BZ3" i="2"/>
  <c r="BY4" i="2"/>
  <c r="BZ4" i="2" l="1"/>
  <c r="CA3" i="2"/>
  <c r="BU3" i="1"/>
  <c r="BT4" i="1"/>
  <c r="BV3" i="1" l="1"/>
  <c r="BU4" i="1"/>
  <c r="CA4" i="2"/>
  <c r="CB3" i="2"/>
  <c r="CB4" i="2" l="1"/>
  <c r="CC3" i="2"/>
  <c r="BW3" i="1"/>
  <c r="BV4" i="1"/>
  <c r="BW4" i="1" l="1"/>
  <c r="BX3" i="1"/>
  <c r="CC4" i="2"/>
  <c r="CE3" i="2"/>
  <c r="CE4" i="2" l="1"/>
  <c r="CF3" i="2"/>
  <c r="BY3" i="1"/>
  <c r="BX4" i="1"/>
  <c r="CF4" i="2" l="1"/>
  <c r="CG3" i="2"/>
  <c r="BZ3" i="1"/>
  <c r="BY4" i="1"/>
  <c r="CG4" i="2" l="1"/>
  <c r="CH3" i="2"/>
  <c r="BZ4" i="1"/>
  <c r="CA3" i="1"/>
  <c r="CA4" i="1" l="1"/>
  <c r="CB3" i="1"/>
  <c r="CI3" i="2"/>
  <c r="CH4" i="2"/>
  <c r="CJ3" i="2" l="1"/>
  <c r="CI4" i="2"/>
  <c r="CC3" i="1"/>
  <c r="CB4" i="1"/>
  <c r="CJ4" i="2" l="1"/>
  <c r="CK3" i="2"/>
  <c r="CD3" i="1"/>
  <c r="CC4" i="1"/>
  <c r="CE3" i="1" l="1"/>
  <c r="CD4" i="1"/>
  <c r="CK4" i="2"/>
  <c r="CL3" i="2"/>
  <c r="CL4" i="2" l="1"/>
  <c r="CM3" i="2"/>
  <c r="CF3" i="1"/>
  <c r="CE4" i="1"/>
  <c r="CF4" i="1" l="1"/>
  <c r="CG3" i="1"/>
  <c r="CM4" i="2"/>
  <c r="CN3" i="2"/>
  <c r="CN4" i="2" l="1"/>
  <c r="CO3" i="2"/>
  <c r="CH3" i="1"/>
  <c r="CG4" i="1"/>
  <c r="CO4" i="2" l="1"/>
  <c r="CP3" i="2"/>
  <c r="CI3" i="1"/>
  <c r="CH4" i="1"/>
  <c r="CI4" i="1" l="1"/>
  <c r="CJ3" i="1"/>
  <c r="CQ3" i="2"/>
  <c r="CP4" i="2"/>
  <c r="CJ4" i="1" l="1"/>
  <c r="CK3" i="1"/>
  <c r="CQ4" i="2"/>
  <c r="CR3" i="2"/>
  <c r="CK4" i="1" l="1"/>
  <c r="CL3" i="1"/>
  <c r="CS3" i="2"/>
  <c r="CR4" i="2"/>
  <c r="CS4" i="2" l="1"/>
  <c r="CT3" i="2"/>
  <c r="CM3" i="1"/>
  <c r="CL4" i="1"/>
  <c r="CT4" i="2" l="1"/>
  <c r="CU3" i="2"/>
  <c r="CN3" i="1"/>
  <c r="CO3" i="1" s="1"/>
  <c r="CP3" i="1" s="1"/>
  <c r="CQ3" i="1" s="1"/>
  <c r="CR3" i="1" s="1"/>
  <c r="CS3" i="1" s="1"/>
  <c r="CT3" i="1" s="1"/>
  <c r="CU3" i="1" s="1"/>
  <c r="CV3" i="1" s="1"/>
  <c r="CW3" i="1" s="1"/>
  <c r="CX3" i="1" s="1"/>
  <c r="CY3" i="1" s="1"/>
  <c r="CZ3" i="1" s="1"/>
  <c r="DA3" i="1" s="1"/>
  <c r="DB3" i="1" s="1"/>
  <c r="DC3" i="1" s="1"/>
  <c r="DD3" i="1" s="1"/>
  <c r="DE3" i="1" s="1"/>
  <c r="DF3" i="1" s="1"/>
  <c r="DG3" i="1" s="1"/>
  <c r="DH3" i="1" s="1"/>
  <c r="DI3" i="1" s="1"/>
  <c r="DJ3" i="1" s="1"/>
  <c r="DK3" i="1" s="1"/>
  <c r="DL3" i="1" s="1"/>
  <c r="DM3" i="1" s="1"/>
  <c r="DN3" i="1" s="1"/>
  <c r="DO3" i="1" s="1"/>
  <c r="DP3" i="1" s="1"/>
  <c r="DQ3" i="1" s="1"/>
  <c r="DR3" i="1" s="1"/>
  <c r="DS3" i="1" s="1"/>
  <c r="DT3" i="1" s="1"/>
  <c r="DU3" i="1" s="1"/>
  <c r="DV3" i="1" s="1"/>
  <c r="DW3" i="1" s="1"/>
  <c r="DX3" i="1" s="1"/>
  <c r="DY3" i="1" s="1"/>
  <c r="DZ3" i="1" s="1"/>
  <c r="EA3" i="1" s="1"/>
  <c r="EB3" i="1" s="1"/>
  <c r="EC3" i="1" s="1"/>
  <c r="ED3" i="1" s="1"/>
  <c r="EE3" i="1" s="1"/>
  <c r="EF3" i="1" s="1"/>
  <c r="EG3" i="1" s="1"/>
  <c r="EH3" i="1" s="1"/>
  <c r="EI3" i="1" s="1"/>
  <c r="EJ3" i="1" s="1"/>
  <c r="EK3" i="1" s="1"/>
  <c r="EL3" i="1" s="1"/>
  <c r="EM3" i="1" s="1"/>
  <c r="EN3" i="1" s="1"/>
  <c r="EO3" i="1" s="1"/>
  <c r="EP3" i="1" s="1"/>
  <c r="EQ3" i="1" s="1"/>
  <c r="ER3" i="1" s="1"/>
  <c r="ES3" i="1" s="1"/>
  <c r="ET3" i="1" s="1"/>
  <c r="EU3" i="1" s="1"/>
  <c r="EV3" i="1" s="1"/>
  <c r="EW3" i="1" s="1"/>
  <c r="CM4" i="1"/>
  <c r="CU4" i="2" l="1"/>
  <c r="CV3" i="2"/>
  <c r="CV4" i="2" l="1"/>
  <c r="CW3" i="2"/>
  <c r="CW4" i="2" l="1"/>
  <c r="CX3" i="2"/>
  <c r="CY3" i="2" l="1"/>
  <c r="CX4" i="2"/>
  <c r="CY4" i="2" l="1"/>
  <c r="CZ3" i="2"/>
  <c r="CZ4" i="2" l="1"/>
  <c r="DA3" i="2"/>
  <c r="DA4" i="2" l="1"/>
  <c r="DB3" i="2"/>
  <c r="DB4" i="2" l="1"/>
  <c r="DC3" i="2"/>
  <c r="DC4" i="2" l="1"/>
  <c r="DD3" i="2"/>
  <c r="DD4" i="2" l="1"/>
  <c r="DE3" i="2"/>
  <c r="DE4" i="2" l="1"/>
  <c r="DF3" i="2"/>
  <c r="DG3" i="2" l="1"/>
  <c r="DF4" i="2"/>
  <c r="DG4" i="2" l="1"/>
  <c r="DH3" i="2"/>
  <c r="DH4" i="2" l="1"/>
  <c r="DI3" i="2"/>
  <c r="DI4" i="2" l="1"/>
  <c r="DJ3" i="2"/>
  <c r="DK3" i="2" l="1"/>
  <c r="DJ4" i="2"/>
  <c r="DK4" i="2" l="1"/>
  <c r="DL3" i="2"/>
  <c r="DL4" i="2" l="1"/>
  <c r="DM3" i="2"/>
  <c r="DM4" i="2" l="1"/>
  <c r="DN3" i="2"/>
  <c r="DO3" i="2" l="1"/>
  <c r="DN4" i="2"/>
  <c r="DO4" i="2" l="1"/>
  <c r="DP3" i="2"/>
  <c r="DP4" i="2" l="1"/>
  <c r="DQ3" i="2"/>
  <c r="DQ4" i="2" l="1"/>
  <c r="DR3" i="2"/>
  <c r="DR4" i="2" l="1"/>
  <c r="DS3" i="2"/>
  <c r="DT3" i="2" l="1"/>
  <c r="DS4" i="2"/>
  <c r="DT4" i="2" l="1"/>
  <c r="DU3" i="2"/>
  <c r="DU4" i="2" l="1"/>
  <c r="DV3" i="2"/>
  <c r="DW3" i="2" l="1"/>
  <c r="DV4" i="2"/>
  <c r="DW4" i="2" l="1"/>
  <c r="DX3" i="2"/>
  <c r="DX4" i="2" l="1"/>
  <c r="DY3" i="2"/>
  <c r="DY4" i="2" l="1"/>
  <c r="DZ3" i="2"/>
  <c r="DZ4" i="2" l="1"/>
  <c r="EA3" i="2"/>
  <c r="EA4" i="2" l="1"/>
  <c r="EB3" i="2"/>
  <c r="EC3" i="2" l="1"/>
  <c r="EB4" i="2"/>
  <c r="EC4" i="2" l="1"/>
  <c r="ED3" i="2"/>
  <c r="EE3" i="2" l="1"/>
  <c r="ED4" i="2"/>
  <c r="EF3" i="2" l="1"/>
  <c r="EE4" i="2"/>
  <c r="EF4" i="2" l="1"/>
  <c r="EG3" i="2"/>
  <c r="EG4" i="2" l="1"/>
  <c r="EH3" i="2"/>
  <c r="EH4" i="2" l="1"/>
  <c r="EI3" i="2"/>
  <c r="EI4" i="2" l="1"/>
  <c r="EJ3" i="2"/>
  <c r="EJ4" i="2" l="1"/>
  <c r="EK3" i="2"/>
  <c r="EL3" i="2" l="1"/>
  <c r="EK4" i="2"/>
  <c r="EM3" i="2" l="1"/>
  <c r="EL4" i="2"/>
  <c r="EM4" i="2" l="1"/>
  <c r="EN3" i="2"/>
  <c r="EN4" i="2" l="1"/>
  <c r="EO3" i="2"/>
  <c r="EO4" i="2" l="1"/>
  <c r="EP3" i="2"/>
  <c r="EP4" i="2" l="1"/>
  <c r="EQ3" i="2"/>
  <c r="EQ4" i="2" l="1"/>
  <c r="ER3" i="2"/>
  <c r="ER4" i="2" l="1"/>
  <c r="ES3" i="2"/>
  <c r="ES4" i="2" l="1"/>
  <c r="ET3" i="2"/>
  <c r="EU3" i="2" l="1"/>
  <c r="ET4" i="2"/>
  <c r="EV3" i="2" l="1"/>
  <c r="EU4" i="2"/>
  <c r="EV4" i="2" l="1"/>
  <c r="EW3" i="2"/>
  <c r="EW4" i="2" l="1"/>
  <c r="EX3" i="2"/>
  <c r="EX4" i="2" l="1"/>
  <c r="EY3" i="2"/>
  <c r="EY4" i="2" l="1"/>
  <c r="EZ3" i="2"/>
  <c r="EZ4" i="2" l="1"/>
  <c r="FA3" i="2"/>
  <c r="FA4" i="2" l="1"/>
  <c r="FB3" i="2"/>
  <c r="FC3" i="2" s="1"/>
  <c r="FD3" i="2" s="1"/>
  <c r="FE3" i="2" s="1"/>
  <c r="FF3" i="2" s="1"/>
  <c r="GN79" i="5" l="1"/>
  <c r="GN19" i="5"/>
  <c r="GN147" i="5"/>
  <c r="GN136" i="5"/>
  <c r="GN67" i="5"/>
  <c r="GN66" i="5"/>
  <c r="GN17" i="5"/>
  <c r="GN60" i="5"/>
  <c r="GN96" i="5"/>
  <c r="GN142" i="5"/>
  <c r="GN108" i="5"/>
  <c r="GN140" i="5"/>
  <c r="GN167" i="5"/>
  <c r="GN46" i="5"/>
  <c r="GN42" i="5"/>
  <c r="GN165" i="5"/>
  <c r="GN161" i="5"/>
  <c r="GN72" i="5"/>
  <c r="GN56" i="5"/>
  <c r="GN163" i="5"/>
  <c r="GN97" i="5"/>
  <c r="GN116" i="5"/>
  <c r="GN102" i="5"/>
  <c r="GN50" i="5"/>
  <c r="GN114" i="5"/>
  <c r="GN95" i="5"/>
  <c r="GN158" i="5"/>
  <c r="GN80" i="5"/>
  <c r="GN49" i="5"/>
  <c r="GN104" i="5"/>
  <c r="GN99" i="5"/>
  <c r="GN59" i="5"/>
  <c r="GN11" i="5"/>
  <c r="GN100" i="5"/>
  <c r="GN38" i="5"/>
  <c r="GN157" i="5"/>
  <c r="GN32" i="5"/>
  <c r="GN132" i="5"/>
  <c r="GN170" i="5"/>
  <c r="GN113" i="5"/>
  <c r="GN28" i="5"/>
  <c r="GN26" i="5"/>
  <c r="GN94" i="5"/>
  <c r="GN126" i="5"/>
  <c r="GN148" i="5"/>
  <c r="GN131" i="5"/>
  <c r="GN23" i="5"/>
  <c r="GN25" i="5"/>
  <c r="GN159" i="5"/>
  <c r="GN173" i="5"/>
  <c r="GN10" i="5"/>
  <c r="GN54" i="5"/>
  <c r="GN41" i="5"/>
  <c r="GN30" i="5"/>
  <c r="GN24" i="5"/>
  <c r="GN44" i="5"/>
  <c r="GN110" i="5"/>
  <c r="GN107" i="5"/>
  <c r="GN90" i="5"/>
  <c r="GN21" i="5"/>
  <c r="GN168" i="5"/>
  <c r="GN16" i="5"/>
  <c r="GN92" i="5"/>
  <c r="GN77" i="5"/>
  <c r="GN15" i="5"/>
  <c r="GN153" i="5"/>
  <c r="GN82" i="5"/>
  <c r="GN85" i="5"/>
  <c r="GN101" i="5"/>
  <c r="GN118" i="5"/>
  <c r="GN139" i="5"/>
  <c r="GN152" i="5"/>
  <c r="GN81" i="5"/>
  <c r="GN98" i="5"/>
  <c r="GN78" i="5"/>
  <c r="GN119" i="5"/>
  <c r="GN93" i="5"/>
  <c r="GN55" i="5"/>
  <c r="GN103" i="5"/>
  <c r="GN31" i="5"/>
  <c r="GN134" i="5"/>
  <c r="GN29" i="5"/>
  <c r="GN154" i="5"/>
  <c r="GN112" i="5"/>
  <c r="GN137" i="5"/>
  <c r="GN36" i="5"/>
  <c r="GN122" i="5"/>
  <c r="GN129" i="5"/>
  <c r="GN40" i="5"/>
  <c r="GN69" i="5"/>
  <c r="GN65" i="5"/>
  <c r="GN61" i="5"/>
  <c r="GN47" i="5"/>
  <c r="GN22" i="5"/>
  <c r="GN166" i="5"/>
  <c r="GN76" i="5"/>
  <c r="GN160" i="5"/>
  <c r="GN64" i="5"/>
  <c r="GN14" i="5"/>
  <c r="GN63" i="5"/>
  <c r="GN33" i="5"/>
  <c r="GN35" i="5"/>
  <c r="GN144" i="5"/>
  <c r="GN20" i="5"/>
  <c r="GN73" i="5"/>
  <c r="GN128" i="5"/>
  <c r="GN135" i="5"/>
  <c r="GN169" i="5"/>
  <c r="GN171" i="5"/>
  <c r="GN151" i="5"/>
  <c r="GN83" i="5"/>
  <c r="GN143" i="5"/>
  <c r="GN43" i="5"/>
  <c r="GN124" i="5"/>
  <c r="GN13" i="5"/>
  <c r="GN130" i="5"/>
  <c r="GN70" i="5"/>
  <c r="GN89" i="5"/>
  <c r="GN138" i="5"/>
  <c r="GN111" i="5"/>
  <c r="GN123" i="5"/>
  <c r="GN88" i="5"/>
  <c r="GN58" i="5"/>
  <c r="GN52" i="5"/>
  <c r="GN172" i="5"/>
  <c r="GN37" i="5"/>
  <c r="GN84" i="5"/>
  <c r="GN150" i="5"/>
  <c r="GN105" i="5"/>
  <c r="GN125" i="5"/>
  <c r="GN115" i="5"/>
  <c r="GN39" i="5"/>
  <c r="GN75" i="5"/>
  <c r="GN121" i="5"/>
  <c r="GN27" i="5"/>
  <c r="GN91" i="5"/>
  <c r="GN106" i="5"/>
  <c r="GN164" i="5"/>
  <c r="GN86" i="5"/>
  <c r="GN149" i="5"/>
  <c r="GN74" i="5"/>
  <c r="GN145" i="5"/>
  <c r="GN68" i="5"/>
  <c r="GN62" i="5"/>
  <c r="GN34" i="5"/>
  <c r="GN141" i="5"/>
  <c r="GN45" i="5"/>
  <c r="GN117" i="5"/>
  <c r="GN53" i="5"/>
  <c r="GN18" i="5"/>
  <c r="GN127" i="5"/>
  <c r="GN146" i="5"/>
  <c r="GN57" i="5"/>
  <c r="GN71" i="5"/>
  <c r="GN156" i="5"/>
  <c r="GN133" i="5"/>
  <c r="GN162" i="5"/>
  <c r="GN155" i="5"/>
  <c r="GN87" i="5"/>
  <c r="GN51" i="5"/>
  <c r="GN109" i="5"/>
  <c r="GN48" i="5"/>
  <c r="GN12" i="5"/>
  <c r="GN120" i="5"/>
  <c r="GF43" i="5"/>
  <c r="GF48" i="5"/>
  <c r="GF139" i="5"/>
  <c r="GF76" i="5"/>
  <c r="GF42" i="5"/>
  <c r="GF91" i="5"/>
  <c r="GF10" i="5"/>
  <c r="GF90" i="5"/>
  <c r="GF89" i="5"/>
  <c r="GF26" i="5"/>
  <c r="GF24" i="5"/>
  <c r="GF153" i="5"/>
  <c r="GF143" i="5"/>
  <c r="GF162" i="5"/>
  <c r="GF82" i="5"/>
  <c r="GF166" i="5"/>
  <c r="GF22" i="5"/>
  <c r="GF121" i="5"/>
  <c r="GF71" i="5"/>
  <c r="GF78" i="5"/>
  <c r="GF107" i="5"/>
  <c r="GF87" i="5"/>
  <c r="GF18" i="5"/>
  <c r="GF60" i="5"/>
  <c r="GF77" i="5"/>
  <c r="GF14" i="5"/>
  <c r="GF56" i="5"/>
  <c r="GF59" i="5"/>
  <c r="GF25" i="5"/>
  <c r="GF154" i="5"/>
  <c r="GF75" i="5"/>
  <c r="GF111" i="5"/>
  <c r="GF108" i="5"/>
  <c r="GF58" i="5"/>
  <c r="GF112" i="5"/>
  <c r="GF171" i="5"/>
  <c r="GF11" i="5"/>
  <c r="GF21" i="5"/>
  <c r="GF165" i="5"/>
  <c r="GF65" i="5"/>
  <c r="GF17" i="5"/>
  <c r="GF81" i="5"/>
  <c r="GF99" i="5"/>
  <c r="GF125" i="5"/>
  <c r="GF101" i="5"/>
  <c r="GF94" i="5"/>
  <c r="GF33" i="5"/>
  <c r="GF30" i="5"/>
  <c r="GF27" i="5"/>
  <c r="GF66" i="5"/>
  <c r="GF123" i="5"/>
  <c r="GF131" i="5"/>
  <c r="GF106" i="5"/>
  <c r="GF173" i="5"/>
  <c r="GF57" i="5"/>
  <c r="GF130" i="5"/>
  <c r="GF85" i="5"/>
  <c r="GF67" i="5"/>
  <c r="GF103" i="5"/>
  <c r="GF124" i="5"/>
  <c r="GF147" i="5"/>
  <c r="GF102" i="5"/>
  <c r="GF50" i="5"/>
  <c r="GF41" i="5"/>
  <c r="GF172" i="5"/>
  <c r="GF61" i="5"/>
  <c r="GF69" i="5"/>
  <c r="GF145" i="5"/>
  <c r="GF40" i="5"/>
  <c r="GF95" i="5"/>
  <c r="GF160" i="5"/>
  <c r="GF137" i="5"/>
  <c r="GF70" i="5"/>
  <c r="GF164" i="5"/>
  <c r="GF169" i="5"/>
  <c r="GF74" i="5"/>
  <c r="GF92" i="5"/>
  <c r="GF28" i="5"/>
  <c r="GF35" i="5"/>
  <c r="GF115" i="5"/>
  <c r="GF100" i="5"/>
  <c r="GF144" i="5"/>
  <c r="GF16" i="5"/>
  <c r="GF148" i="5"/>
  <c r="GF135" i="5"/>
  <c r="GF29" i="5"/>
  <c r="GF88" i="5"/>
  <c r="GF155" i="5"/>
  <c r="GF118" i="5"/>
  <c r="GF73" i="5"/>
  <c r="GF72" i="5"/>
  <c r="GF80" i="5"/>
  <c r="GF117" i="5"/>
  <c r="GF93" i="5"/>
  <c r="GF156" i="5"/>
  <c r="GF141" i="5"/>
  <c r="GF79" i="5"/>
  <c r="GF96" i="5"/>
  <c r="GF122" i="5"/>
  <c r="GF116" i="5"/>
  <c r="GF133" i="5"/>
  <c r="GF119" i="5"/>
  <c r="GF134" i="5"/>
  <c r="GF104" i="5"/>
  <c r="GF152" i="5"/>
  <c r="GF36" i="5"/>
  <c r="GF64" i="5"/>
  <c r="GF146" i="5"/>
  <c r="GF167" i="5"/>
  <c r="GF39" i="5"/>
  <c r="GF68" i="5"/>
  <c r="GF161" i="5"/>
  <c r="GF45" i="5"/>
  <c r="GF86" i="5"/>
  <c r="GF63" i="5"/>
  <c r="GF34" i="5"/>
  <c r="GF31" i="5"/>
  <c r="GF54" i="5"/>
  <c r="GF113" i="5"/>
  <c r="GF136" i="5"/>
  <c r="GF15" i="5"/>
  <c r="GF163" i="5"/>
  <c r="GF158" i="5"/>
  <c r="GF13" i="5"/>
  <c r="GF129" i="5"/>
  <c r="GF157" i="5"/>
  <c r="GF149" i="5"/>
  <c r="GF132" i="5"/>
  <c r="GF84" i="5"/>
  <c r="GF47" i="5"/>
  <c r="GF109" i="5"/>
  <c r="GF150" i="5"/>
  <c r="GF128" i="5"/>
  <c r="GF126" i="5"/>
  <c r="GF114" i="5"/>
  <c r="GF105" i="5"/>
  <c r="GF51" i="5"/>
  <c r="GF55" i="5"/>
  <c r="GF159" i="5"/>
  <c r="GF127" i="5"/>
  <c r="GF168" i="5"/>
  <c r="GF19" i="5"/>
  <c r="GF20" i="5"/>
  <c r="GF32" i="5"/>
  <c r="GF38" i="5"/>
  <c r="GF120" i="5"/>
  <c r="GF98" i="5"/>
  <c r="GF46" i="5"/>
  <c r="GF170" i="5"/>
  <c r="GF44" i="5"/>
  <c r="GF62" i="5"/>
  <c r="GF53" i="5"/>
  <c r="GF142" i="5"/>
  <c r="GF37" i="5"/>
  <c r="GF138" i="5"/>
  <c r="GF151" i="5"/>
  <c r="GF83" i="5"/>
  <c r="GF23" i="5"/>
  <c r="GF140" i="5"/>
  <c r="GF110" i="5"/>
  <c r="GF97" i="5"/>
  <c r="GF52" i="5"/>
  <c r="GF12" i="5"/>
  <c r="GF49" i="5"/>
  <c r="C5" i="5"/>
  <c r="F3" i="5"/>
  <c r="C4" i="5"/>
  <c r="F5" i="5"/>
  <c r="FX96" i="5"/>
  <c r="FX160" i="5"/>
  <c r="FX84" i="5"/>
  <c r="FX116" i="5"/>
  <c r="FX117" i="5"/>
  <c r="FX135" i="5"/>
  <c r="FX31" i="5"/>
  <c r="FX67" i="5"/>
  <c r="FX14" i="5"/>
  <c r="FX66" i="5"/>
  <c r="FX111" i="5"/>
  <c r="FX147" i="5"/>
  <c r="FX144" i="5"/>
  <c r="FX13" i="5"/>
  <c r="FX45" i="5"/>
  <c r="FX80" i="5"/>
  <c r="FX21" i="5"/>
  <c r="FX101" i="5"/>
  <c r="FX25" i="5"/>
  <c r="FX54" i="5"/>
  <c r="FX124" i="5"/>
  <c r="FX69" i="5"/>
  <c r="FX166" i="5"/>
  <c r="FX151" i="5"/>
  <c r="FX131" i="5"/>
  <c r="FX30" i="5"/>
  <c r="FX104" i="5"/>
  <c r="FX23" i="5"/>
  <c r="FX168" i="5"/>
  <c r="FX15" i="5"/>
  <c r="FX34" i="5"/>
  <c r="FX72" i="5"/>
  <c r="FX63" i="5"/>
  <c r="FX91" i="5"/>
  <c r="FX58" i="5"/>
  <c r="FX132" i="5"/>
  <c r="FX149" i="5"/>
  <c r="FX92" i="5"/>
  <c r="FX169" i="5"/>
  <c r="FX156" i="5"/>
  <c r="FX46" i="5"/>
  <c r="FX171" i="5"/>
  <c r="FX52" i="5"/>
  <c r="FX159" i="5"/>
  <c r="FX103" i="5"/>
  <c r="FX141" i="5"/>
  <c r="FX64" i="5"/>
  <c r="FX122" i="5"/>
  <c r="FX146" i="5"/>
  <c r="FX173" i="5"/>
  <c r="FX35" i="5"/>
  <c r="FX163" i="5"/>
  <c r="FX71" i="5"/>
  <c r="FX154" i="5"/>
  <c r="FX55" i="5"/>
  <c r="FX74" i="5"/>
  <c r="FX38" i="5"/>
  <c r="FX19" i="5"/>
  <c r="FX42" i="5"/>
  <c r="FX157" i="5"/>
  <c r="FX33" i="5"/>
  <c r="FX95" i="5"/>
  <c r="FX98" i="5"/>
  <c r="FX16" i="5"/>
  <c r="FX90" i="5"/>
  <c r="FX99" i="5"/>
  <c r="FX78" i="5"/>
  <c r="FX85" i="5"/>
  <c r="FX138" i="5"/>
  <c r="FX20" i="5"/>
  <c r="FX41" i="5"/>
  <c r="FX61" i="5"/>
  <c r="FX125" i="5"/>
  <c r="FX134" i="5"/>
  <c r="FX22" i="5"/>
  <c r="FX94" i="5"/>
  <c r="FX82" i="5"/>
  <c r="FX172" i="5"/>
  <c r="FX119" i="5"/>
  <c r="FX102" i="5"/>
  <c r="FX139" i="5"/>
  <c r="FX48" i="5"/>
  <c r="FX89" i="5"/>
  <c r="FX93" i="5"/>
  <c r="FX36" i="5"/>
  <c r="FX114" i="5"/>
  <c r="FX49" i="5"/>
  <c r="FX70" i="5"/>
  <c r="FX142" i="5"/>
  <c r="FX137" i="5"/>
  <c r="FX158" i="5"/>
  <c r="FX86" i="5"/>
  <c r="FX133" i="5"/>
  <c r="FX110" i="5"/>
  <c r="FX44" i="5"/>
  <c r="FX32" i="5"/>
  <c r="FX150" i="5"/>
  <c r="FX140" i="5"/>
  <c r="FX155" i="5"/>
  <c r="FX161" i="5"/>
  <c r="FX100" i="5"/>
  <c r="FX29" i="5"/>
  <c r="FX136" i="5"/>
  <c r="FX79" i="5"/>
  <c r="FX24" i="5"/>
  <c r="FX77" i="5"/>
  <c r="FX97" i="5"/>
  <c r="FX37" i="5"/>
  <c r="FX118" i="5"/>
  <c r="FX50" i="5"/>
  <c r="FX130" i="5"/>
  <c r="FX11" i="5"/>
  <c r="FX60" i="5"/>
  <c r="FX145" i="5"/>
  <c r="FX164" i="5"/>
  <c r="FX57" i="5"/>
  <c r="FX83" i="5"/>
  <c r="FX121" i="5"/>
  <c r="FX109" i="5"/>
  <c r="FX105" i="5"/>
  <c r="FX87" i="5"/>
  <c r="FX40" i="5"/>
  <c r="FX112" i="5"/>
  <c r="FX143" i="5"/>
  <c r="FX108" i="5"/>
  <c r="FX76" i="5"/>
  <c r="FX81" i="5"/>
  <c r="FX75" i="5"/>
  <c r="FX115" i="5"/>
  <c r="FX68" i="5"/>
  <c r="FX106" i="5"/>
  <c r="FX27" i="5"/>
  <c r="FX126" i="5"/>
  <c r="FX47" i="5"/>
  <c r="FX148" i="5"/>
  <c r="FX51" i="5"/>
  <c r="FX26" i="5"/>
  <c r="FX152" i="5"/>
  <c r="FX123" i="5"/>
  <c r="FX128" i="5"/>
  <c r="FX65" i="5"/>
  <c r="FX167" i="5"/>
  <c r="FX127" i="5"/>
  <c r="FX120" i="5"/>
  <c r="FX129" i="5"/>
  <c r="FX165" i="5"/>
  <c r="FX56" i="5"/>
  <c r="FX28" i="5"/>
  <c r="FX113" i="5"/>
  <c r="FX59" i="5"/>
  <c r="FX18" i="5"/>
  <c r="FX53" i="5"/>
  <c r="FX10" i="5"/>
  <c r="FX170" i="5"/>
  <c r="FX73" i="5"/>
  <c r="FX39" i="5"/>
  <c r="FX17" i="5"/>
  <c r="FX43" i="5"/>
  <c r="FX88" i="5"/>
  <c r="FX107" i="5"/>
  <c r="FX62" i="5"/>
  <c r="FX153" i="5"/>
  <c r="FX12" i="5"/>
  <c r="FX162" i="5"/>
  <c r="GM72" i="5"/>
  <c r="GM133" i="5"/>
  <c r="GM120" i="5"/>
  <c r="GM157" i="5"/>
  <c r="GM155" i="5"/>
  <c r="GM28" i="5"/>
  <c r="GM124" i="5"/>
  <c r="GM123" i="5"/>
  <c r="GM159" i="5"/>
  <c r="GM57" i="5"/>
  <c r="GM99" i="5"/>
  <c r="GM148" i="5"/>
  <c r="GM140" i="5"/>
  <c r="GM60" i="5"/>
  <c r="GM26" i="5"/>
  <c r="GM154" i="5"/>
  <c r="GM141" i="5"/>
  <c r="GM172" i="5"/>
  <c r="GM119" i="5"/>
  <c r="GM64" i="5"/>
  <c r="GM45" i="5"/>
  <c r="GM118" i="5"/>
  <c r="GM168" i="5"/>
  <c r="GM32" i="5"/>
  <c r="GM15" i="5"/>
  <c r="GM61" i="5"/>
  <c r="GM91" i="5"/>
  <c r="GM70" i="5"/>
  <c r="GM106" i="5"/>
  <c r="GM145" i="5"/>
  <c r="GM52" i="5"/>
  <c r="GM48" i="5"/>
  <c r="GM109" i="5"/>
  <c r="GM89" i="5"/>
  <c r="GM46" i="5"/>
  <c r="GM49" i="5"/>
  <c r="GM132" i="5"/>
  <c r="GM167" i="5"/>
  <c r="GM43" i="5"/>
  <c r="GM104" i="5"/>
  <c r="GM100" i="5"/>
  <c r="GM19" i="5"/>
  <c r="GM127" i="5"/>
  <c r="GM58" i="5"/>
  <c r="GM112" i="5"/>
  <c r="GM135" i="5"/>
  <c r="GM55" i="5"/>
  <c r="GM54" i="5"/>
  <c r="GM33" i="5"/>
  <c r="GM23" i="5"/>
  <c r="GM41" i="5"/>
  <c r="GM108" i="5"/>
  <c r="GM69" i="5"/>
  <c r="GM137" i="5"/>
  <c r="GM153" i="5"/>
  <c r="GM85" i="5"/>
  <c r="GM147" i="5"/>
  <c r="GM67" i="5"/>
  <c r="GM122" i="5"/>
  <c r="GM80" i="5"/>
  <c r="GM88" i="5"/>
  <c r="GM47" i="5"/>
  <c r="GM25" i="5"/>
  <c r="GM162" i="5"/>
  <c r="GM17" i="5"/>
  <c r="GM81" i="5"/>
  <c r="GM97" i="5"/>
  <c r="GM59" i="5"/>
  <c r="GM73" i="5"/>
  <c r="GM111" i="5"/>
  <c r="GM92" i="5"/>
  <c r="GM78" i="5"/>
  <c r="GM136" i="5"/>
  <c r="GM95" i="5"/>
  <c r="GM166" i="5"/>
  <c r="GM146" i="5"/>
  <c r="GM62" i="5"/>
  <c r="GM76" i="5"/>
  <c r="GM130" i="5"/>
  <c r="GM66" i="5"/>
  <c r="GM114" i="5"/>
  <c r="GM29" i="5"/>
  <c r="GM131" i="5"/>
  <c r="GM98" i="5"/>
  <c r="GM27" i="5"/>
  <c r="GM18" i="5"/>
  <c r="GM22" i="5"/>
  <c r="GM30" i="5"/>
  <c r="GM21" i="5"/>
  <c r="GM116" i="5"/>
  <c r="GM10" i="5"/>
  <c r="GM65" i="5"/>
  <c r="GM34" i="5"/>
  <c r="GM71" i="5"/>
  <c r="GM35" i="5"/>
  <c r="GM134" i="5"/>
  <c r="GM101" i="5"/>
  <c r="GM13" i="5"/>
  <c r="GM84" i="5"/>
  <c r="GM42" i="5"/>
  <c r="GM142" i="5"/>
  <c r="GM113" i="5"/>
  <c r="GM121" i="5"/>
  <c r="GM170" i="5"/>
  <c r="GM14" i="5"/>
  <c r="GM83" i="5"/>
  <c r="GM77" i="5"/>
  <c r="GM90" i="5"/>
  <c r="GM143" i="5"/>
  <c r="GM128" i="5"/>
  <c r="GM125" i="5"/>
  <c r="GM39" i="5"/>
  <c r="GM139" i="5"/>
  <c r="GM37" i="5"/>
  <c r="GM94" i="5"/>
  <c r="GM160" i="5"/>
  <c r="GM107" i="5"/>
  <c r="GM11" i="5"/>
  <c r="GM144" i="5"/>
  <c r="GM53" i="5"/>
  <c r="GM102" i="5"/>
  <c r="GM161" i="5"/>
  <c r="GM138" i="5"/>
  <c r="GM96" i="5"/>
  <c r="GM36" i="5"/>
  <c r="GM44" i="5"/>
  <c r="GM171" i="5"/>
  <c r="GM16" i="5"/>
  <c r="GM110" i="5"/>
  <c r="GM173" i="5"/>
  <c r="GM51" i="5"/>
  <c r="GM165" i="5"/>
  <c r="GM63" i="5"/>
  <c r="GM117" i="5"/>
  <c r="GM103" i="5"/>
  <c r="GM151" i="5"/>
  <c r="GM169" i="5"/>
  <c r="GM149" i="5"/>
  <c r="GM74" i="5"/>
  <c r="GM164" i="5"/>
  <c r="GM24" i="5"/>
  <c r="GM93" i="5"/>
  <c r="GM163" i="5"/>
  <c r="GM158" i="5"/>
  <c r="GM115" i="5"/>
  <c r="GM56" i="5"/>
  <c r="GM82" i="5"/>
  <c r="GM126" i="5"/>
  <c r="GM129" i="5"/>
  <c r="GM75" i="5"/>
  <c r="GM105" i="5"/>
  <c r="GM38" i="5"/>
  <c r="GM79" i="5"/>
  <c r="GM68" i="5"/>
  <c r="GM156" i="5"/>
  <c r="GM31" i="5"/>
  <c r="GM87" i="5"/>
  <c r="GM152" i="5"/>
  <c r="GM40" i="5"/>
  <c r="GM20" i="5"/>
  <c r="GM86" i="5"/>
  <c r="GM150" i="5"/>
  <c r="GM12" i="5"/>
  <c r="GM50" i="5"/>
  <c r="GE144" i="5"/>
  <c r="GE134" i="5"/>
  <c r="GE41" i="5"/>
  <c r="GE156" i="5"/>
  <c r="GE88" i="5"/>
  <c r="GE11" i="5"/>
  <c r="GE147" i="5"/>
  <c r="GE170" i="5"/>
  <c r="GE106" i="5"/>
  <c r="GE97" i="5"/>
  <c r="GE95" i="5"/>
  <c r="GE165" i="5"/>
  <c r="GE32" i="5"/>
  <c r="GE98" i="5"/>
  <c r="GE73" i="5"/>
  <c r="GE53" i="5"/>
  <c r="GE51" i="5"/>
  <c r="GE129" i="5"/>
  <c r="GE18" i="5"/>
  <c r="GE100" i="5"/>
  <c r="GE159" i="5"/>
  <c r="GE68" i="5"/>
  <c r="GE124" i="5"/>
  <c r="GE43" i="5"/>
  <c r="GE154" i="5"/>
  <c r="GE99" i="5"/>
  <c r="GE111" i="5"/>
  <c r="GE10" i="5"/>
  <c r="GE54" i="5"/>
  <c r="GE72" i="5"/>
  <c r="GE149" i="5"/>
  <c r="GE161" i="5"/>
  <c r="GE30" i="5"/>
  <c r="GE14" i="5"/>
  <c r="GE160" i="5"/>
  <c r="GE85" i="5"/>
  <c r="GE164" i="5"/>
  <c r="GE169" i="5"/>
  <c r="GE118" i="5"/>
  <c r="GE40" i="5"/>
  <c r="GE110" i="5"/>
  <c r="GE113" i="5"/>
  <c r="GE17" i="5"/>
  <c r="GE47" i="5"/>
  <c r="GE171" i="5"/>
  <c r="GE123" i="5"/>
  <c r="GE127" i="5"/>
  <c r="GE37" i="5"/>
  <c r="GE93" i="5"/>
  <c r="GE35" i="5"/>
  <c r="GE23" i="5"/>
  <c r="GE102" i="5"/>
  <c r="GE60" i="5"/>
  <c r="GE112" i="5"/>
  <c r="GE75" i="5"/>
  <c r="GE81" i="5"/>
  <c r="GE101" i="5"/>
  <c r="GE21" i="5"/>
  <c r="GE143" i="5"/>
  <c r="GE120" i="5"/>
  <c r="GE67" i="5"/>
  <c r="GE131" i="5"/>
  <c r="GE105" i="5"/>
  <c r="GE94" i="5"/>
  <c r="GE58" i="5"/>
  <c r="GE86" i="5"/>
  <c r="GE128" i="5"/>
  <c r="GE125" i="5"/>
  <c r="GE153" i="5"/>
  <c r="GE132" i="5"/>
  <c r="GE141" i="5"/>
  <c r="GE96" i="5"/>
  <c r="GE27" i="5"/>
  <c r="GE91" i="5"/>
  <c r="GE130" i="5"/>
  <c r="GE56" i="5"/>
  <c r="GE48" i="5"/>
  <c r="GE66" i="5"/>
  <c r="GE167" i="5"/>
  <c r="GE103" i="5"/>
  <c r="GE151" i="5"/>
  <c r="GE22" i="5"/>
  <c r="GE82" i="5"/>
  <c r="GE116" i="5"/>
  <c r="GE133" i="5"/>
  <c r="GE25" i="5"/>
  <c r="GE108" i="5"/>
  <c r="GE148" i="5"/>
  <c r="GE61" i="5"/>
  <c r="GE24" i="5"/>
  <c r="GE109" i="5"/>
  <c r="GE57" i="5"/>
  <c r="GE142" i="5"/>
  <c r="GE115" i="5"/>
  <c r="GE152" i="5"/>
  <c r="GE63" i="5"/>
  <c r="GE168" i="5"/>
  <c r="GE49" i="5"/>
  <c r="GE16" i="5"/>
  <c r="GE162" i="5"/>
  <c r="GE83" i="5"/>
  <c r="GE62" i="5"/>
  <c r="GE34" i="5"/>
  <c r="GE104" i="5"/>
  <c r="GE28" i="5"/>
  <c r="GE145" i="5"/>
  <c r="GE89" i="5"/>
  <c r="GE69" i="5"/>
  <c r="GE117" i="5"/>
  <c r="GE163" i="5"/>
  <c r="GE19" i="5"/>
  <c r="GE172" i="5"/>
  <c r="GE78" i="5"/>
  <c r="GE45" i="5"/>
  <c r="GE76" i="5"/>
  <c r="GE55" i="5"/>
  <c r="GE79" i="5"/>
  <c r="GE135" i="5"/>
  <c r="GE84" i="5"/>
  <c r="GE90" i="5"/>
  <c r="GE46" i="5"/>
  <c r="GE140" i="5"/>
  <c r="GE59" i="5"/>
  <c r="GE50" i="5"/>
  <c r="GE15" i="5"/>
  <c r="GE137" i="5"/>
  <c r="GE31" i="5"/>
  <c r="GE166" i="5"/>
  <c r="GE158" i="5"/>
  <c r="GE114" i="5"/>
  <c r="GE44" i="5"/>
  <c r="GE13" i="5"/>
  <c r="GE29" i="5"/>
  <c r="GE157" i="5"/>
  <c r="GE136" i="5"/>
  <c r="GE39" i="5"/>
  <c r="GE121" i="5"/>
  <c r="GE92" i="5"/>
  <c r="GE80" i="5"/>
  <c r="GE150" i="5"/>
  <c r="GE70" i="5"/>
  <c r="GE71" i="5"/>
  <c r="GE155" i="5"/>
  <c r="GE26" i="5"/>
  <c r="GE74" i="5"/>
  <c r="GE38" i="5"/>
  <c r="GE126" i="5"/>
  <c r="GE146" i="5"/>
  <c r="GE20" i="5"/>
  <c r="GE64" i="5"/>
  <c r="GE122" i="5"/>
  <c r="GE42" i="5"/>
  <c r="GE139" i="5"/>
  <c r="GE65" i="5"/>
  <c r="GE87" i="5"/>
  <c r="GE138" i="5"/>
  <c r="GE107" i="5"/>
  <c r="GE173" i="5"/>
  <c r="GE36" i="5"/>
  <c r="GE119" i="5"/>
  <c r="GE77" i="5"/>
  <c r="GE52" i="5"/>
  <c r="GE12" i="5"/>
  <c r="GE33" i="5"/>
  <c r="F4" i="5"/>
  <c r="S8" i="5"/>
  <c r="S10" i="5"/>
  <c r="S175" i="5"/>
  <c r="FW126" i="5"/>
  <c r="FW118" i="5"/>
  <c r="FW156" i="5"/>
  <c r="FW77" i="5"/>
  <c r="FW99" i="5"/>
  <c r="FW33" i="5"/>
  <c r="FW128" i="5"/>
  <c r="FW103" i="5"/>
  <c r="FW66" i="5"/>
  <c r="FW46" i="5"/>
  <c r="FW61" i="5"/>
  <c r="FW22" i="5"/>
  <c r="FW139" i="5"/>
  <c r="FW47" i="5"/>
  <c r="FW152" i="5"/>
  <c r="FW82" i="5"/>
  <c r="FW105" i="5"/>
  <c r="FW92" i="5"/>
  <c r="FW148" i="5"/>
  <c r="FW149" i="5"/>
  <c r="FW168" i="5"/>
  <c r="FW36" i="5"/>
  <c r="FW44" i="5"/>
  <c r="FW172" i="5"/>
  <c r="FW57" i="5"/>
  <c r="FW34" i="5"/>
  <c r="FW137" i="5"/>
  <c r="FW102" i="5"/>
  <c r="FW122" i="5"/>
  <c r="FW107" i="5"/>
  <c r="FW89" i="5"/>
  <c r="FW84" i="5"/>
  <c r="FW17" i="5"/>
  <c r="FW112" i="5"/>
  <c r="FW71" i="5"/>
  <c r="FW155" i="5"/>
  <c r="FW111" i="5"/>
  <c r="FW144" i="5"/>
  <c r="FW69" i="5"/>
  <c r="FW67" i="5"/>
  <c r="FW48" i="5"/>
  <c r="FW13" i="5"/>
  <c r="FW125" i="5"/>
  <c r="FW85" i="5"/>
  <c r="FW145" i="5"/>
  <c r="FW91" i="5"/>
  <c r="FW153" i="5"/>
  <c r="FW28" i="5"/>
  <c r="FW14" i="5"/>
  <c r="FW119" i="5"/>
  <c r="FW51" i="5"/>
  <c r="FW62" i="5"/>
  <c r="FW21" i="5"/>
  <c r="FW163" i="5"/>
  <c r="FW45" i="5"/>
  <c r="FW113" i="5"/>
  <c r="FW141" i="5"/>
  <c r="FW167" i="5"/>
  <c r="FW136" i="5"/>
  <c r="FW35" i="5"/>
  <c r="FW27" i="5"/>
  <c r="FW73" i="5"/>
  <c r="FW40" i="5"/>
  <c r="FW130" i="5"/>
  <c r="FW78" i="5"/>
  <c r="FW23" i="5"/>
  <c r="FW25" i="5"/>
  <c r="FW54" i="5"/>
  <c r="FW70" i="5"/>
  <c r="FW124" i="5"/>
  <c r="FW110" i="5"/>
  <c r="FW88" i="5"/>
  <c r="FW90" i="5"/>
  <c r="FW80" i="5"/>
  <c r="FW87" i="5"/>
  <c r="FW20" i="5"/>
  <c r="FW95" i="5"/>
  <c r="FW39" i="5"/>
  <c r="FW11" i="5"/>
  <c r="FW159" i="5"/>
  <c r="FW60" i="5"/>
  <c r="FW127" i="5"/>
  <c r="FW49" i="5"/>
  <c r="FW76" i="5"/>
  <c r="FW19" i="5"/>
  <c r="FW164" i="5"/>
  <c r="FW65" i="5"/>
  <c r="FW162" i="5"/>
  <c r="FW131" i="5"/>
  <c r="FW24" i="5"/>
  <c r="FW116" i="5"/>
  <c r="FW58" i="5"/>
  <c r="FW81" i="5"/>
  <c r="FW32" i="5"/>
  <c r="FW15" i="5"/>
  <c r="FW170" i="5"/>
  <c r="FW59" i="5"/>
  <c r="FW31" i="5"/>
  <c r="FW133" i="5"/>
  <c r="FW98" i="5"/>
  <c r="FW158" i="5"/>
  <c r="FW165" i="5"/>
  <c r="FW100" i="5"/>
  <c r="FW29" i="5"/>
  <c r="FW132" i="5"/>
  <c r="FW93" i="5"/>
  <c r="FW138" i="5"/>
  <c r="FW142" i="5"/>
  <c r="FW115" i="5"/>
  <c r="FW10" i="5"/>
  <c r="FW154" i="5"/>
  <c r="FW56" i="5"/>
  <c r="FW173" i="5"/>
  <c r="FW55" i="5"/>
  <c r="FW79" i="5"/>
  <c r="FW63" i="5"/>
  <c r="FW109" i="5"/>
  <c r="FW96" i="5"/>
  <c r="FW37" i="5"/>
  <c r="FW108" i="5"/>
  <c r="FW166" i="5"/>
  <c r="FW161" i="5"/>
  <c r="FW18" i="5"/>
  <c r="FW143" i="5"/>
  <c r="FW101" i="5"/>
  <c r="FW41" i="5"/>
  <c r="FW74" i="5"/>
  <c r="FW75" i="5"/>
  <c r="FW114" i="5"/>
  <c r="FW134" i="5"/>
  <c r="FW146" i="5"/>
  <c r="FW83" i="5"/>
  <c r="FW30" i="5"/>
  <c r="FW64" i="5"/>
  <c r="FW104" i="5"/>
  <c r="FW120" i="5"/>
  <c r="FW72" i="5"/>
  <c r="FW150" i="5"/>
  <c r="FW86" i="5"/>
  <c r="FW97" i="5"/>
  <c r="FW50" i="5"/>
  <c r="FW117" i="5"/>
  <c r="FW26" i="5"/>
  <c r="FW52" i="5"/>
  <c r="FW151" i="5"/>
  <c r="FW43" i="5"/>
  <c r="FW106" i="5"/>
  <c r="FW68" i="5"/>
  <c r="FW140" i="5"/>
  <c r="FW16" i="5"/>
  <c r="FW42" i="5"/>
  <c r="FW123" i="5"/>
  <c r="FW53" i="5"/>
  <c r="FW160" i="5"/>
  <c r="FW38" i="5"/>
  <c r="FW121" i="5"/>
  <c r="FW147" i="5"/>
  <c r="FW169" i="5"/>
  <c r="FW129" i="5"/>
  <c r="FW94" i="5"/>
  <c r="FW135" i="5"/>
  <c r="FW171" i="5"/>
  <c r="FW12" i="5"/>
  <c r="FW157" i="5"/>
  <c r="GJ91" i="5"/>
  <c r="GJ158" i="5"/>
  <c r="GJ139" i="5"/>
  <c r="GJ114" i="5"/>
  <c r="GJ106" i="5"/>
  <c r="GJ105" i="5"/>
  <c r="GJ85" i="5"/>
  <c r="GJ145" i="5"/>
  <c r="GJ126" i="5"/>
  <c r="GJ50" i="5"/>
  <c r="GJ93" i="5"/>
  <c r="GJ165" i="5"/>
  <c r="GJ31" i="5"/>
  <c r="GJ68" i="5"/>
  <c r="GJ51" i="5"/>
  <c r="GJ149" i="5"/>
  <c r="GJ55" i="5"/>
  <c r="GJ94" i="5"/>
  <c r="GJ24" i="5"/>
  <c r="GJ84" i="5"/>
  <c r="GJ21" i="5"/>
  <c r="GJ53" i="5"/>
  <c r="GJ76" i="5"/>
  <c r="GJ167" i="5"/>
  <c r="GJ97" i="5"/>
  <c r="GJ38" i="5"/>
  <c r="GJ52" i="5"/>
  <c r="GJ16" i="5"/>
  <c r="GJ146" i="5"/>
  <c r="GJ99" i="5"/>
  <c r="GJ36" i="5"/>
  <c r="GJ30" i="5"/>
  <c r="GJ17" i="5"/>
  <c r="GJ166" i="5"/>
  <c r="GJ22" i="5"/>
  <c r="GJ75" i="5"/>
  <c r="GJ118" i="5"/>
  <c r="GJ104" i="5"/>
  <c r="GJ136" i="5"/>
  <c r="GJ103" i="5"/>
  <c r="GJ144" i="5"/>
  <c r="GJ33" i="5"/>
  <c r="GJ107" i="5"/>
  <c r="GJ60" i="5"/>
  <c r="GJ138" i="5"/>
  <c r="GJ160" i="5"/>
  <c r="GJ14" i="5"/>
  <c r="GJ111" i="5"/>
  <c r="GJ124" i="5"/>
  <c r="GJ72" i="5"/>
  <c r="GJ161" i="5"/>
  <c r="GJ147" i="5"/>
  <c r="GJ32" i="5"/>
  <c r="GJ173" i="5"/>
  <c r="GJ113" i="5"/>
  <c r="GJ48" i="5"/>
  <c r="GJ122" i="5"/>
  <c r="GJ116" i="5"/>
  <c r="GJ150" i="5"/>
  <c r="GJ141" i="5"/>
  <c r="GJ143" i="5"/>
  <c r="GJ44" i="5"/>
  <c r="GJ23" i="5"/>
  <c r="GJ108" i="5"/>
  <c r="GJ101" i="5"/>
  <c r="GJ142" i="5"/>
  <c r="GJ128" i="5"/>
  <c r="GJ81" i="5"/>
  <c r="GJ130" i="5"/>
  <c r="GJ18" i="5"/>
  <c r="GJ59" i="5"/>
  <c r="GJ92" i="5"/>
  <c r="GJ151" i="5"/>
  <c r="GJ80" i="5"/>
  <c r="GJ95" i="5"/>
  <c r="GJ171" i="5"/>
  <c r="GJ66" i="5"/>
  <c r="GJ74" i="5"/>
  <c r="GJ127" i="5"/>
  <c r="GJ131" i="5"/>
  <c r="GJ61" i="5"/>
  <c r="GJ78" i="5"/>
  <c r="GJ109" i="5"/>
  <c r="GJ25" i="5"/>
  <c r="GJ96" i="5"/>
  <c r="GJ39" i="5"/>
  <c r="GJ69" i="5"/>
  <c r="GJ115" i="5"/>
  <c r="GJ28" i="5"/>
  <c r="GJ20" i="5"/>
  <c r="GJ45" i="5"/>
  <c r="GJ133" i="5"/>
  <c r="GJ57" i="5"/>
  <c r="GJ169" i="5"/>
  <c r="GJ134" i="5"/>
  <c r="GJ112" i="5"/>
  <c r="GJ79" i="5"/>
  <c r="GJ155" i="5"/>
  <c r="GJ46" i="5"/>
  <c r="GJ156" i="5"/>
  <c r="GJ135" i="5"/>
  <c r="GJ100" i="5"/>
  <c r="GJ11" i="5"/>
  <c r="GJ64" i="5"/>
  <c r="GJ43" i="5"/>
  <c r="GJ35" i="5"/>
  <c r="GJ159" i="5"/>
  <c r="GJ152" i="5"/>
  <c r="GJ34" i="5"/>
  <c r="GJ119" i="5"/>
  <c r="GJ137" i="5"/>
  <c r="GJ70" i="5"/>
  <c r="GJ83" i="5"/>
  <c r="GJ58" i="5"/>
  <c r="GJ82" i="5"/>
  <c r="GJ65" i="5"/>
  <c r="GJ37" i="5"/>
  <c r="GJ19" i="5"/>
  <c r="GJ26" i="5"/>
  <c r="GJ132" i="5"/>
  <c r="GJ89" i="5"/>
  <c r="GJ172" i="5"/>
  <c r="GJ62" i="5"/>
  <c r="GJ71" i="5"/>
  <c r="GJ77" i="5"/>
  <c r="GJ27" i="5"/>
  <c r="GJ42" i="5"/>
  <c r="GJ163" i="5"/>
  <c r="GJ110" i="5"/>
  <c r="GJ125" i="5"/>
  <c r="GJ148" i="5"/>
  <c r="GJ121" i="5"/>
  <c r="GJ63" i="5"/>
  <c r="GJ88" i="5"/>
  <c r="GJ13" i="5"/>
  <c r="GJ49" i="5"/>
  <c r="GJ154" i="5"/>
  <c r="GJ98" i="5"/>
  <c r="GJ170" i="5"/>
  <c r="GJ73" i="5"/>
  <c r="GJ129" i="5"/>
  <c r="GJ41" i="5"/>
  <c r="GJ164" i="5"/>
  <c r="GJ40" i="5"/>
  <c r="GJ123" i="5"/>
  <c r="GJ10" i="5"/>
  <c r="GJ117" i="5"/>
  <c r="GJ54" i="5"/>
  <c r="GJ86" i="5"/>
  <c r="GJ162" i="5"/>
  <c r="GJ29" i="5"/>
  <c r="GJ102" i="5"/>
  <c r="GJ153" i="5"/>
  <c r="GJ157" i="5"/>
  <c r="GJ67" i="5"/>
  <c r="GJ120" i="5"/>
  <c r="GJ56" i="5"/>
  <c r="GJ15" i="5"/>
  <c r="GJ168" i="5"/>
  <c r="GJ140" i="5"/>
  <c r="GJ87" i="5"/>
  <c r="GJ47" i="5"/>
  <c r="GJ12" i="5"/>
  <c r="GJ90" i="5"/>
  <c r="GB132" i="5"/>
  <c r="GB142" i="5"/>
  <c r="GB22" i="5"/>
  <c r="GB47" i="5"/>
  <c r="GB10" i="5"/>
  <c r="GB98" i="5"/>
  <c r="GB131" i="5"/>
  <c r="GB88" i="5"/>
  <c r="GB127" i="5"/>
  <c r="GB83" i="5"/>
  <c r="GB76" i="5"/>
  <c r="GB116" i="5"/>
  <c r="GB143" i="5"/>
  <c r="GB50" i="5"/>
  <c r="GB21" i="5"/>
  <c r="GB102" i="5"/>
  <c r="GB80" i="5"/>
  <c r="GB160" i="5"/>
  <c r="GB151" i="5"/>
  <c r="GB140" i="5"/>
  <c r="GB104" i="5"/>
  <c r="GB31" i="5"/>
  <c r="GB166" i="5"/>
  <c r="GB14" i="5"/>
  <c r="GB45" i="5"/>
  <c r="GB48" i="5"/>
  <c r="GB149" i="5"/>
  <c r="GB134" i="5"/>
  <c r="GB159" i="5"/>
  <c r="GB93" i="5"/>
  <c r="GB77" i="5"/>
  <c r="GB137" i="5"/>
  <c r="GB69" i="5"/>
  <c r="GB72" i="5"/>
  <c r="GB53" i="5"/>
  <c r="GB26" i="5"/>
  <c r="GB15" i="5"/>
  <c r="GB58" i="5"/>
  <c r="GB109" i="5"/>
  <c r="GB146" i="5"/>
  <c r="GB56" i="5"/>
  <c r="GB150" i="5"/>
  <c r="GB37" i="5"/>
  <c r="GB73" i="5"/>
  <c r="GB171" i="5"/>
  <c r="GB84" i="5"/>
  <c r="GB11" i="5"/>
  <c r="GB168" i="5"/>
  <c r="GB100" i="5"/>
  <c r="GB117" i="5"/>
  <c r="GB89" i="5"/>
  <c r="GB24" i="5"/>
  <c r="GB165" i="5"/>
  <c r="GB148" i="5"/>
  <c r="GB173" i="5"/>
  <c r="GB70" i="5"/>
  <c r="GB120" i="5"/>
  <c r="GB103" i="5"/>
  <c r="GB169" i="5"/>
  <c r="GB158" i="5"/>
  <c r="GB64" i="5"/>
  <c r="GB85" i="5"/>
  <c r="GB46" i="5"/>
  <c r="GB152" i="5"/>
  <c r="GB59" i="5"/>
  <c r="GB61" i="5"/>
  <c r="GB156" i="5"/>
  <c r="GB82" i="5"/>
  <c r="GB52" i="5"/>
  <c r="GB78" i="5"/>
  <c r="GB118" i="5"/>
  <c r="GB35" i="5"/>
  <c r="GB135" i="5"/>
  <c r="GB75" i="5"/>
  <c r="GB122" i="5"/>
  <c r="GB23" i="5"/>
  <c r="GB161" i="5"/>
  <c r="GB147" i="5"/>
  <c r="GB157" i="5"/>
  <c r="GB141" i="5"/>
  <c r="GB123" i="5"/>
  <c r="GB28" i="5"/>
  <c r="GB90" i="5"/>
  <c r="GB79" i="5"/>
  <c r="GB34" i="5"/>
  <c r="GB13" i="5"/>
  <c r="GB51" i="5"/>
  <c r="GB138" i="5"/>
  <c r="GB136" i="5"/>
  <c r="GB112" i="5"/>
  <c r="GB172" i="5"/>
  <c r="GB95" i="5"/>
  <c r="GB125" i="5"/>
  <c r="GB153" i="5"/>
  <c r="GB30" i="5"/>
  <c r="GB130" i="5"/>
  <c r="GB110" i="5"/>
  <c r="GB17" i="5"/>
  <c r="GB65" i="5"/>
  <c r="GB74" i="5"/>
  <c r="GB133" i="5"/>
  <c r="GB71" i="5"/>
  <c r="GB36" i="5"/>
  <c r="GB113" i="5"/>
  <c r="GB126" i="5"/>
  <c r="GB19" i="5"/>
  <c r="GB119" i="5"/>
  <c r="GB66" i="5"/>
  <c r="GB164" i="5"/>
  <c r="GB106" i="5"/>
  <c r="GB81" i="5"/>
  <c r="GB108" i="5"/>
  <c r="GB40" i="5"/>
  <c r="GB42" i="5"/>
  <c r="GB97" i="5"/>
  <c r="GB60" i="5"/>
  <c r="GB44" i="5"/>
  <c r="GB121" i="5"/>
  <c r="GB101" i="5"/>
  <c r="GB167" i="5"/>
  <c r="GB67" i="5"/>
  <c r="GB38" i="5"/>
  <c r="GB139" i="5"/>
  <c r="GB129" i="5"/>
  <c r="GB29" i="5"/>
  <c r="GB107" i="5"/>
  <c r="GB57" i="5"/>
  <c r="GB41" i="5"/>
  <c r="GB18" i="5"/>
  <c r="GB163" i="5"/>
  <c r="GB162" i="5"/>
  <c r="GB32" i="5"/>
  <c r="GB105" i="5"/>
  <c r="GB111" i="5"/>
  <c r="GB128" i="5"/>
  <c r="GB68" i="5"/>
  <c r="GB54" i="5"/>
  <c r="GB155" i="5"/>
  <c r="GB94" i="5"/>
  <c r="GB25" i="5"/>
  <c r="GB124" i="5"/>
  <c r="GB115" i="5"/>
  <c r="GB49" i="5"/>
  <c r="GB39" i="5"/>
  <c r="GB154" i="5"/>
  <c r="GB16" i="5"/>
  <c r="GB55" i="5"/>
  <c r="GB114" i="5"/>
  <c r="GB96" i="5"/>
  <c r="GB91" i="5"/>
  <c r="GB99" i="5"/>
  <c r="GB145" i="5"/>
  <c r="GB87" i="5"/>
  <c r="GB170" i="5"/>
  <c r="GB27" i="5"/>
  <c r="GB86" i="5"/>
  <c r="GB144" i="5"/>
  <c r="GB92" i="5"/>
  <c r="GB62" i="5"/>
  <c r="GB20" i="5"/>
  <c r="GB63" i="5"/>
  <c r="GB43" i="5"/>
  <c r="GB12" i="5"/>
  <c r="GB33" i="5"/>
  <c r="FT137" i="5"/>
  <c r="FT47" i="5"/>
  <c r="FT146" i="5"/>
  <c r="FT91" i="5"/>
  <c r="FT42" i="5"/>
  <c r="FT131" i="5"/>
  <c r="FT163" i="5"/>
  <c r="FT166" i="5"/>
  <c r="FT55" i="5"/>
  <c r="FT136" i="5"/>
  <c r="FT116" i="5"/>
  <c r="FT76" i="5"/>
  <c r="FT144" i="5"/>
  <c r="FT66" i="5"/>
  <c r="FT122" i="5"/>
  <c r="FT37" i="5"/>
  <c r="FT151" i="5"/>
  <c r="FT22" i="5"/>
  <c r="FT28" i="5"/>
  <c r="FT49" i="5"/>
  <c r="FT70" i="5"/>
  <c r="FT59" i="5"/>
  <c r="FT120" i="5"/>
  <c r="FT56" i="5"/>
  <c r="FT68" i="5"/>
  <c r="FT79" i="5"/>
  <c r="FT97" i="5"/>
  <c r="FT24" i="5"/>
  <c r="FT150" i="5"/>
  <c r="FT88" i="5"/>
  <c r="FT125" i="5"/>
  <c r="FT124" i="5"/>
  <c r="FT36" i="5"/>
  <c r="FT72" i="5"/>
  <c r="FT81" i="5"/>
  <c r="FT58" i="5"/>
  <c r="FT10" i="5"/>
  <c r="FT19" i="5"/>
  <c r="FT93" i="5"/>
  <c r="FT69" i="5"/>
  <c r="FT25" i="5"/>
  <c r="FT90" i="5"/>
  <c r="FT107" i="5"/>
  <c r="FT89" i="5"/>
  <c r="FT156" i="5"/>
  <c r="FT52" i="5"/>
  <c r="FT147" i="5"/>
  <c r="FT106" i="5"/>
  <c r="FT74" i="5"/>
  <c r="FT32" i="5"/>
  <c r="FT23" i="5"/>
  <c r="FT94" i="5"/>
  <c r="FT168" i="5"/>
  <c r="FT167" i="5"/>
  <c r="FT73" i="5"/>
  <c r="FT133" i="5"/>
  <c r="FT114" i="5"/>
  <c r="FT149" i="5"/>
  <c r="FT48" i="5"/>
  <c r="FT87" i="5"/>
  <c r="FT105" i="5"/>
  <c r="FT85" i="5"/>
  <c r="FT99" i="5"/>
  <c r="FT152" i="5"/>
  <c r="FT102" i="5"/>
  <c r="FT51" i="5"/>
  <c r="FT110" i="5"/>
  <c r="FT145" i="5"/>
  <c r="FT171" i="5"/>
  <c r="FT26" i="5"/>
  <c r="FT140" i="5"/>
  <c r="FT170" i="5"/>
  <c r="FT172" i="5"/>
  <c r="FT39" i="5"/>
  <c r="FT153" i="5"/>
  <c r="FT108" i="5"/>
  <c r="FT45" i="5"/>
  <c r="FT154" i="5"/>
  <c r="FT27" i="5"/>
  <c r="FT82" i="5"/>
  <c r="FT157" i="5"/>
  <c r="FT142" i="5"/>
  <c r="FT61" i="5"/>
  <c r="FT161" i="5"/>
  <c r="FT132" i="5"/>
  <c r="FT104" i="5"/>
  <c r="FT20" i="5"/>
  <c r="FT148" i="5"/>
  <c r="FT160" i="5"/>
  <c r="FT62" i="5"/>
  <c r="FT134" i="5"/>
  <c r="FT50" i="5"/>
  <c r="FT162" i="5"/>
  <c r="FT98" i="5"/>
  <c r="FT111" i="5"/>
  <c r="FT129" i="5"/>
  <c r="FT14" i="5"/>
  <c r="FT64" i="5"/>
  <c r="FT118" i="5"/>
  <c r="FT141" i="5"/>
  <c r="FT113" i="5"/>
  <c r="FT155" i="5"/>
  <c r="FT31" i="5"/>
  <c r="FT71" i="5"/>
  <c r="FT117" i="5"/>
  <c r="FT169" i="5"/>
  <c r="FT165" i="5"/>
  <c r="FT139" i="5"/>
  <c r="FT13" i="5"/>
  <c r="FT130" i="5"/>
  <c r="FT126" i="5"/>
  <c r="FT35" i="5"/>
  <c r="FT80" i="5"/>
  <c r="FT95" i="5"/>
  <c r="FT143" i="5"/>
  <c r="FT78" i="5"/>
  <c r="FT17" i="5"/>
  <c r="FT38" i="5"/>
  <c r="FT112" i="5"/>
  <c r="FT29" i="5"/>
  <c r="FT18" i="5"/>
  <c r="FT164" i="5"/>
  <c r="FT16" i="5"/>
  <c r="FT115" i="5"/>
  <c r="FT128" i="5"/>
  <c r="FT33" i="5"/>
  <c r="FT40" i="5"/>
  <c r="FT83" i="5"/>
  <c r="FT96" i="5"/>
  <c r="FT67" i="5"/>
  <c r="FT119" i="5"/>
  <c r="FT109" i="5"/>
  <c r="FT123" i="5"/>
  <c r="FT34" i="5"/>
  <c r="FT54" i="5"/>
  <c r="FT135" i="5"/>
  <c r="FT173" i="5"/>
  <c r="FT21" i="5"/>
  <c r="FT158" i="5"/>
  <c r="FT138" i="5"/>
  <c r="FT103" i="5"/>
  <c r="FT101" i="5"/>
  <c r="FT57" i="5"/>
  <c r="FT30" i="5"/>
  <c r="FT65" i="5"/>
  <c r="FT60" i="5"/>
  <c r="FT11" i="5"/>
  <c r="FT127" i="5"/>
  <c r="FT77" i="5"/>
  <c r="FT46" i="5"/>
  <c r="FT44" i="5"/>
  <c r="FT15" i="5"/>
  <c r="FT63" i="5"/>
  <c r="FT100" i="5"/>
  <c r="FT43" i="5"/>
  <c r="FT159" i="5"/>
  <c r="FT121" i="5"/>
  <c r="FT92" i="5"/>
  <c r="FT75" i="5"/>
  <c r="FT41" i="5"/>
  <c r="FT84" i="5"/>
  <c r="FT53" i="5"/>
  <c r="FT12" i="5"/>
  <c r="FT86" i="5"/>
  <c r="GO98" i="5"/>
  <c r="GO147" i="5"/>
  <c r="GO35" i="5"/>
  <c r="GO101" i="5"/>
  <c r="GO27" i="5"/>
  <c r="GO107" i="5"/>
  <c r="GO51" i="5"/>
  <c r="GO71" i="5"/>
  <c r="GO82" i="5"/>
  <c r="GO166" i="5"/>
  <c r="GO159" i="5"/>
  <c r="GO48" i="5"/>
  <c r="GO65" i="5"/>
  <c r="GO161" i="5"/>
  <c r="GO73" i="5"/>
  <c r="GO136" i="5"/>
  <c r="GO61" i="5"/>
  <c r="GO30" i="5"/>
  <c r="GO55" i="5"/>
  <c r="GO102" i="5"/>
  <c r="GO114" i="5"/>
  <c r="GO86" i="5"/>
  <c r="GO163" i="5"/>
  <c r="GO66" i="5"/>
  <c r="GO160" i="5"/>
  <c r="GO58" i="5"/>
  <c r="GO132" i="5"/>
  <c r="GO19" i="5"/>
  <c r="GO171" i="5"/>
  <c r="GO47" i="5"/>
  <c r="GO157" i="5"/>
  <c r="GO67" i="5"/>
  <c r="GO118" i="5"/>
  <c r="GO70" i="5"/>
  <c r="GO64" i="5"/>
  <c r="GO168" i="5"/>
  <c r="GO135" i="5"/>
  <c r="GO155" i="5"/>
  <c r="GO156" i="5"/>
  <c r="GO162" i="5"/>
  <c r="GO23" i="5"/>
  <c r="GO146" i="5"/>
  <c r="GO53" i="5"/>
  <c r="GO31" i="5"/>
  <c r="GO153" i="5"/>
  <c r="GO14" i="5"/>
  <c r="GO149" i="5"/>
  <c r="GO15" i="5"/>
  <c r="GO125" i="5"/>
  <c r="GO110" i="5"/>
  <c r="GO121" i="5"/>
  <c r="GO85" i="5"/>
  <c r="GO111" i="5"/>
  <c r="GO60" i="5"/>
  <c r="GO134" i="5"/>
  <c r="GO96" i="5"/>
  <c r="GO76" i="5"/>
  <c r="GO152" i="5"/>
  <c r="GO25" i="5"/>
  <c r="GO59" i="5"/>
  <c r="GO97" i="5"/>
  <c r="GO151" i="5"/>
  <c r="GO148" i="5"/>
  <c r="GO36" i="5"/>
  <c r="GO37" i="5"/>
  <c r="GO124" i="5"/>
  <c r="GO89" i="5"/>
  <c r="GO79" i="5"/>
  <c r="GO50" i="5"/>
  <c r="GO78" i="5"/>
  <c r="GO46" i="5"/>
  <c r="GO87" i="5"/>
  <c r="GO93" i="5"/>
  <c r="GO172" i="5"/>
  <c r="GO92" i="5"/>
  <c r="GO40" i="5"/>
  <c r="GO13" i="5"/>
  <c r="GO33" i="5"/>
  <c r="GO167" i="5"/>
  <c r="GO103" i="5"/>
  <c r="GO173" i="5"/>
  <c r="GO72" i="5"/>
  <c r="GO22" i="5"/>
  <c r="GO62" i="5"/>
  <c r="GO80" i="5"/>
  <c r="GO32" i="5"/>
  <c r="GO104" i="5"/>
  <c r="GO108" i="5"/>
  <c r="GO127" i="5"/>
  <c r="GO154" i="5"/>
  <c r="GO18" i="5"/>
  <c r="GO100" i="5"/>
  <c r="GO26" i="5"/>
  <c r="GO88" i="5"/>
  <c r="GO45" i="5"/>
  <c r="GO99" i="5"/>
  <c r="GO137" i="5"/>
  <c r="GO42" i="5"/>
  <c r="GO28" i="5"/>
  <c r="GO133" i="5"/>
  <c r="GO113" i="5"/>
  <c r="GO123" i="5"/>
  <c r="GO116" i="5"/>
  <c r="GO141" i="5"/>
  <c r="GO11" i="5"/>
  <c r="GO84" i="5"/>
  <c r="GO120" i="5"/>
  <c r="GO20" i="5"/>
  <c r="GO74" i="5"/>
  <c r="GO75" i="5"/>
  <c r="GO106" i="5"/>
  <c r="GO41" i="5"/>
  <c r="GO83" i="5"/>
  <c r="GO34" i="5"/>
  <c r="GO95" i="5"/>
  <c r="GO131" i="5"/>
  <c r="GO145" i="5"/>
  <c r="GO169" i="5"/>
  <c r="GO68" i="5"/>
  <c r="GO140" i="5"/>
  <c r="GO81" i="5"/>
  <c r="GO126" i="5"/>
  <c r="GO115" i="5"/>
  <c r="GO105" i="5"/>
  <c r="GO77" i="5"/>
  <c r="GO17" i="5"/>
  <c r="GO128" i="5"/>
  <c r="GO54" i="5"/>
  <c r="GO49" i="5"/>
  <c r="GO150" i="5"/>
  <c r="GO144" i="5"/>
  <c r="GO130" i="5"/>
  <c r="GO29" i="5"/>
  <c r="GO63" i="5"/>
  <c r="GO170" i="5"/>
  <c r="GO142" i="5"/>
  <c r="GO21" i="5"/>
  <c r="GO138" i="5"/>
  <c r="GO38" i="5"/>
  <c r="GO52" i="5"/>
  <c r="GO143" i="5"/>
  <c r="GO112" i="5"/>
  <c r="GO119" i="5"/>
  <c r="GO90" i="5"/>
  <c r="GO158" i="5"/>
  <c r="GO122" i="5"/>
  <c r="GO165" i="5"/>
  <c r="GO117" i="5"/>
  <c r="GO56" i="5"/>
  <c r="GO129" i="5"/>
  <c r="GO16" i="5"/>
  <c r="GO164" i="5"/>
  <c r="GO109" i="5"/>
  <c r="GO39" i="5"/>
  <c r="GO91" i="5"/>
  <c r="GO139" i="5"/>
  <c r="GO44" i="5"/>
  <c r="GO94" i="5"/>
  <c r="GO24" i="5"/>
  <c r="GO10" i="5"/>
  <c r="GO43" i="5"/>
  <c r="GO57" i="5"/>
  <c r="GO12" i="5"/>
  <c r="GO69" i="5"/>
  <c r="HG63" i="5"/>
  <c r="FQ63" i="5"/>
  <c r="HF63" i="5"/>
  <c r="S63" i="5"/>
  <c r="HG117" i="5"/>
  <c r="FQ117" i="5"/>
  <c r="HF117" i="5"/>
  <c r="S117" i="5"/>
  <c r="GI124" i="5"/>
  <c r="GI156" i="5"/>
  <c r="GI73" i="5"/>
  <c r="GI71" i="5"/>
  <c r="GI74" i="5"/>
  <c r="GI84" i="5"/>
  <c r="GI59" i="5"/>
  <c r="GI35" i="5"/>
  <c r="GI82" i="5"/>
  <c r="GI53" i="5"/>
  <c r="GI32" i="5"/>
  <c r="GI81" i="5"/>
  <c r="GI52" i="5"/>
  <c r="GI38" i="5"/>
  <c r="GI102" i="5"/>
  <c r="GI145" i="5"/>
  <c r="GI64" i="5"/>
  <c r="GI154" i="5"/>
  <c r="GI69" i="5"/>
  <c r="GI115" i="5"/>
  <c r="GI41" i="5"/>
  <c r="GI54" i="5"/>
  <c r="GI170" i="5"/>
  <c r="GI167" i="5"/>
  <c r="GI152" i="5"/>
  <c r="GI104" i="5"/>
  <c r="GI142" i="5"/>
  <c r="GI134" i="5"/>
  <c r="GI29" i="5"/>
  <c r="GI107" i="5"/>
  <c r="GI99" i="5"/>
  <c r="GI159" i="5"/>
  <c r="GI68" i="5"/>
  <c r="GI116" i="5"/>
  <c r="GI151" i="5"/>
  <c r="GI110" i="5"/>
  <c r="GI126" i="5"/>
  <c r="GI80" i="5"/>
  <c r="GI113" i="5"/>
  <c r="GI49" i="5"/>
  <c r="GI46" i="5"/>
  <c r="GI166" i="5"/>
  <c r="GI118" i="5"/>
  <c r="GI135" i="5"/>
  <c r="GI60" i="5"/>
  <c r="GI173" i="5"/>
  <c r="GI100" i="5"/>
  <c r="GI92" i="5"/>
  <c r="GI87" i="5"/>
  <c r="GI117" i="5"/>
  <c r="GI95" i="5"/>
  <c r="GI88" i="5"/>
  <c r="GI27" i="5"/>
  <c r="GI85" i="5"/>
  <c r="GI77" i="5"/>
  <c r="GI34" i="5"/>
  <c r="GI33" i="5"/>
  <c r="GI17" i="5"/>
  <c r="GI133" i="5"/>
  <c r="GI103" i="5"/>
  <c r="GI164" i="5"/>
  <c r="GI26" i="5"/>
  <c r="GI127" i="5"/>
  <c r="GI141" i="5"/>
  <c r="GI97" i="5"/>
  <c r="GI144" i="5"/>
  <c r="GI143" i="5"/>
  <c r="GI132" i="5"/>
  <c r="GI48" i="5"/>
  <c r="GI83" i="5"/>
  <c r="GI58" i="5"/>
  <c r="GI24" i="5"/>
  <c r="GI42" i="5"/>
  <c r="GI78" i="5"/>
  <c r="GI19" i="5"/>
  <c r="GI56" i="5"/>
  <c r="GI16" i="5"/>
  <c r="GI18" i="5"/>
  <c r="GI15" i="5"/>
  <c r="GI130" i="5"/>
  <c r="GI50" i="5"/>
  <c r="GI123" i="5"/>
  <c r="GI65" i="5"/>
  <c r="GI121" i="5"/>
  <c r="GI162" i="5"/>
  <c r="GI112" i="5"/>
  <c r="GI169" i="5"/>
  <c r="GI120" i="5"/>
  <c r="GI119" i="5"/>
  <c r="GI45" i="5"/>
  <c r="GI109" i="5"/>
  <c r="GI157" i="5"/>
  <c r="GI72" i="5"/>
  <c r="GI63" i="5"/>
  <c r="GI149" i="5"/>
  <c r="GI43" i="5"/>
  <c r="GI101" i="5"/>
  <c r="GI36" i="5"/>
  <c r="GI31" i="5"/>
  <c r="GI165" i="5"/>
  <c r="GI57" i="5"/>
  <c r="GI98" i="5"/>
  <c r="GI10" i="5"/>
  <c r="GI128" i="5"/>
  <c r="GI108" i="5"/>
  <c r="GI23" i="5"/>
  <c r="GI66" i="5"/>
  <c r="GI28" i="5"/>
  <c r="GI30" i="5"/>
  <c r="GI40" i="5"/>
  <c r="GI137" i="5"/>
  <c r="GI129" i="5"/>
  <c r="GI140" i="5"/>
  <c r="GI147" i="5"/>
  <c r="GI91" i="5"/>
  <c r="GI11" i="5"/>
  <c r="GI76" i="5"/>
  <c r="GI79" i="5"/>
  <c r="GI125" i="5"/>
  <c r="GI136" i="5"/>
  <c r="GI160" i="5"/>
  <c r="GI51" i="5"/>
  <c r="GI105" i="5"/>
  <c r="GI93" i="5"/>
  <c r="GI155" i="5"/>
  <c r="GI168" i="5"/>
  <c r="GI122" i="5"/>
  <c r="GI14" i="5"/>
  <c r="GI90" i="5"/>
  <c r="GI22" i="5"/>
  <c r="GI20" i="5"/>
  <c r="GI44" i="5"/>
  <c r="GI25" i="5"/>
  <c r="GI161" i="5"/>
  <c r="GI13" i="5"/>
  <c r="GI131" i="5"/>
  <c r="GI96" i="5"/>
  <c r="GI89" i="5"/>
  <c r="GI148" i="5"/>
  <c r="GI86" i="5"/>
  <c r="GI61" i="5"/>
  <c r="GI21" i="5"/>
  <c r="GI106" i="5"/>
  <c r="GI163" i="5"/>
  <c r="GI139" i="5"/>
  <c r="GI153" i="5"/>
  <c r="GI39" i="5"/>
  <c r="GI138" i="5"/>
  <c r="GI75" i="5"/>
  <c r="GI150" i="5"/>
  <c r="GI47" i="5"/>
  <c r="GI70" i="5"/>
  <c r="GI172" i="5"/>
  <c r="GI146" i="5"/>
  <c r="GI158" i="5"/>
  <c r="GI55" i="5"/>
  <c r="GI94" i="5"/>
  <c r="GI67" i="5"/>
  <c r="GI37" i="5"/>
  <c r="GI111" i="5"/>
  <c r="GI62" i="5"/>
  <c r="GI114" i="5"/>
  <c r="GI12" i="5"/>
  <c r="GI171" i="5"/>
  <c r="GA99" i="5"/>
  <c r="GA156" i="5"/>
  <c r="GA159" i="5"/>
  <c r="GA43" i="5"/>
  <c r="GA73" i="5"/>
  <c r="GA55" i="5"/>
  <c r="GA23" i="5"/>
  <c r="GA91" i="5"/>
  <c r="GA77" i="5"/>
  <c r="GA128" i="5"/>
  <c r="GA19" i="5"/>
  <c r="GA65" i="5"/>
  <c r="GA95" i="5"/>
  <c r="GA63" i="5"/>
  <c r="GA78" i="5"/>
  <c r="GA57" i="5"/>
  <c r="GA52" i="5"/>
  <c r="GA82" i="5"/>
  <c r="GA173" i="5"/>
  <c r="GA165" i="5"/>
  <c r="GA143" i="5"/>
  <c r="GA72" i="5"/>
  <c r="GA94" i="5"/>
  <c r="GA80" i="5"/>
  <c r="GA112" i="5"/>
  <c r="GA93" i="5"/>
  <c r="GA152" i="5"/>
  <c r="GA67" i="5"/>
  <c r="GA69" i="5"/>
  <c r="GA140" i="5"/>
  <c r="GA109" i="5"/>
  <c r="GA74" i="5"/>
  <c r="GA56" i="5"/>
  <c r="GA146" i="5"/>
  <c r="GA66" i="5"/>
  <c r="GA33" i="5"/>
  <c r="GA27" i="5"/>
  <c r="GA151" i="5"/>
  <c r="GA145" i="5"/>
  <c r="GA24" i="5"/>
  <c r="GA18" i="5"/>
  <c r="GA25" i="5"/>
  <c r="GA14" i="5"/>
  <c r="GA37" i="5"/>
  <c r="GA92" i="5"/>
  <c r="GA172" i="5"/>
  <c r="GA75" i="5"/>
  <c r="GA115" i="5"/>
  <c r="GA126" i="5"/>
  <c r="GA30" i="5"/>
  <c r="GA116" i="5"/>
  <c r="GA86" i="5"/>
  <c r="GA10" i="5"/>
  <c r="GA105" i="5"/>
  <c r="GA136" i="5"/>
  <c r="GA162" i="5"/>
  <c r="GA60" i="5"/>
  <c r="GA71" i="5"/>
  <c r="GA26" i="5"/>
  <c r="GA87" i="5"/>
  <c r="GA158" i="5"/>
  <c r="GA58" i="5"/>
  <c r="GA148" i="5"/>
  <c r="GA120" i="5"/>
  <c r="GA157" i="5"/>
  <c r="GA170" i="5"/>
  <c r="GA168" i="5"/>
  <c r="GA35" i="5"/>
  <c r="GA138" i="5"/>
  <c r="GA41" i="5"/>
  <c r="GA117" i="5"/>
  <c r="GA144" i="5"/>
  <c r="GA108" i="5"/>
  <c r="GA17" i="5"/>
  <c r="GA42" i="5"/>
  <c r="GA114" i="5"/>
  <c r="GA142" i="5"/>
  <c r="GA89" i="5"/>
  <c r="GA154" i="5"/>
  <c r="GA121" i="5"/>
  <c r="GA61" i="5"/>
  <c r="GA15" i="5"/>
  <c r="GA118" i="5"/>
  <c r="GA62" i="5"/>
  <c r="GA113" i="5"/>
  <c r="GA122" i="5"/>
  <c r="GA106" i="5"/>
  <c r="GA124" i="5"/>
  <c r="GA169" i="5"/>
  <c r="GA50" i="5"/>
  <c r="GA167" i="5"/>
  <c r="GA45" i="5"/>
  <c r="GA54" i="5"/>
  <c r="GA47" i="5"/>
  <c r="GA48" i="5"/>
  <c r="GA103" i="5"/>
  <c r="GA90" i="5"/>
  <c r="GA166" i="5"/>
  <c r="GA155" i="5"/>
  <c r="GA153" i="5"/>
  <c r="GA64" i="5"/>
  <c r="GA127" i="5"/>
  <c r="GA70" i="5"/>
  <c r="GA150" i="5"/>
  <c r="GA11" i="5"/>
  <c r="GA139" i="5"/>
  <c r="GA131" i="5"/>
  <c r="GA96" i="5"/>
  <c r="GA83" i="5"/>
  <c r="GA100" i="5"/>
  <c r="GA59" i="5"/>
  <c r="GA129" i="5"/>
  <c r="GA149" i="5"/>
  <c r="GA101" i="5"/>
  <c r="GA147" i="5"/>
  <c r="GA110" i="5"/>
  <c r="GA164" i="5"/>
  <c r="GA34" i="5"/>
  <c r="GA84" i="5"/>
  <c r="GA68" i="5"/>
  <c r="GA104" i="5"/>
  <c r="GA49" i="5"/>
  <c r="GA134" i="5"/>
  <c r="GA171" i="5"/>
  <c r="GA125" i="5"/>
  <c r="GA21" i="5"/>
  <c r="GA123" i="5"/>
  <c r="GA13" i="5"/>
  <c r="GA53" i="5"/>
  <c r="GA130" i="5"/>
  <c r="GA137" i="5"/>
  <c r="GA135" i="5"/>
  <c r="GA133" i="5"/>
  <c r="GA141" i="5"/>
  <c r="GA111" i="5"/>
  <c r="GA32" i="5"/>
  <c r="GA97" i="5"/>
  <c r="GA22" i="5"/>
  <c r="GA85" i="5"/>
  <c r="GA16" i="5"/>
  <c r="GA44" i="5"/>
  <c r="GA31" i="5"/>
  <c r="GA107" i="5"/>
  <c r="GA81" i="5"/>
  <c r="GA76" i="5"/>
  <c r="GA39" i="5"/>
  <c r="GA119" i="5"/>
  <c r="GA36" i="5"/>
  <c r="GA161" i="5"/>
  <c r="GA163" i="5"/>
  <c r="GA20" i="5"/>
  <c r="GA29" i="5"/>
  <c r="GA132" i="5"/>
  <c r="GA40" i="5"/>
  <c r="GA28" i="5"/>
  <c r="GA46" i="5"/>
  <c r="GA88" i="5"/>
  <c r="GA38" i="5"/>
  <c r="GA51" i="5"/>
  <c r="GA102" i="5"/>
  <c r="GA160" i="5"/>
  <c r="GA79" i="5"/>
  <c r="GA12" i="5"/>
  <c r="GA98" i="5"/>
  <c r="FS31" i="5"/>
  <c r="FS80" i="5"/>
  <c r="FS22" i="5"/>
  <c r="FS21" i="5"/>
  <c r="FS120" i="5"/>
  <c r="FS24" i="5"/>
  <c r="FS86" i="5"/>
  <c r="FS49" i="5"/>
  <c r="FS92" i="5"/>
  <c r="FS59" i="5"/>
  <c r="FS166" i="5"/>
  <c r="FS157" i="5"/>
  <c r="FS112" i="5"/>
  <c r="FS149" i="5"/>
  <c r="FS93" i="5"/>
  <c r="FS20" i="5"/>
  <c r="FS163" i="5"/>
  <c r="FS35" i="5"/>
  <c r="FS119" i="5"/>
  <c r="FS53" i="5"/>
  <c r="FS167" i="5"/>
  <c r="FS63" i="5"/>
  <c r="FS14" i="5"/>
  <c r="FS142" i="5"/>
  <c r="FS113" i="5"/>
  <c r="FS135" i="5"/>
  <c r="FS60" i="5"/>
  <c r="FS138" i="5"/>
  <c r="FS73" i="5"/>
  <c r="FS30" i="5"/>
  <c r="FS74" i="5"/>
  <c r="FS44" i="5"/>
  <c r="FS81" i="5"/>
  <c r="FS132" i="5"/>
  <c r="FS162" i="5"/>
  <c r="FS115" i="5"/>
  <c r="FS27" i="5"/>
  <c r="FS102" i="5"/>
  <c r="FS111" i="5"/>
  <c r="FS169" i="5"/>
  <c r="FS129" i="5"/>
  <c r="FS91" i="5"/>
  <c r="FS41" i="5"/>
  <c r="FS46" i="5"/>
  <c r="FS25" i="5"/>
  <c r="FS42" i="5"/>
  <c r="FS45" i="5"/>
  <c r="FS32" i="5"/>
  <c r="FS117" i="5"/>
  <c r="FS171" i="5"/>
  <c r="FS130" i="5"/>
  <c r="FS88" i="5"/>
  <c r="FS108" i="5"/>
  <c r="FS145" i="5"/>
  <c r="FS116" i="5"/>
  <c r="FS148" i="5"/>
  <c r="FS159" i="5"/>
  <c r="FS38" i="5"/>
  <c r="FS122" i="5"/>
  <c r="FS90" i="5"/>
  <c r="FS99" i="5"/>
  <c r="FS65" i="5"/>
  <c r="FS84" i="5"/>
  <c r="FS77" i="5"/>
  <c r="FS55" i="5"/>
  <c r="FS139" i="5"/>
  <c r="FS94" i="5"/>
  <c r="FS76" i="5"/>
  <c r="FS150" i="5"/>
  <c r="FS78" i="5"/>
  <c r="FS98" i="5"/>
  <c r="FS146" i="5"/>
  <c r="FS23" i="5"/>
  <c r="FS110" i="5"/>
  <c r="FS11" i="5"/>
  <c r="FS165" i="5"/>
  <c r="FS72" i="5"/>
  <c r="FS66" i="5"/>
  <c r="FS141" i="5"/>
  <c r="FS28" i="5"/>
  <c r="FS48" i="5"/>
  <c r="FS147" i="5"/>
  <c r="FS168" i="5"/>
  <c r="FS71" i="5"/>
  <c r="FS153" i="5"/>
  <c r="FS143" i="5"/>
  <c r="FS64" i="5"/>
  <c r="FS173" i="5"/>
  <c r="FS67" i="5"/>
  <c r="FS18" i="5"/>
  <c r="FS56" i="5"/>
  <c r="FS10" i="5"/>
  <c r="FS172" i="5"/>
  <c r="FS123" i="5"/>
  <c r="FS29" i="5"/>
  <c r="FS97" i="5"/>
  <c r="FS61" i="5"/>
  <c r="FS118" i="5"/>
  <c r="FS51" i="5"/>
  <c r="FS16" i="5"/>
  <c r="FS151" i="5"/>
  <c r="FS69" i="5"/>
  <c r="FS17" i="5"/>
  <c r="FS105" i="5"/>
  <c r="FS127" i="5"/>
  <c r="FS137" i="5"/>
  <c r="FS104" i="5"/>
  <c r="FS144" i="5"/>
  <c r="FS47" i="5"/>
  <c r="FS100" i="5"/>
  <c r="FS50" i="5"/>
  <c r="FS13" i="5"/>
  <c r="FS103" i="5"/>
  <c r="FS70" i="5"/>
  <c r="FS75" i="5"/>
  <c r="FS128" i="5"/>
  <c r="FS155" i="5"/>
  <c r="FS161" i="5"/>
  <c r="FS34" i="5"/>
  <c r="FS164" i="5"/>
  <c r="FS107" i="5"/>
  <c r="FS152" i="5"/>
  <c r="FS101" i="5"/>
  <c r="FS131" i="5"/>
  <c r="FS26" i="5"/>
  <c r="FS95" i="5"/>
  <c r="FS36" i="5"/>
  <c r="FS158" i="5"/>
  <c r="FS114" i="5"/>
  <c r="FS68" i="5"/>
  <c r="FS58" i="5"/>
  <c r="FS89" i="5"/>
  <c r="FS79" i="5"/>
  <c r="FS43" i="5"/>
  <c r="FS33" i="5"/>
  <c r="FS82" i="5"/>
  <c r="FS136" i="5"/>
  <c r="FS125" i="5"/>
  <c r="FS96" i="5"/>
  <c r="FS160" i="5"/>
  <c r="FS52" i="5"/>
  <c r="FS106" i="5"/>
  <c r="FS121" i="5"/>
  <c r="FS133" i="5"/>
  <c r="FS124" i="5"/>
  <c r="FS140" i="5"/>
  <c r="FS85" i="5"/>
  <c r="FS62" i="5"/>
  <c r="FS156" i="5"/>
  <c r="FS83" i="5"/>
  <c r="FS109" i="5"/>
  <c r="FS170" i="5"/>
  <c r="FS54" i="5"/>
  <c r="FS134" i="5"/>
  <c r="FS87" i="5"/>
  <c r="FS57" i="5"/>
  <c r="FS15" i="5"/>
  <c r="FS19" i="5"/>
  <c r="FS40" i="5"/>
  <c r="FS39" i="5"/>
  <c r="FS37" i="5"/>
  <c r="FS126" i="5"/>
  <c r="FS12" i="5"/>
  <c r="FS154" i="5"/>
  <c r="S13" i="5"/>
  <c r="FR13" i="5"/>
  <c r="HF13" i="5"/>
  <c r="HG13" i="5"/>
  <c r="S146" i="5"/>
  <c r="HF146" i="5"/>
  <c r="FQ146" i="5"/>
  <c r="HG19" i="5"/>
  <c r="FQ19" i="5"/>
  <c r="HF19" i="5"/>
  <c r="S19" i="5"/>
  <c r="GH10" i="5"/>
  <c r="GH47" i="5"/>
  <c r="GH159" i="5"/>
  <c r="GH112" i="5"/>
  <c r="GH80" i="5"/>
  <c r="GH43" i="5"/>
  <c r="GH119" i="5"/>
  <c r="GH172" i="5"/>
  <c r="GH115" i="5"/>
  <c r="GH101" i="5"/>
  <c r="GH46" i="5"/>
  <c r="GH132" i="5"/>
  <c r="GH116" i="5"/>
  <c r="GH75" i="5"/>
  <c r="GH50" i="5"/>
  <c r="GH145" i="5"/>
  <c r="GH68" i="5"/>
  <c r="GH49" i="5"/>
  <c r="GH40" i="5"/>
  <c r="GH157" i="5"/>
  <c r="GH34" i="5"/>
  <c r="GH127" i="5"/>
  <c r="GH13" i="5"/>
  <c r="GH121" i="5"/>
  <c r="GH166" i="5"/>
  <c r="GH168" i="5"/>
  <c r="GH153" i="5"/>
  <c r="GH102" i="5"/>
  <c r="GH129" i="5"/>
  <c r="GH32" i="5"/>
  <c r="GH131" i="5"/>
  <c r="GH136" i="5"/>
  <c r="GH139" i="5"/>
  <c r="GH146" i="5"/>
  <c r="GH144" i="5"/>
  <c r="GH77" i="5"/>
  <c r="GH128" i="5"/>
  <c r="GH83" i="5"/>
  <c r="GH91" i="5"/>
  <c r="GH158" i="5"/>
  <c r="GH78" i="5"/>
  <c r="GH110" i="5"/>
  <c r="GH154" i="5"/>
  <c r="GH114" i="5"/>
  <c r="GH30" i="5"/>
  <c r="GH170" i="5"/>
  <c r="GH69" i="5"/>
  <c r="GH74" i="5"/>
  <c r="GH148" i="5"/>
  <c r="GH160" i="5"/>
  <c r="GH111" i="5"/>
  <c r="GH79" i="5"/>
  <c r="GH122" i="5"/>
  <c r="GH163" i="5"/>
  <c r="GH53" i="5"/>
  <c r="GH120" i="5"/>
  <c r="GH52" i="5"/>
  <c r="GH33" i="5"/>
  <c r="GH165" i="5"/>
  <c r="GH117" i="5"/>
  <c r="GH162" i="5"/>
  <c r="GH126" i="5"/>
  <c r="GH113" i="5"/>
  <c r="GH130" i="5"/>
  <c r="GH26" i="5"/>
  <c r="GH134" i="5"/>
  <c r="GH66" i="5"/>
  <c r="GH167" i="5"/>
  <c r="GH59" i="5"/>
  <c r="GH89" i="5"/>
  <c r="GH90" i="5"/>
  <c r="GH106" i="5"/>
  <c r="GH61" i="5"/>
  <c r="GH173" i="5"/>
  <c r="GH24" i="5"/>
  <c r="GH151" i="5"/>
  <c r="GH147" i="5"/>
  <c r="GH44" i="5"/>
  <c r="GH108" i="5"/>
  <c r="GH67" i="5"/>
  <c r="GH73" i="5"/>
  <c r="GH17" i="5"/>
  <c r="GH28" i="5"/>
  <c r="GH100" i="5"/>
  <c r="GH15" i="5"/>
  <c r="GH104" i="5"/>
  <c r="GH109" i="5"/>
  <c r="GH31" i="5"/>
  <c r="GH169" i="5"/>
  <c r="GH85" i="5"/>
  <c r="GH29" i="5"/>
  <c r="GH54" i="5"/>
  <c r="GH125" i="5"/>
  <c r="GH25" i="5"/>
  <c r="GH149" i="5"/>
  <c r="GH97" i="5"/>
  <c r="GH71" i="5"/>
  <c r="GH155" i="5"/>
  <c r="GH48" i="5"/>
  <c r="GH140" i="5"/>
  <c r="GH16" i="5"/>
  <c r="GH11" i="5"/>
  <c r="GH135" i="5"/>
  <c r="GH57" i="5"/>
  <c r="GH152" i="5"/>
  <c r="GH18" i="5"/>
  <c r="GH81" i="5"/>
  <c r="GH123" i="5"/>
  <c r="GH94" i="5"/>
  <c r="GH99" i="5"/>
  <c r="GH84" i="5"/>
  <c r="GH58" i="5"/>
  <c r="GH72" i="5"/>
  <c r="GH141" i="5"/>
  <c r="GH41" i="5"/>
  <c r="GH87" i="5"/>
  <c r="GH42" i="5"/>
  <c r="GH51" i="5"/>
  <c r="GH164" i="5"/>
  <c r="GH105" i="5"/>
  <c r="GH65" i="5"/>
  <c r="GH161" i="5"/>
  <c r="GH96" i="5"/>
  <c r="GH23" i="5"/>
  <c r="GH62" i="5"/>
  <c r="GH88" i="5"/>
  <c r="GH38" i="5"/>
  <c r="GH19" i="5"/>
  <c r="GH107" i="5"/>
  <c r="GH70" i="5"/>
  <c r="GH63" i="5"/>
  <c r="GH103" i="5"/>
  <c r="GH82" i="5"/>
  <c r="GH124" i="5"/>
  <c r="GH45" i="5"/>
  <c r="GH64" i="5"/>
  <c r="GH21" i="5"/>
  <c r="GH156" i="5"/>
  <c r="GH86" i="5"/>
  <c r="GH39" i="5"/>
  <c r="GH98" i="5"/>
  <c r="GH20" i="5"/>
  <c r="GH27" i="5"/>
  <c r="GH22" i="5"/>
  <c r="GH60" i="5"/>
  <c r="GH93" i="5"/>
  <c r="GH56" i="5"/>
  <c r="GH36" i="5"/>
  <c r="GH92" i="5"/>
  <c r="GH142" i="5"/>
  <c r="GH118" i="5"/>
  <c r="GH76" i="5"/>
  <c r="GH14" i="5"/>
  <c r="GH37" i="5"/>
  <c r="GH35" i="5"/>
  <c r="GH150" i="5"/>
  <c r="GH95" i="5"/>
  <c r="GH138" i="5"/>
  <c r="GH137" i="5"/>
  <c r="GH143" i="5"/>
  <c r="GH171" i="5"/>
  <c r="GH55" i="5"/>
  <c r="GH12" i="5"/>
  <c r="GH133" i="5"/>
  <c r="FZ110" i="5"/>
  <c r="FZ22" i="5"/>
  <c r="FZ96" i="5"/>
  <c r="FZ171" i="5"/>
  <c r="FZ166" i="5"/>
  <c r="FZ121" i="5"/>
  <c r="FZ56" i="5"/>
  <c r="FZ67" i="5"/>
  <c r="FZ127" i="5"/>
  <c r="FZ125" i="5"/>
  <c r="FZ51" i="5"/>
  <c r="FZ63" i="5"/>
  <c r="FZ37" i="5"/>
  <c r="FZ152" i="5"/>
  <c r="FZ52" i="5"/>
  <c r="FZ64" i="5"/>
  <c r="FZ146" i="5"/>
  <c r="FZ24" i="5"/>
  <c r="FZ34" i="5"/>
  <c r="FZ74" i="5"/>
  <c r="FZ44" i="5"/>
  <c r="FZ66" i="5"/>
  <c r="FZ50" i="5"/>
  <c r="FZ73" i="5"/>
  <c r="FZ53" i="5"/>
  <c r="FZ32" i="5"/>
  <c r="FZ140" i="5"/>
  <c r="FZ156" i="5"/>
  <c r="FZ80" i="5"/>
  <c r="FZ92" i="5"/>
  <c r="FZ82" i="5"/>
  <c r="FZ158" i="5"/>
  <c r="FZ122" i="5"/>
  <c r="FZ49" i="5"/>
  <c r="FZ160" i="5"/>
  <c r="FZ76" i="5"/>
  <c r="FZ81" i="5"/>
  <c r="FZ93" i="5"/>
  <c r="FZ70" i="5"/>
  <c r="FZ86" i="5"/>
  <c r="FZ164" i="5"/>
  <c r="FZ132" i="5"/>
  <c r="FZ89" i="5"/>
  <c r="FZ36" i="5"/>
  <c r="FZ124" i="5"/>
  <c r="FZ136" i="5"/>
  <c r="FZ100" i="5"/>
  <c r="FZ19" i="5"/>
  <c r="FZ112" i="5"/>
  <c r="FZ13" i="5"/>
  <c r="FZ170" i="5"/>
  <c r="FZ153" i="5"/>
  <c r="FZ101" i="5"/>
  <c r="FZ31" i="5"/>
  <c r="FZ138" i="5"/>
  <c r="FZ60" i="5"/>
  <c r="FZ141" i="5"/>
  <c r="FZ71" i="5"/>
  <c r="FZ116" i="5"/>
  <c r="FZ21" i="5"/>
  <c r="FZ168" i="5"/>
  <c r="FZ155" i="5"/>
  <c r="FZ165" i="5"/>
  <c r="FZ97" i="5"/>
  <c r="FZ85" i="5"/>
  <c r="FZ41" i="5"/>
  <c r="FZ123" i="5"/>
  <c r="FZ42" i="5"/>
  <c r="FZ106" i="5"/>
  <c r="FZ118" i="5"/>
  <c r="FZ143" i="5"/>
  <c r="FZ83" i="5"/>
  <c r="FZ72" i="5"/>
  <c r="FZ139" i="5"/>
  <c r="FZ120" i="5"/>
  <c r="FZ28" i="5"/>
  <c r="FZ95" i="5"/>
  <c r="FZ14" i="5"/>
  <c r="FZ26" i="5"/>
  <c r="FZ61" i="5"/>
  <c r="FZ94" i="5"/>
  <c r="FZ78" i="5"/>
  <c r="FZ147" i="5"/>
  <c r="FZ103" i="5"/>
  <c r="FZ18" i="5"/>
  <c r="FZ40" i="5"/>
  <c r="FZ17" i="5"/>
  <c r="FZ119" i="5"/>
  <c r="FZ108" i="5"/>
  <c r="FZ163" i="5"/>
  <c r="FZ135" i="5"/>
  <c r="FZ111" i="5"/>
  <c r="FZ69" i="5"/>
  <c r="FZ29" i="5"/>
  <c r="FZ130" i="5"/>
  <c r="FZ20" i="5"/>
  <c r="FZ159" i="5"/>
  <c r="FZ35" i="5"/>
  <c r="FZ62" i="5"/>
  <c r="FZ15" i="5"/>
  <c r="FZ105" i="5"/>
  <c r="FZ109" i="5"/>
  <c r="FZ137" i="5"/>
  <c r="FZ107" i="5"/>
  <c r="FZ33" i="5"/>
  <c r="FZ167" i="5"/>
  <c r="FZ113" i="5"/>
  <c r="FZ98" i="5"/>
  <c r="FZ104" i="5"/>
  <c r="FZ39" i="5"/>
  <c r="FZ16" i="5"/>
  <c r="FZ11" i="5"/>
  <c r="FZ173" i="5"/>
  <c r="FZ90" i="5"/>
  <c r="FZ134" i="5"/>
  <c r="FZ148" i="5"/>
  <c r="FZ145" i="5"/>
  <c r="FZ144" i="5"/>
  <c r="FZ87" i="5"/>
  <c r="FZ117" i="5"/>
  <c r="FZ47" i="5"/>
  <c r="FZ114" i="5"/>
  <c r="FZ55" i="5"/>
  <c r="FZ129" i="5"/>
  <c r="FZ45" i="5"/>
  <c r="FZ10" i="5"/>
  <c r="FZ128" i="5"/>
  <c r="FZ59" i="5"/>
  <c r="FZ149" i="5"/>
  <c r="FZ162" i="5"/>
  <c r="FZ126" i="5"/>
  <c r="FZ79" i="5"/>
  <c r="FZ65" i="5"/>
  <c r="FZ131" i="5"/>
  <c r="FZ115" i="5"/>
  <c r="FZ91" i="5"/>
  <c r="FZ23" i="5"/>
  <c r="FZ151" i="5"/>
  <c r="FZ68" i="5"/>
  <c r="FZ169" i="5"/>
  <c r="FZ88" i="5"/>
  <c r="FZ157" i="5"/>
  <c r="FZ57" i="5"/>
  <c r="FZ133" i="5"/>
  <c r="FZ161" i="5"/>
  <c r="FZ84" i="5"/>
  <c r="FZ43" i="5"/>
  <c r="FZ58" i="5"/>
  <c r="FZ54" i="5"/>
  <c r="FZ48" i="5"/>
  <c r="FZ27" i="5"/>
  <c r="FZ77" i="5"/>
  <c r="FZ46" i="5"/>
  <c r="FZ38" i="5"/>
  <c r="FZ102" i="5"/>
  <c r="FZ25" i="5"/>
  <c r="FZ142" i="5"/>
  <c r="FZ30" i="5"/>
  <c r="FZ150" i="5"/>
  <c r="FZ75" i="5"/>
  <c r="FZ154" i="5"/>
  <c r="FZ99" i="5"/>
  <c r="FZ12" i="5"/>
  <c r="FZ172" i="5"/>
  <c r="FR51" i="5"/>
  <c r="FR152" i="5"/>
  <c r="FR120" i="5"/>
  <c r="FR108" i="5"/>
  <c r="FR28" i="5"/>
  <c r="FR66" i="5"/>
  <c r="FR103" i="5"/>
  <c r="FR49" i="5"/>
  <c r="FR117" i="5"/>
  <c r="FR149" i="5"/>
  <c r="FR73" i="5"/>
  <c r="FR168" i="5"/>
  <c r="FR112" i="5"/>
  <c r="FR27" i="5"/>
  <c r="FR155" i="5"/>
  <c r="FR159" i="5"/>
  <c r="FR19" i="5"/>
  <c r="FR128" i="5"/>
  <c r="FR169" i="5"/>
  <c r="FR74" i="5"/>
  <c r="FR89" i="5"/>
  <c r="FR52" i="5"/>
  <c r="FR127" i="5"/>
  <c r="FR59" i="5"/>
  <c r="FR161" i="5"/>
  <c r="FR106" i="5"/>
  <c r="FR47" i="5"/>
  <c r="FR58" i="5"/>
  <c r="FR35" i="5"/>
  <c r="FR153" i="5"/>
  <c r="FR37" i="5"/>
  <c r="FR142" i="5"/>
  <c r="FR116" i="5"/>
  <c r="FR107" i="5"/>
  <c r="FR173" i="5"/>
  <c r="FR138" i="5"/>
  <c r="FR143" i="5"/>
  <c r="FR33" i="5"/>
  <c r="FR79" i="5"/>
  <c r="FR121" i="5"/>
  <c r="FR92" i="5"/>
  <c r="FR14" i="5"/>
  <c r="FR104" i="5"/>
  <c r="FR91" i="5"/>
  <c r="FR65" i="5"/>
  <c r="FR141" i="5"/>
  <c r="FR87" i="5"/>
  <c r="FR82" i="5"/>
  <c r="FR170" i="5"/>
  <c r="FR22" i="5"/>
  <c r="FR69" i="5"/>
  <c r="FR34" i="5"/>
  <c r="FR163" i="5"/>
  <c r="FR156" i="5"/>
  <c r="FR61" i="5"/>
  <c r="FR72" i="5"/>
  <c r="FR115" i="5"/>
  <c r="FR84" i="5"/>
  <c r="FR48" i="5"/>
  <c r="FR160" i="5"/>
  <c r="FR75" i="5"/>
  <c r="FR42" i="5"/>
  <c r="FR102" i="5"/>
  <c r="FR129" i="5"/>
  <c r="FR88" i="5"/>
  <c r="FR172" i="5"/>
  <c r="FR23" i="5"/>
  <c r="FR32" i="5"/>
  <c r="FR167" i="5"/>
  <c r="FR26" i="5"/>
  <c r="FR157" i="5"/>
  <c r="FR164" i="5"/>
  <c r="FR101" i="5"/>
  <c r="FR70" i="5"/>
  <c r="FR133" i="5"/>
  <c r="FR154" i="5"/>
  <c r="FR110" i="5"/>
  <c r="FR147" i="5"/>
  <c r="FR68" i="5"/>
  <c r="FR71" i="5"/>
  <c r="FR31" i="5"/>
  <c r="FR10" i="5"/>
  <c r="FR21" i="5"/>
  <c r="FR45" i="5"/>
  <c r="FR111" i="5"/>
  <c r="FR24" i="5"/>
  <c r="FR18" i="5"/>
  <c r="FR95" i="5"/>
  <c r="FR60" i="5"/>
  <c r="FR136" i="5"/>
  <c r="FR80" i="5"/>
  <c r="FR46" i="5"/>
  <c r="FR145" i="5"/>
  <c r="FR134" i="5"/>
  <c r="FR166" i="5"/>
  <c r="FR97" i="5"/>
  <c r="FR15" i="5"/>
  <c r="FR57" i="5"/>
  <c r="FR158" i="5"/>
  <c r="FR39" i="5"/>
  <c r="FR50" i="5"/>
  <c r="FR118" i="5"/>
  <c r="FR131" i="5"/>
  <c r="FR56" i="5"/>
  <c r="FR109" i="5"/>
  <c r="FR165" i="5"/>
  <c r="FR62" i="5"/>
  <c r="FR144" i="5"/>
  <c r="FR17" i="5"/>
  <c r="FR83" i="5"/>
  <c r="FR78" i="5"/>
  <c r="FR55" i="5"/>
  <c r="FR100" i="5"/>
  <c r="FR123" i="5"/>
  <c r="FR162" i="5"/>
  <c r="FR99" i="5"/>
  <c r="FR67" i="5"/>
  <c r="FR16" i="5"/>
  <c r="FR105" i="5"/>
  <c r="FR132" i="5"/>
  <c r="FR113" i="5"/>
  <c r="FR29" i="5"/>
  <c r="FR25" i="5"/>
  <c r="FR43" i="5"/>
  <c r="FR93" i="5"/>
  <c r="FR126" i="5"/>
  <c r="FR77" i="5"/>
  <c r="FR146" i="5"/>
  <c r="FR94" i="5"/>
  <c r="FR63" i="5"/>
  <c r="FR64" i="5"/>
  <c r="FR85" i="5"/>
  <c r="FR44" i="5"/>
  <c r="FR41" i="5"/>
  <c r="FR150" i="5"/>
  <c r="FR148" i="5"/>
  <c r="FR139" i="5"/>
  <c r="FR38" i="5"/>
  <c r="FR54" i="5"/>
  <c r="FR86" i="5"/>
  <c r="FR140" i="5"/>
  <c r="FR114" i="5"/>
  <c r="FR124" i="5"/>
  <c r="FR130" i="5"/>
  <c r="FR151" i="5"/>
  <c r="FR11" i="5"/>
  <c r="FR30" i="5"/>
  <c r="FR135" i="5"/>
  <c r="FR40" i="5"/>
  <c r="FR122" i="5"/>
  <c r="FR171" i="5"/>
  <c r="FR76" i="5"/>
  <c r="FR119" i="5"/>
  <c r="FR90" i="5"/>
  <c r="FR36" i="5"/>
  <c r="FR125" i="5"/>
  <c r="FR53" i="5"/>
  <c r="FR98" i="5"/>
  <c r="FR96" i="5"/>
  <c r="FR81" i="5"/>
  <c r="FR20" i="5"/>
  <c r="FR12" i="5"/>
  <c r="FR137" i="5"/>
  <c r="S127" i="5"/>
  <c r="FQ127" i="5"/>
  <c r="HF127" i="5"/>
  <c r="HG127" i="5"/>
  <c r="FQ173" i="5"/>
  <c r="HF173" i="5"/>
  <c r="S173" i="5"/>
  <c r="S147" i="5"/>
  <c r="HF147" i="5"/>
  <c r="FQ147" i="5"/>
  <c r="S61" i="5"/>
  <c r="FQ61" i="5"/>
  <c r="HF61" i="5"/>
  <c r="HG61" i="5"/>
  <c r="HG20" i="5"/>
  <c r="HF20" i="5"/>
  <c r="FQ20" i="5"/>
  <c r="HG129" i="5"/>
  <c r="FQ129" i="5"/>
  <c r="HF129" i="5"/>
  <c r="S129" i="5"/>
  <c r="HG59" i="5"/>
  <c r="FQ59" i="5"/>
  <c r="HF59" i="5"/>
  <c r="S59" i="5"/>
  <c r="HG58" i="5"/>
  <c r="FQ58" i="5"/>
  <c r="HF58" i="5"/>
  <c r="S58" i="5"/>
  <c r="HG57" i="5"/>
  <c r="FQ57" i="5"/>
  <c r="HF57" i="5"/>
  <c r="S57" i="5"/>
  <c r="S62" i="5"/>
  <c r="FQ62" i="5"/>
  <c r="HF62" i="5"/>
  <c r="HG62" i="5"/>
  <c r="GG48" i="5"/>
  <c r="GG78" i="5"/>
  <c r="GG95" i="5"/>
  <c r="GG116" i="5"/>
  <c r="GG142" i="5"/>
  <c r="GG117" i="5"/>
  <c r="GG127" i="5"/>
  <c r="GG19" i="5"/>
  <c r="GG122" i="5"/>
  <c r="GG161" i="5"/>
  <c r="GG168" i="5"/>
  <c r="GG43" i="5"/>
  <c r="GG11" i="5"/>
  <c r="GG20" i="5"/>
  <c r="GG106" i="5"/>
  <c r="GG159" i="5"/>
  <c r="GG152" i="5"/>
  <c r="GG140" i="5"/>
  <c r="GG50" i="5"/>
  <c r="GG57" i="5"/>
  <c r="GG141" i="5"/>
  <c r="GG114" i="5"/>
  <c r="GG38" i="5"/>
  <c r="GG101" i="5"/>
  <c r="GG44" i="5"/>
  <c r="GG158" i="5"/>
  <c r="GG110" i="5"/>
  <c r="GG51" i="5"/>
  <c r="GG138" i="5"/>
  <c r="GG32" i="5"/>
  <c r="GG86" i="5"/>
  <c r="GG157" i="5"/>
  <c r="GG90" i="5"/>
  <c r="GG55" i="5"/>
  <c r="GG92" i="5"/>
  <c r="GG96" i="5"/>
  <c r="GG46" i="5"/>
  <c r="GG108" i="5"/>
  <c r="GG63" i="5"/>
  <c r="GG172" i="5"/>
  <c r="GG68" i="5"/>
  <c r="GG104" i="5"/>
  <c r="GG131" i="5"/>
  <c r="GG97" i="5"/>
  <c r="GG33" i="5"/>
  <c r="GG147" i="5"/>
  <c r="GG167" i="5"/>
  <c r="GG153" i="5"/>
  <c r="GG29" i="5"/>
  <c r="GG61" i="5"/>
  <c r="GG80" i="5"/>
  <c r="GG70" i="5"/>
  <c r="GG89" i="5"/>
  <c r="GG164" i="5"/>
  <c r="GG109" i="5"/>
  <c r="GG34" i="5"/>
  <c r="GG155" i="5"/>
  <c r="GG144" i="5"/>
  <c r="GG85" i="5"/>
  <c r="GG124" i="5"/>
  <c r="GG165" i="5"/>
  <c r="GG128" i="5"/>
  <c r="GG39" i="5"/>
  <c r="GG133" i="5"/>
  <c r="GG107" i="5"/>
  <c r="GG67" i="5"/>
  <c r="GG173" i="5"/>
  <c r="GG88" i="5"/>
  <c r="GG18" i="5"/>
  <c r="GG84" i="5"/>
  <c r="GG150" i="5"/>
  <c r="GG74" i="5"/>
  <c r="GG17" i="5"/>
  <c r="GG126" i="5"/>
  <c r="GG87" i="5"/>
  <c r="GG170" i="5"/>
  <c r="GG83" i="5"/>
  <c r="GG146" i="5"/>
  <c r="GG23" i="5"/>
  <c r="GG35" i="5"/>
  <c r="GG21" i="5"/>
  <c r="GG145" i="5"/>
  <c r="GG79" i="5"/>
  <c r="GG111" i="5"/>
  <c r="GG49" i="5"/>
  <c r="GG54" i="5"/>
  <c r="GG102" i="5"/>
  <c r="GG31" i="5"/>
  <c r="GG121" i="5"/>
  <c r="GG15" i="5"/>
  <c r="GG151" i="5"/>
  <c r="GG37" i="5"/>
  <c r="GG62" i="5"/>
  <c r="GG59" i="5"/>
  <c r="GG149" i="5"/>
  <c r="GG115" i="5"/>
  <c r="GG69" i="5"/>
  <c r="GG134" i="5"/>
  <c r="GG119" i="5"/>
  <c r="GG16" i="5"/>
  <c r="GG47" i="5"/>
  <c r="GG98" i="5"/>
  <c r="GG24" i="5"/>
  <c r="GG60" i="5"/>
  <c r="GG30" i="5"/>
  <c r="GG28" i="5"/>
  <c r="GG22" i="5"/>
  <c r="GG77" i="5"/>
  <c r="GG64" i="5"/>
  <c r="GG125" i="5"/>
  <c r="GG45" i="5"/>
  <c r="GG13" i="5"/>
  <c r="GG163" i="5"/>
  <c r="GG72" i="5"/>
  <c r="GG76" i="5"/>
  <c r="GG81" i="5"/>
  <c r="GG129" i="5"/>
  <c r="GG40" i="5"/>
  <c r="GG112" i="5"/>
  <c r="GG42" i="5"/>
  <c r="GG137" i="5"/>
  <c r="GG71" i="5"/>
  <c r="GG91" i="5"/>
  <c r="GG66" i="5"/>
  <c r="GG73" i="5"/>
  <c r="GG143" i="5"/>
  <c r="GG130" i="5"/>
  <c r="GG160" i="5"/>
  <c r="GG139" i="5"/>
  <c r="GG154" i="5"/>
  <c r="GG65" i="5"/>
  <c r="GG103" i="5"/>
  <c r="GG162" i="5"/>
  <c r="GG82" i="5"/>
  <c r="GG36" i="5"/>
  <c r="GG75" i="5"/>
  <c r="GG41" i="5"/>
  <c r="GG25" i="5"/>
  <c r="GG113" i="5"/>
  <c r="GG171" i="5"/>
  <c r="GG100" i="5"/>
  <c r="GG26" i="5"/>
  <c r="GG105" i="5"/>
  <c r="GG99" i="5"/>
  <c r="GG120" i="5"/>
  <c r="GG136" i="5"/>
  <c r="GG94" i="5"/>
  <c r="GG27" i="5"/>
  <c r="GG14" i="5"/>
  <c r="GG93" i="5"/>
  <c r="GG118" i="5"/>
  <c r="GG135" i="5"/>
  <c r="GG132" i="5"/>
  <c r="GG148" i="5"/>
  <c r="GG52" i="5"/>
  <c r="GG123" i="5"/>
  <c r="GG58" i="5"/>
  <c r="GG166" i="5"/>
  <c r="GG53" i="5"/>
  <c r="GG169" i="5"/>
  <c r="GG10" i="5"/>
  <c r="GG56" i="5"/>
  <c r="GG12" i="5"/>
  <c r="GG156" i="5"/>
  <c r="HG15" i="5"/>
  <c r="FQ15" i="5"/>
  <c r="HF15" i="5"/>
  <c r="S15" i="5"/>
  <c r="GC72" i="5"/>
  <c r="GC19" i="5"/>
  <c r="GC154" i="5"/>
  <c r="GC160" i="5"/>
  <c r="GC152" i="5"/>
  <c r="GC24" i="5"/>
  <c r="GC104" i="5"/>
  <c r="GC110" i="5"/>
  <c r="GC94" i="5"/>
  <c r="GC135" i="5"/>
  <c r="GC88" i="5"/>
  <c r="GC120" i="5"/>
  <c r="GC33" i="5"/>
  <c r="GC16" i="5"/>
  <c r="GC163" i="5"/>
  <c r="GC115" i="5"/>
  <c r="GC65" i="5"/>
  <c r="GC14" i="5"/>
  <c r="GC145" i="5"/>
  <c r="GC41" i="5"/>
  <c r="GC77" i="5"/>
  <c r="GC48" i="5"/>
  <c r="GC126" i="5"/>
  <c r="GC129" i="5"/>
  <c r="GC50" i="5"/>
  <c r="GC103" i="5"/>
  <c r="GC116" i="5"/>
  <c r="GC141" i="5"/>
  <c r="GC132" i="5"/>
  <c r="GC124" i="5"/>
  <c r="GC85" i="5"/>
  <c r="GC122" i="5"/>
  <c r="GC96" i="5"/>
  <c r="GC142" i="5"/>
  <c r="GC63" i="5"/>
  <c r="GC156" i="5"/>
  <c r="GC56" i="5"/>
  <c r="GC112" i="5"/>
  <c r="GC127" i="5"/>
  <c r="GC92" i="5"/>
  <c r="GC31" i="5"/>
  <c r="GC99" i="5"/>
  <c r="GC30" i="5"/>
  <c r="GC86" i="5"/>
  <c r="GC69" i="5"/>
  <c r="GC117" i="5"/>
  <c r="GC162" i="5"/>
  <c r="GC95" i="5"/>
  <c r="GC125" i="5"/>
  <c r="GC109" i="5"/>
  <c r="GC45" i="5"/>
  <c r="GC137" i="5"/>
  <c r="GC108" i="5"/>
  <c r="GC90" i="5"/>
  <c r="GC15" i="5"/>
  <c r="GC52" i="5"/>
  <c r="GC123" i="5"/>
  <c r="GC76" i="5"/>
  <c r="GC140" i="5"/>
  <c r="GC74" i="5"/>
  <c r="GC107" i="5"/>
  <c r="GC21" i="5"/>
  <c r="GC42" i="5"/>
  <c r="GC91" i="5"/>
  <c r="GC147" i="5"/>
  <c r="GC119" i="5"/>
  <c r="GC38" i="5"/>
  <c r="GC71" i="5"/>
  <c r="GC62" i="5"/>
  <c r="GC59" i="5"/>
  <c r="GC49" i="5"/>
  <c r="GC159" i="5"/>
  <c r="GC25" i="5"/>
  <c r="GC136" i="5"/>
  <c r="GC23" i="5"/>
  <c r="GC40" i="5"/>
  <c r="GC114" i="5"/>
  <c r="GC70" i="5"/>
  <c r="GC89" i="5"/>
  <c r="GC172" i="5"/>
  <c r="GC35" i="5"/>
  <c r="GC118" i="5"/>
  <c r="GC64" i="5"/>
  <c r="GC130" i="5"/>
  <c r="GC37" i="5"/>
  <c r="GC133" i="5"/>
  <c r="GC111" i="5"/>
  <c r="GC82" i="5"/>
  <c r="GC106" i="5"/>
  <c r="GC79" i="5"/>
  <c r="GC131" i="5"/>
  <c r="GC13" i="5"/>
  <c r="GC81" i="5"/>
  <c r="GC61" i="5"/>
  <c r="GC144" i="5"/>
  <c r="GC113" i="5"/>
  <c r="GC17" i="5"/>
  <c r="GC26" i="5"/>
  <c r="GC149" i="5"/>
  <c r="GC102" i="5"/>
  <c r="GC57" i="5"/>
  <c r="GC167" i="5"/>
  <c r="GC73" i="5"/>
  <c r="GC151" i="5"/>
  <c r="GC87" i="5"/>
  <c r="GC36" i="5"/>
  <c r="GC105" i="5"/>
  <c r="GC128" i="5"/>
  <c r="GC155" i="5"/>
  <c r="GC43" i="5"/>
  <c r="GC101" i="5"/>
  <c r="GC93" i="5"/>
  <c r="GC138" i="5"/>
  <c r="GC134" i="5"/>
  <c r="GC84" i="5"/>
  <c r="GC98" i="5"/>
  <c r="GC173" i="5"/>
  <c r="GC161" i="5"/>
  <c r="GC171" i="5"/>
  <c r="GC83" i="5"/>
  <c r="GC22" i="5"/>
  <c r="GC143" i="5"/>
  <c r="GC18" i="5"/>
  <c r="GC60" i="5"/>
  <c r="GC29" i="5"/>
  <c r="GC148" i="5"/>
  <c r="GC164" i="5"/>
  <c r="GC75" i="5"/>
  <c r="GC67" i="5"/>
  <c r="GC27" i="5"/>
  <c r="GC165" i="5"/>
  <c r="GC157" i="5"/>
  <c r="GC51" i="5"/>
  <c r="GC54" i="5"/>
  <c r="GC28" i="5"/>
  <c r="GC139" i="5"/>
  <c r="GC20" i="5"/>
  <c r="GC68" i="5"/>
  <c r="GC55" i="5"/>
  <c r="GC11" i="5"/>
  <c r="GC169" i="5"/>
  <c r="GC121" i="5"/>
  <c r="GC170" i="5"/>
  <c r="GC158" i="5"/>
  <c r="GC97" i="5"/>
  <c r="GC166" i="5"/>
  <c r="GC34" i="5"/>
  <c r="GC32" i="5"/>
  <c r="GC168" i="5"/>
  <c r="GC58" i="5"/>
  <c r="GC53" i="5"/>
  <c r="GC39" i="5"/>
  <c r="GC66" i="5"/>
  <c r="GC47" i="5"/>
  <c r="GC78" i="5"/>
  <c r="GC44" i="5"/>
  <c r="GC153" i="5"/>
  <c r="GC146" i="5"/>
  <c r="GC100" i="5"/>
  <c r="GC80" i="5"/>
  <c r="GC10" i="5"/>
  <c r="GC46" i="5"/>
  <c r="GC12" i="5"/>
  <c r="GC150" i="5"/>
  <c r="FY112" i="5"/>
  <c r="FY166" i="5"/>
  <c r="FY121" i="5"/>
  <c r="FY170" i="5"/>
  <c r="FY138" i="5"/>
  <c r="FY163" i="5"/>
  <c r="FY32" i="5"/>
  <c r="FY148" i="5"/>
  <c r="FY115" i="5"/>
  <c r="FY52" i="5"/>
  <c r="FY75" i="5"/>
  <c r="FY17" i="5"/>
  <c r="FY37" i="5"/>
  <c r="FY26" i="5"/>
  <c r="FY168" i="5"/>
  <c r="FY131" i="5"/>
  <c r="FY88" i="5"/>
  <c r="FY41" i="5"/>
  <c r="FY164" i="5"/>
  <c r="FY173" i="5"/>
  <c r="FY97" i="5"/>
  <c r="FY22" i="5"/>
  <c r="FY103" i="5"/>
  <c r="FY141" i="5"/>
  <c r="FY162" i="5"/>
  <c r="FY101" i="5"/>
  <c r="FY119" i="5"/>
  <c r="FY120" i="5"/>
  <c r="FY154" i="5"/>
  <c r="FY99" i="5"/>
  <c r="FY72" i="5"/>
  <c r="FY109" i="5"/>
  <c r="FY125" i="5"/>
  <c r="FY33" i="5"/>
  <c r="FY60" i="5"/>
  <c r="FY59" i="5"/>
  <c r="FY110" i="5"/>
  <c r="FY31" i="5"/>
  <c r="FY28" i="5"/>
  <c r="FY47" i="5"/>
  <c r="FY42" i="5"/>
  <c r="FY123" i="5"/>
  <c r="FY91" i="5"/>
  <c r="FY86" i="5"/>
  <c r="FY157" i="5"/>
  <c r="FY89" i="5"/>
  <c r="FY45" i="5"/>
  <c r="FY159" i="5"/>
  <c r="FY18" i="5"/>
  <c r="FY11" i="5"/>
  <c r="FY68" i="5"/>
  <c r="FY79" i="5"/>
  <c r="FY165" i="5"/>
  <c r="FY167" i="5"/>
  <c r="FY113" i="5"/>
  <c r="FY73" i="5"/>
  <c r="FY63" i="5"/>
  <c r="FY87" i="5"/>
  <c r="FY129" i="5"/>
  <c r="FY137" i="5"/>
  <c r="FY106" i="5"/>
  <c r="FY94" i="5"/>
  <c r="FY21" i="5"/>
  <c r="FY151" i="5"/>
  <c r="FY34" i="5"/>
  <c r="FY84" i="5"/>
  <c r="FY124" i="5"/>
  <c r="FY20" i="5"/>
  <c r="FY15" i="5"/>
  <c r="FY54" i="5"/>
  <c r="FY130" i="5"/>
  <c r="FY35" i="5"/>
  <c r="FY152" i="5"/>
  <c r="FY105" i="5"/>
  <c r="FY102" i="5"/>
  <c r="FY145" i="5"/>
  <c r="FY40" i="5"/>
  <c r="FY161" i="5"/>
  <c r="FY65" i="5"/>
  <c r="FY95" i="5"/>
  <c r="FY27" i="5"/>
  <c r="FY133" i="5"/>
  <c r="FY39" i="5"/>
  <c r="FY50" i="5"/>
  <c r="FY66" i="5"/>
  <c r="FY24" i="5"/>
  <c r="FY57" i="5"/>
  <c r="FY169" i="5"/>
  <c r="FY93" i="5"/>
  <c r="FY85" i="5"/>
  <c r="FY107" i="5"/>
  <c r="FY56" i="5"/>
  <c r="FY98" i="5"/>
  <c r="FY38" i="5"/>
  <c r="FY117" i="5"/>
  <c r="FY29" i="5"/>
  <c r="FY140" i="5"/>
  <c r="FY46" i="5"/>
  <c r="FY69" i="5"/>
  <c r="FY61" i="5"/>
  <c r="FY25" i="5"/>
  <c r="FY146" i="5"/>
  <c r="FY10" i="5"/>
  <c r="FY49" i="5"/>
  <c r="FY92" i="5"/>
  <c r="FY90" i="5"/>
  <c r="FY108" i="5"/>
  <c r="FY155" i="5"/>
  <c r="FY158" i="5"/>
  <c r="FY153" i="5"/>
  <c r="FY81" i="5"/>
  <c r="FY48" i="5"/>
  <c r="FY160" i="5"/>
  <c r="FY76" i="5"/>
  <c r="FY171" i="5"/>
  <c r="FY116" i="5"/>
  <c r="FY142" i="5"/>
  <c r="FY122" i="5"/>
  <c r="FY132" i="5"/>
  <c r="FY126" i="5"/>
  <c r="FY58" i="5"/>
  <c r="FY144" i="5"/>
  <c r="FY127" i="5"/>
  <c r="FY118" i="5"/>
  <c r="FY77" i="5"/>
  <c r="FY149" i="5"/>
  <c r="FY147" i="5"/>
  <c r="FY150" i="5"/>
  <c r="FY134" i="5"/>
  <c r="FY74" i="5"/>
  <c r="FY172" i="5"/>
  <c r="FY70" i="5"/>
  <c r="FY67" i="5"/>
  <c r="FY51" i="5"/>
  <c r="FY78" i="5"/>
  <c r="FY111" i="5"/>
  <c r="FY62" i="5"/>
  <c r="FY14" i="5"/>
  <c r="FY13" i="5"/>
  <c r="FY43" i="5"/>
  <c r="FY136" i="5"/>
  <c r="FY71" i="5"/>
  <c r="FY82" i="5"/>
  <c r="FY53" i="5"/>
  <c r="FY64" i="5"/>
  <c r="FY139" i="5"/>
  <c r="FY19" i="5"/>
  <c r="FY104" i="5"/>
  <c r="FY16" i="5"/>
  <c r="FY36" i="5"/>
  <c r="FY128" i="5"/>
  <c r="FY23" i="5"/>
  <c r="FY143" i="5"/>
  <c r="FY83" i="5"/>
  <c r="FY114" i="5"/>
  <c r="FY44" i="5"/>
  <c r="FY156" i="5"/>
  <c r="FY100" i="5"/>
  <c r="FY80" i="5"/>
  <c r="FY55" i="5"/>
  <c r="FY96" i="5"/>
  <c r="FY30" i="5"/>
  <c r="FY12" i="5"/>
  <c r="FY135" i="5"/>
  <c r="GL131" i="5"/>
  <c r="GL136" i="5"/>
  <c r="GL117" i="5"/>
  <c r="GL92" i="5"/>
  <c r="GL80" i="5"/>
  <c r="GL95" i="5"/>
  <c r="GL153" i="5"/>
  <c r="GL74" i="5"/>
  <c r="GL128" i="5"/>
  <c r="GL43" i="5"/>
  <c r="GL29" i="5"/>
  <c r="GL96" i="5"/>
  <c r="GL20" i="5"/>
  <c r="GL81" i="5"/>
  <c r="GL69" i="5"/>
  <c r="GL24" i="5"/>
  <c r="GL146" i="5"/>
  <c r="GL10" i="5"/>
  <c r="GL104" i="5"/>
  <c r="GL154" i="5"/>
  <c r="GL79" i="5"/>
  <c r="GL37" i="5"/>
  <c r="GL150" i="5"/>
  <c r="GL118" i="5"/>
  <c r="GL62" i="5"/>
  <c r="GL141" i="5"/>
  <c r="GL130" i="5"/>
  <c r="GL70" i="5"/>
  <c r="GL126" i="5"/>
  <c r="GL36" i="5"/>
  <c r="GL157" i="5"/>
  <c r="GL88" i="5"/>
  <c r="GL14" i="5"/>
  <c r="GL67" i="5"/>
  <c r="GL116" i="5"/>
  <c r="GL91" i="5"/>
  <c r="GL137" i="5"/>
  <c r="GL162" i="5"/>
  <c r="GL171" i="5"/>
  <c r="GL51" i="5"/>
  <c r="GL97" i="5"/>
  <c r="GL26" i="5"/>
  <c r="GL68" i="5"/>
  <c r="GL66" i="5"/>
  <c r="GL173" i="5"/>
  <c r="GL138" i="5"/>
  <c r="GL41" i="5"/>
  <c r="GL94" i="5"/>
  <c r="GL22" i="5"/>
  <c r="GL98" i="5"/>
  <c r="GL84" i="5"/>
  <c r="GL169" i="5"/>
  <c r="GL122" i="5"/>
  <c r="GL145" i="5"/>
  <c r="GL134" i="5"/>
  <c r="GL149" i="5"/>
  <c r="GL61" i="5"/>
  <c r="GL21" i="5"/>
  <c r="GL109" i="5"/>
  <c r="GL15" i="5"/>
  <c r="GL165" i="5"/>
  <c r="GL16" i="5"/>
  <c r="GL113" i="5"/>
  <c r="GL142" i="5"/>
  <c r="GL85" i="5"/>
  <c r="GL54" i="5"/>
  <c r="GL76" i="5"/>
  <c r="GL42" i="5"/>
  <c r="GL75" i="5"/>
  <c r="GL166" i="5"/>
  <c r="GL49" i="5"/>
  <c r="GL13" i="5"/>
  <c r="GL103" i="5"/>
  <c r="GL32" i="5"/>
  <c r="GL102" i="5"/>
  <c r="GL83" i="5"/>
  <c r="GL121" i="5"/>
  <c r="GL28" i="5"/>
  <c r="GL160" i="5"/>
  <c r="GL161" i="5"/>
  <c r="GL163" i="5"/>
  <c r="GL34" i="5"/>
  <c r="GL170" i="5"/>
  <c r="GL139" i="5"/>
  <c r="GL101" i="5"/>
  <c r="GL120" i="5"/>
  <c r="GL147" i="5"/>
  <c r="GL46" i="5"/>
  <c r="GL52" i="5"/>
  <c r="GL135" i="5"/>
  <c r="GL56" i="5"/>
  <c r="GL25" i="5"/>
  <c r="GL77" i="5"/>
  <c r="GL72" i="5"/>
  <c r="GL60" i="5"/>
  <c r="GL110" i="5"/>
  <c r="GL86" i="5"/>
  <c r="GL152" i="5"/>
  <c r="GL158" i="5"/>
  <c r="GL111" i="5"/>
  <c r="GL151" i="5"/>
  <c r="GL89" i="5"/>
  <c r="GL17" i="5"/>
  <c r="GL55" i="5"/>
  <c r="GL82" i="5"/>
  <c r="GL164" i="5"/>
  <c r="GL159" i="5"/>
  <c r="GL40" i="5"/>
  <c r="GL78" i="5"/>
  <c r="GL114" i="5"/>
  <c r="GL107" i="5"/>
  <c r="GL45" i="5"/>
  <c r="GL100" i="5"/>
  <c r="GL64" i="5"/>
  <c r="GL33" i="5"/>
  <c r="GL27" i="5"/>
  <c r="GL57" i="5"/>
  <c r="GL129" i="5"/>
  <c r="GL87" i="5"/>
  <c r="GL44" i="5"/>
  <c r="GL59" i="5"/>
  <c r="GL140" i="5"/>
  <c r="GL31" i="5"/>
  <c r="GL106" i="5"/>
  <c r="GL65" i="5"/>
  <c r="GL47" i="5"/>
  <c r="GL39" i="5"/>
  <c r="GL123" i="5"/>
  <c r="GL71" i="5"/>
  <c r="GL148" i="5"/>
  <c r="GL108" i="5"/>
  <c r="GL105" i="5"/>
  <c r="GL48" i="5"/>
  <c r="GL115" i="5"/>
  <c r="GL38" i="5"/>
  <c r="GL144" i="5"/>
  <c r="GL119" i="5"/>
  <c r="GL156" i="5"/>
  <c r="GL124" i="5"/>
  <c r="GL50" i="5"/>
  <c r="GL19" i="5"/>
  <c r="GL127" i="5"/>
  <c r="GL155" i="5"/>
  <c r="GL18" i="5"/>
  <c r="GL90" i="5"/>
  <c r="GL11" i="5"/>
  <c r="GL168" i="5"/>
  <c r="GL53" i="5"/>
  <c r="GL63" i="5"/>
  <c r="GL125" i="5"/>
  <c r="GL35" i="5"/>
  <c r="GL167" i="5"/>
  <c r="GL23" i="5"/>
  <c r="GL73" i="5"/>
  <c r="GL93" i="5"/>
  <c r="GL99" i="5"/>
  <c r="GL143" i="5"/>
  <c r="GL172" i="5"/>
  <c r="GL112" i="5"/>
  <c r="GL58" i="5"/>
  <c r="GL133" i="5"/>
  <c r="GL132" i="5"/>
  <c r="GL12" i="5"/>
  <c r="GL30" i="5"/>
  <c r="S45" i="5"/>
  <c r="FQ45" i="5"/>
  <c r="HF45" i="5"/>
  <c r="HG45" i="5"/>
  <c r="S120" i="5"/>
  <c r="FQ120" i="5"/>
  <c r="HF120" i="5"/>
  <c r="HG120" i="5"/>
  <c r="S14" i="5"/>
  <c r="FQ14" i="5"/>
  <c r="HF14" i="5"/>
  <c r="HG14" i="5"/>
  <c r="HG64" i="5"/>
  <c r="HF64" i="5"/>
  <c r="FQ64" i="5"/>
  <c r="S134" i="5"/>
  <c r="HF134" i="5"/>
  <c r="FQ134" i="5"/>
  <c r="S153" i="5"/>
  <c r="HF153" i="5"/>
  <c r="FQ153" i="5"/>
  <c r="HF8" i="5"/>
  <c r="HF180" i="5"/>
  <c r="FQ82" i="5"/>
  <c r="FQ156" i="5"/>
  <c r="FQ112" i="5"/>
  <c r="FQ70" i="5"/>
  <c r="FQ25" i="5"/>
  <c r="FQ51" i="5"/>
  <c r="FQ90" i="5"/>
  <c r="FQ31" i="5"/>
  <c r="FQ53" i="5"/>
  <c r="FQ115" i="5"/>
  <c r="FQ149" i="5"/>
  <c r="FQ132" i="5"/>
  <c r="FQ95" i="5"/>
  <c r="FQ41" i="5"/>
  <c r="FQ27" i="5"/>
  <c r="FQ165" i="5"/>
  <c r="FQ140" i="5"/>
  <c r="FQ26" i="5"/>
  <c r="FQ172" i="5"/>
  <c r="FQ157" i="5"/>
  <c r="FQ68" i="5"/>
  <c r="FQ137" i="5"/>
  <c r="FQ75" i="5"/>
  <c r="FQ133" i="5"/>
  <c r="FQ77" i="5"/>
  <c r="FQ74" i="5"/>
  <c r="FQ159" i="5"/>
  <c r="FQ32" i="5"/>
  <c r="FQ109" i="5"/>
  <c r="FQ138" i="5"/>
  <c r="FQ107" i="5"/>
  <c r="FQ108" i="5"/>
  <c r="FQ161" i="5"/>
  <c r="FQ110" i="5"/>
  <c r="FQ116" i="5"/>
  <c r="FQ92" i="5"/>
  <c r="FQ164" i="5"/>
  <c r="FQ160" i="5"/>
  <c r="FQ131" i="5"/>
  <c r="FQ56" i="5"/>
  <c r="FQ126" i="5"/>
  <c r="FQ171" i="5"/>
  <c r="FQ54" i="5"/>
  <c r="FQ99" i="5"/>
  <c r="FQ152" i="5"/>
  <c r="FQ23" i="5"/>
  <c r="FQ93" i="5"/>
  <c r="FQ111" i="5"/>
  <c r="FQ130" i="5"/>
  <c r="FQ24" i="5"/>
  <c r="FQ113" i="5"/>
  <c r="FQ71" i="5"/>
  <c r="FQ76" i="5"/>
  <c r="FQ142" i="5"/>
  <c r="FQ85" i="5"/>
  <c r="FQ55" i="5"/>
  <c r="FQ36" i="5"/>
  <c r="FQ78" i="5"/>
  <c r="FQ121" i="5"/>
  <c r="FQ72" i="5"/>
  <c r="FQ94" i="5"/>
  <c r="FQ65" i="5"/>
  <c r="FQ29" i="5"/>
  <c r="FQ106" i="5"/>
  <c r="FQ143" i="5"/>
  <c r="FQ91" i="5"/>
  <c r="FQ139" i="5"/>
  <c r="FQ158" i="5"/>
  <c r="FQ98" i="5"/>
  <c r="FQ155" i="5"/>
  <c r="FQ169" i="5"/>
  <c r="FQ150" i="5"/>
  <c r="FQ170" i="5"/>
  <c r="FQ81" i="5"/>
  <c r="FQ167" i="5"/>
  <c r="FQ39" i="5"/>
  <c r="FQ141" i="5"/>
  <c r="FQ136" i="5"/>
  <c r="FQ148" i="5"/>
  <c r="FQ52" i="5"/>
  <c r="FQ145" i="5"/>
  <c r="FQ28" i="5"/>
  <c r="FQ162" i="5"/>
  <c r="FQ47" i="5"/>
  <c r="FQ163" i="5"/>
  <c r="FQ166" i="5"/>
  <c r="FQ100" i="5"/>
  <c r="FQ97" i="5"/>
  <c r="FQ17" i="5"/>
  <c r="FQ80" i="5"/>
  <c r="FQ48" i="5"/>
  <c r="FQ79" i="5"/>
  <c r="FQ86" i="5"/>
  <c r="FQ104" i="5"/>
  <c r="FQ34" i="5"/>
  <c r="FQ105" i="5"/>
  <c r="FQ135" i="5"/>
  <c r="FQ42" i="5"/>
  <c r="FQ35" i="5"/>
  <c r="FQ50" i="5"/>
  <c r="FQ168" i="5"/>
  <c r="FQ101" i="5"/>
  <c r="FQ96" i="5"/>
  <c r="FQ128" i="5"/>
  <c r="FQ102" i="5"/>
  <c r="FQ123" i="5"/>
  <c r="FQ22" i="5"/>
  <c r="FQ125" i="5"/>
  <c r="FQ83" i="5"/>
  <c r="FQ144" i="5"/>
  <c r="FQ46" i="5"/>
  <c r="FQ118" i="5"/>
  <c r="FQ33" i="5"/>
  <c r="FQ43" i="5"/>
  <c r="FQ124" i="5"/>
  <c r="FQ122" i="5"/>
  <c r="FQ84" i="5"/>
  <c r="FQ30" i="5"/>
  <c r="FQ37" i="5"/>
  <c r="FQ38" i="5"/>
  <c r="FQ44" i="5"/>
  <c r="FQ49" i="5"/>
  <c r="FQ114" i="5"/>
  <c r="FQ89" i="5"/>
  <c r="FQ154" i="5"/>
  <c r="FQ87" i="5"/>
  <c r="FQ88" i="5"/>
  <c r="FQ69" i="5"/>
  <c r="FQ73" i="5"/>
  <c r="FQ103" i="5"/>
  <c r="FQ151" i="5"/>
  <c r="FQ21" i="5"/>
  <c r="FQ18" i="5"/>
  <c r="FQ40" i="5"/>
  <c r="S12" i="5"/>
  <c r="HF12" i="5"/>
  <c r="HG12" i="5"/>
  <c r="HG119" i="5"/>
  <c r="FQ119" i="5"/>
  <c r="HF119" i="5"/>
  <c r="S119" i="5"/>
  <c r="FQ10" i="5"/>
  <c r="HF10" i="5"/>
  <c r="HG10" i="5"/>
  <c r="HG8" i="5"/>
  <c r="HG11" i="5"/>
  <c r="FQ11" i="5"/>
  <c r="HF11" i="5"/>
  <c r="S11" i="5"/>
  <c r="HG60" i="5"/>
  <c r="FQ60" i="5"/>
  <c r="HF60" i="5"/>
  <c r="S60" i="5"/>
  <c r="GD135" i="5"/>
  <c r="GD40" i="5"/>
  <c r="GD71" i="5"/>
  <c r="GD20" i="5"/>
  <c r="GD157" i="5"/>
  <c r="GD72" i="5"/>
  <c r="GD137" i="5"/>
  <c r="GD19" i="5"/>
  <c r="GD140" i="5"/>
  <c r="GD34" i="5"/>
  <c r="GD52" i="5"/>
  <c r="GD109" i="5"/>
  <c r="GD163" i="5"/>
  <c r="GD26" i="5"/>
  <c r="GD55" i="5"/>
  <c r="GD169" i="5"/>
  <c r="GD145" i="5"/>
  <c r="GD125" i="5"/>
  <c r="GD31" i="5"/>
  <c r="GD14" i="5"/>
  <c r="GD45" i="5"/>
  <c r="GD82" i="5"/>
  <c r="GD93" i="5"/>
  <c r="GD110" i="5"/>
  <c r="GD127" i="5"/>
  <c r="GD27" i="5"/>
  <c r="GD23" i="5"/>
  <c r="GD59" i="5"/>
  <c r="GD170" i="5"/>
  <c r="GD44" i="5"/>
  <c r="GD123" i="5"/>
  <c r="GD149" i="5"/>
  <c r="GD77" i="5"/>
  <c r="GD122" i="5"/>
  <c r="GD37" i="5"/>
  <c r="GD64" i="5"/>
  <c r="GD81" i="5"/>
  <c r="GD132" i="5"/>
  <c r="GD128" i="5"/>
  <c r="GD126" i="5"/>
  <c r="GD99" i="5"/>
  <c r="GD24" i="5"/>
  <c r="GD138" i="5"/>
  <c r="GD49" i="5"/>
  <c r="GD152" i="5"/>
  <c r="GD76" i="5"/>
  <c r="GD84" i="5"/>
  <c r="GD53" i="5"/>
  <c r="GD65" i="5"/>
  <c r="GD51" i="5"/>
  <c r="GD119" i="5"/>
  <c r="GD131" i="5"/>
  <c r="GD57" i="5"/>
  <c r="GD148" i="5"/>
  <c r="GD172" i="5"/>
  <c r="GD38" i="5"/>
  <c r="GD158" i="5"/>
  <c r="GD167" i="5"/>
  <c r="GD146" i="5"/>
  <c r="GD121" i="5"/>
  <c r="GD144" i="5"/>
  <c r="GD28" i="5"/>
  <c r="GD90" i="5"/>
  <c r="GD117" i="5"/>
  <c r="GD118" i="5"/>
  <c r="GD41" i="5"/>
  <c r="GD120" i="5"/>
  <c r="GD168" i="5"/>
  <c r="GD78" i="5"/>
  <c r="GD35" i="5"/>
  <c r="GD150" i="5"/>
  <c r="GD101" i="5"/>
  <c r="GD89" i="5"/>
  <c r="GD139" i="5"/>
  <c r="GD159" i="5"/>
  <c r="GD11" i="5"/>
  <c r="GD92" i="5"/>
  <c r="GD48" i="5"/>
  <c r="GD98" i="5"/>
  <c r="GD130" i="5"/>
  <c r="GD46" i="5"/>
  <c r="GD88" i="5"/>
  <c r="GD32" i="5"/>
  <c r="GD129" i="5"/>
  <c r="GD75" i="5"/>
  <c r="GD154" i="5"/>
  <c r="GD94" i="5"/>
  <c r="GD56" i="5"/>
  <c r="GD63" i="5"/>
  <c r="GD166" i="5"/>
  <c r="GD50" i="5"/>
  <c r="GD83" i="5"/>
  <c r="GD142" i="5"/>
  <c r="GD17" i="5"/>
  <c r="GD108" i="5"/>
  <c r="GD79" i="5"/>
  <c r="GD15" i="5"/>
  <c r="GD68" i="5"/>
  <c r="GD160" i="5"/>
  <c r="GD116" i="5"/>
  <c r="GD95" i="5"/>
  <c r="GD70" i="5"/>
  <c r="GD39" i="5"/>
  <c r="GD86" i="5"/>
  <c r="GD114" i="5"/>
  <c r="GD133" i="5"/>
  <c r="GD18" i="5"/>
  <c r="GD66" i="5"/>
  <c r="GD85" i="5"/>
  <c r="GD97" i="5"/>
  <c r="GD105" i="5"/>
  <c r="GD104" i="5"/>
  <c r="GD136" i="5"/>
  <c r="GD151" i="5"/>
  <c r="GD107" i="5"/>
  <c r="GD43" i="5"/>
  <c r="GD103" i="5"/>
  <c r="GD73" i="5"/>
  <c r="GD30" i="5"/>
  <c r="GD74" i="5"/>
  <c r="GD16" i="5"/>
  <c r="GD58" i="5"/>
  <c r="GD67" i="5"/>
  <c r="GD100" i="5"/>
  <c r="GD165" i="5"/>
  <c r="GD134" i="5"/>
  <c r="GD113" i="5"/>
  <c r="GD29" i="5"/>
  <c r="GD141" i="5"/>
  <c r="GD124" i="5"/>
  <c r="GD54" i="5"/>
  <c r="GD173" i="5"/>
  <c r="GD161" i="5"/>
  <c r="GD115" i="5"/>
  <c r="GD60" i="5"/>
  <c r="GD87" i="5"/>
  <c r="GD22" i="5"/>
  <c r="GD62" i="5"/>
  <c r="GD102" i="5"/>
  <c r="GD156" i="5"/>
  <c r="GD143" i="5"/>
  <c r="GD147" i="5"/>
  <c r="GD111" i="5"/>
  <c r="GD153" i="5"/>
  <c r="GD155" i="5"/>
  <c r="GD13" i="5"/>
  <c r="GD33" i="5"/>
  <c r="GD96" i="5"/>
  <c r="GD10" i="5"/>
  <c r="GD61" i="5"/>
  <c r="GD106" i="5"/>
  <c r="GD69" i="5"/>
  <c r="GD25" i="5"/>
  <c r="GD36" i="5"/>
  <c r="GD80" i="5"/>
  <c r="GD162" i="5"/>
  <c r="GD164" i="5"/>
  <c r="GD91" i="5"/>
  <c r="GD47" i="5"/>
  <c r="GD171" i="5"/>
  <c r="GD21" i="5"/>
  <c r="GD42" i="5"/>
  <c r="GD12" i="5"/>
  <c r="GD112" i="5"/>
  <c r="FV55" i="5"/>
  <c r="FV71" i="5"/>
  <c r="FV80" i="5"/>
  <c r="FV74" i="5"/>
  <c r="FV168" i="5"/>
  <c r="FV126" i="5"/>
  <c r="FV72" i="5"/>
  <c r="FV112" i="5"/>
  <c r="FV152" i="5"/>
  <c r="FV109" i="5"/>
  <c r="FV165" i="5"/>
  <c r="FV27" i="5"/>
  <c r="FV69" i="5"/>
  <c r="FV102" i="5"/>
  <c r="FV92" i="5"/>
  <c r="FV13" i="5"/>
  <c r="FV96" i="5"/>
  <c r="FV114" i="5"/>
  <c r="FV158" i="5"/>
  <c r="FV24" i="5"/>
  <c r="FV61" i="5"/>
  <c r="FV142" i="5"/>
  <c r="FV134" i="5"/>
  <c r="FV97" i="5"/>
  <c r="FV130" i="5"/>
  <c r="FV44" i="5"/>
  <c r="FV58" i="5"/>
  <c r="FV140" i="5"/>
  <c r="FV84" i="5"/>
  <c r="FV86" i="5"/>
  <c r="FV146" i="5"/>
  <c r="FV82" i="5"/>
  <c r="FV115" i="5"/>
  <c r="FV161" i="5"/>
  <c r="FV133" i="5"/>
  <c r="FV43" i="5"/>
  <c r="FV73" i="5"/>
  <c r="FV11" i="5"/>
  <c r="FV52" i="5"/>
  <c r="FV119" i="5"/>
  <c r="FV94" i="5"/>
  <c r="FV173" i="5"/>
  <c r="FV25" i="5"/>
  <c r="FV64" i="5"/>
  <c r="FV144" i="5"/>
  <c r="FV122" i="5"/>
  <c r="FV41" i="5"/>
  <c r="FV65" i="5"/>
  <c r="FV19" i="5"/>
  <c r="FV141" i="5"/>
  <c r="FV136" i="5"/>
  <c r="FV68" i="5"/>
  <c r="FV40" i="5"/>
  <c r="FV113" i="5"/>
  <c r="FV106" i="5"/>
  <c r="FV100" i="5"/>
  <c r="FV31" i="5"/>
  <c r="FV145" i="5"/>
  <c r="FV14" i="5"/>
  <c r="FV135" i="5"/>
  <c r="FV156" i="5"/>
  <c r="FV46" i="5"/>
  <c r="FV95" i="5"/>
  <c r="FV42" i="5"/>
  <c r="FV57" i="5"/>
  <c r="FV171" i="5"/>
  <c r="FV77" i="5"/>
  <c r="FV51" i="5"/>
  <c r="FV123" i="5"/>
  <c r="FV22" i="5"/>
  <c r="FV150" i="5"/>
  <c r="FV56" i="5"/>
  <c r="FV138" i="5"/>
  <c r="FV164" i="5"/>
  <c r="FV167" i="5"/>
  <c r="FV54" i="5"/>
  <c r="FV104" i="5"/>
  <c r="FV48" i="5"/>
  <c r="FV170" i="5"/>
  <c r="FV116" i="5"/>
  <c r="FV85" i="5"/>
  <c r="FV39" i="5"/>
  <c r="FV63" i="5"/>
  <c r="FV107" i="5"/>
  <c r="FV118" i="5"/>
  <c r="FV15" i="5"/>
  <c r="FV147" i="5"/>
  <c r="FV105" i="5"/>
  <c r="FV172" i="5"/>
  <c r="FV127" i="5"/>
  <c r="FV47" i="5"/>
  <c r="FV90" i="5"/>
  <c r="FV162" i="5"/>
  <c r="FV160" i="5"/>
  <c r="FV49" i="5"/>
  <c r="FV125" i="5"/>
  <c r="FV59" i="5"/>
  <c r="FV101" i="5"/>
  <c r="FV67" i="5"/>
  <c r="FV81" i="5"/>
  <c r="FV111" i="5"/>
  <c r="FV93" i="5"/>
  <c r="FV163" i="5"/>
  <c r="FV137" i="5"/>
  <c r="FV45" i="5"/>
  <c r="FV121" i="5"/>
  <c r="FV148" i="5"/>
  <c r="FV21" i="5"/>
  <c r="FV78" i="5"/>
  <c r="FV29" i="5"/>
  <c r="FV155" i="5"/>
  <c r="FV30" i="5"/>
  <c r="FV89" i="5"/>
  <c r="FV99" i="5"/>
  <c r="FV129" i="5"/>
  <c r="FV32" i="5"/>
  <c r="FV117" i="5"/>
  <c r="FV76" i="5"/>
  <c r="FV103" i="5"/>
  <c r="FV35" i="5"/>
  <c r="FV10" i="5"/>
  <c r="FV120" i="5"/>
  <c r="FV169" i="5"/>
  <c r="FV60" i="5"/>
  <c r="FV75" i="5"/>
  <c r="FV108" i="5"/>
  <c r="FV83" i="5"/>
  <c r="FV132" i="5"/>
  <c r="FV66" i="5"/>
  <c r="FV128" i="5"/>
  <c r="FV153" i="5"/>
  <c r="FV23" i="5"/>
  <c r="FV70" i="5"/>
  <c r="FV166" i="5"/>
  <c r="FV16" i="5"/>
  <c r="FV62" i="5"/>
  <c r="FV36" i="5"/>
  <c r="FV157" i="5"/>
  <c r="FV17" i="5"/>
  <c r="FV110" i="5"/>
  <c r="FV87" i="5"/>
  <c r="FV98" i="5"/>
  <c r="FV20" i="5"/>
  <c r="FV151" i="5"/>
  <c r="FV50" i="5"/>
  <c r="FV18" i="5"/>
  <c r="FV37" i="5"/>
  <c r="FV38" i="5"/>
  <c r="FV28" i="5"/>
  <c r="FV33" i="5"/>
  <c r="FV88" i="5"/>
  <c r="FV149" i="5"/>
  <c r="FV143" i="5"/>
  <c r="FV124" i="5"/>
  <c r="FV53" i="5"/>
  <c r="FV154" i="5"/>
  <c r="FV131" i="5"/>
  <c r="FV26" i="5"/>
  <c r="FV139" i="5"/>
  <c r="FV79" i="5"/>
  <c r="FV91" i="5"/>
  <c r="FV34" i="5"/>
  <c r="FV12" i="5"/>
  <c r="FV159" i="5"/>
  <c r="GK25" i="5"/>
  <c r="GK24" i="5"/>
  <c r="GK173" i="5"/>
  <c r="GK127" i="5"/>
  <c r="GK45" i="5"/>
  <c r="GK156" i="5"/>
  <c r="GK36" i="5"/>
  <c r="GK55" i="5"/>
  <c r="GK148" i="5"/>
  <c r="GK18" i="5"/>
  <c r="GK172" i="5"/>
  <c r="GK118" i="5"/>
  <c r="GK27" i="5"/>
  <c r="GK124" i="5"/>
  <c r="GK120" i="5"/>
  <c r="GK142" i="5"/>
  <c r="GK32" i="5"/>
  <c r="GK150" i="5"/>
  <c r="GK35" i="5"/>
  <c r="GK122" i="5"/>
  <c r="GK96" i="5"/>
  <c r="GK14" i="5"/>
  <c r="GK105" i="5"/>
  <c r="GK100" i="5"/>
  <c r="GK131" i="5"/>
  <c r="GK103" i="5"/>
  <c r="GK13" i="5"/>
  <c r="GK42" i="5"/>
  <c r="GK82" i="5"/>
  <c r="GK77" i="5"/>
  <c r="GK64" i="5"/>
  <c r="GK87" i="5"/>
  <c r="GK146" i="5"/>
  <c r="GK44" i="5"/>
  <c r="GK10" i="5"/>
  <c r="GK50" i="5"/>
  <c r="GK166" i="5"/>
  <c r="GK145" i="5"/>
  <c r="GK23" i="5"/>
  <c r="GK91" i="5"/>
  <c r="GK143" i="5"/>
  <c r="GK107" i="5"/>
  <c r="GK147" i="5"/>
  <c r="GK60" i="5"/>
  <c r="GK63" i="5"/>
  <c r="GK140" i="5"/>
  <c r="GK85" i="5"/>
  <c r="GK46" i="5"/>
  <c r="GK132" i="5"/>
  <c r="GK170" i="5"/>
  <c r="GK17" i="5"/>
  <c r="GK112" i="5"/>
  <c r="GK92" i="5"/>
  <c r="GK97" i="5"/>
  <c r="GK31" i="5"/>
  <c r="GK141" i="5"/>
  <c r="GK163" i="5"/>
  <c r="GK67" i="5"/>
  <c r="GK53" i="5"/>
  <c r="GK137" i="5"/>
  <c r="GK108" i="5"/>
  <c r="GK59" i="5"/>
  <c r="GK134" i="5"/>
  <c r="GK20" i="5"/>
  <c r="GK80" i="5"/>
  <c r="GK154" i="5"/>
  <c r="GK99" i="5"/>
  <c r="GK43" i="5"/>
  <c r="GK149" i="5"/>
  <c r="GK72" i="5"/>
  <c r="GK74" i="5"/>
  <c r="GK78" i="5"/>
  <c r="GK28" i="5"/>
  <c r="GK159" i="5"/>
  <c r="GK26" i="5"/>
  <c r="GK79" i="5"/>
  <c r="GK56" i="5"/>
  <c r="GK136" i="5"/>
  <c r="GK89" i="5"/>
  <c r="GK38" i="5"/>
  <c r="GK90" i="5"/>
  <c r="GK133" i="5"/>
  <c r="GK167" i="5"/>
  <c r="GK16" i="5"/>
  <c r="GK114" i="5"/>
  <c r="GK51" i="5"/>
  <c r="GK152" i="5"/>
  <c r="GK84" i="5"/>
  <c r="GK128" i="5"/>
  <c r="GK155" i="5"/>
  <c r="GK88" i="5"/>
  <c r="GK117" i="5"/>
  <c r="GK157" i="5"/>
  <c r="GK33" i="5"/>
  <c r="GK95" i="5"/>
  <c r="GK135" i="5"/>
  <c r="GK169" i="5"/>
  <c r="GK168" i="5"/>
  <c r="GK162" i="5"/>
  <c r="GK37" i="5"/>
  <c r="GK164" i="5"/>
  <c r="GK165" i="5"/>
  <c r="GK81" i="5"/>
  <c r="GK73" i="5"/>
  <c r="GK138" i="5"/>
  <c r="GK94" i="5"/>
  <c r="GK54" i="5"/>
  <c r="GK116" i="5"/>
  <c r="GK62" i="5"/>
  <c r="GK39" i="5"/>
  <c r="GK109" i="5"/>
  <c r="GK83" i="5"/>
  <c r="GK153" i="5"/>
  <c r="GK123" i="5"/>
  <c r="GK41" i="5"/>
  <c r="GK110" i="5"/>
  <c r="GK68" i="5"/>
  <c r="GK40" i="5"/>
  <c r="GK61" i="5"/>
  <c r="GK160" i="5"/>
  <c r="GK139" i="5"/>
  <c r="GK113" i="5"/>
  <c r="GK158" i="5"/>
  <c r="GK121" i="5"/>
  <c r="GK98" i="5"/>
  <c r="GK93" i="5"/>
  <c r="GK21" i="5"/>
  <c r="GK151" i="5"/>
  <c r="GK106" i="5"/>
  <c r="GK101" i="5"/>
  <c r="GK15" i="5"/>
  <c r="GK104" i="5"/>
  <c r="GK49" i="5"/>
  <c r="GK115" i="5"/>
  <c r="GK129" i="5"/>
  <c r="GK30" i="5"/>
  <c r="GK76" i="5"/>
  <c r="GK47" i="5"/>
  <c r="GK52" i="5"/>
  <c r="GK111" i="5"/>
  <c r="GK48" i="5"/>
  <c r="GK119" i="5"/>
  <c r="GK19" i="5"/>
  <c r="GK126" i="5"/>
  <c r="GK66" i="5"/>
  <c r="GK34" i="5"/>
  <c r="GK102" i="5"/>
  <c r="GK11" i="5"/>
  <c r="GK130" i="5"/>
  <c r="GK75" i="5"/>
  <c r="GK125" i="5"/>
  <c r="GK161" i="5"/>
  <c r="GK57" i="5"/>
  <c r="GK22" i="5"/>
  <c r="GK171" i="5"/>
  <c r="GK70" i="5"/>
  <c r="GK86" i="5"/>
  <c r="GK58" i="5"/>
  <c r="GK65" i="5"/>
  <c r="GK71" i="5"/>
  <c r="GK69" i="5"/>
  <c r="GK144" i="5"/>
  <c r="GK12" i="5"/>
  <c r="GK29" i="5"/>
  <c r="FU98" i="5"/>
  <c r="FU133" i="5"/>
  <c r="FU80" i="5"/>
  <c r="FU51" i="5"/>
  <c r="FU95" i="5"/>
  <c r="FU87" i="5"/>
  <c r="FU53" i="5"/>
  <c r="FU116" i="5"/>
  <c r="FU128" i="5"/>
  <c r="FU33" i="5"/>
  <c r="FU85" i="5"/>
  <c r="FU48" i="5"/>
  <c r="FU145" i="5"/>
  <c r="FU168" i="5"/>
  <c r="FU156" i="5"/>
  <c r="FU17" i="5"/>
  <c r="FU114" i="5"/>
  <c r="FU123" i="5"/>
  <c r="FU153" i="5"/>
  <c r="FU76" i="5"/>
  <c r="FU104" i="5"/>
  <c r="FU171" i="5"/>
  <c r="FU130" i="5"/>
  <c r="FU107" i="5"/>
  <c r="FU10" i="5"/>
  <c r="FU44" i="5"/>
  <c r="FU92" i="5"/>
  <c r="FU27" i="5"/>
  <c r="FU144" i="5"/>
  <c r="FU138" i="5"/>
  <c r="FU36" i="5"/>
  <c r="FU83" i="5"/>
  <c r="FU134" i="5"/>
  <c r="FU160" i="5"/>
  <c r="FU16" i="5"/>
  <c r="FU169" i="5"/>
  <c r="FU113" i="5"/>
  <c r="FU137" i="5"/>
  <c r="FU93" i="5"/>
  <c r="FU23" i="5"/>
  <c r="FU41" i="5"/>
  <c r="FU161" i="5"/>
  <c r="FU14" i="5"/>
  <c r="FU124" i="5"/>
  <c r="FU73" i="5"/>
  <c r="FU102" i="5"/>
  <c r="FU22" i="5"/>
  <c r="FU61" i="5"/>
  <c r="FU150" i="5"/>
  <c r="FU136" i="5"/>
  <c r="FU120" i="5"/>
  <c r="FU97" i="5"/>
  <c r="FU57" i="5"/>
  <c r="FU28" i="5"/>
  <c r="FU34" i="5"/>
  <c r="FU117" i="5"/>
  <c r="FU139" i="5"/>
  <c r="FU155" i="5"/>
  <c r="FU115" i="5"/>
  <c r="FU112" i="5"/>
  <c r="FU157" i="5"/>
  <c r="FU79" i="5"/>
  <c r="FU19" i="5"/>
  <c r="FU82" i="5"/>
  <c r="FU111" i="5"/>
  <c r="FU143" i="5"/>
  <c r="FU140" i="5"/>
  <c r="FU54" i="5"/>
  <c r="FU163" i="5"/>
  <c r="FU42" i="5"/>
  <c r="FU35" i="5"/>
  <c r="FU103" i="5"/>
  <c r="FU172" i="5"/>
  <c r="FU91" i="5"/>
  <c r="FU11" i="5"/>
  <c r="FU46" i="5"/>
  <c r="FU65" i="5"/>
  <c r="FU166" i="5"/>
  <c r="FU154" i="5"/>
  <c r="FU71" i="5"/>
  <c r="FU64" i="5"/>
  <c r="FU30" i="5"/>
  <c r="FU78" i="5"/>
  <c r="FU146" i="5"/>
  <c r="FU40" i="5"/>
  <c r="FU52" i="5"/>
  <c r="FU13" i="5"/>
  <c r="FU121" i="5"/>
  <c r="FU81" i="5"/>
  <c r="FU88" i="5"/>
  <c r="FU39" i="5"/>
  <c r="FU29" i="5"/>
  <c r="FU165" i="5"/>
  <c r="FU49" i="5"/>
  <c r="FU50" i="5"/>
  <c r="FU159" i="5"/>
  <c r="FU60" i="5"/>
  <c r="FU67" i="5"/>
  <c r="FU24" i="5"/>
  <c r="FU108" i="5"/>
  <c r="FU94" i="5"/>
  <c r="FU105" i="5"/>
  <c r="FU141" i="5"/>
  <c r="FU56" i="5"/>
  <c r="FU167" i="5"/>
  <c r="FU109" i="5"/>
  <c r="FU72" i="5"/>
  <c r="FU59" i="5"/>
  <c r="FU58" i="5"/>
  <c r="FU26" i="5"/>
  <c r="FU158" i="5"/>
  <c r="FU100" i="5"/>
  <c r="FU129" i="5"/>
  <c r="FU89" i="5"/>
  <c r="FU170" i="5"/>
  <c r="FU119" i="5"/>
  <c r="FU84" i="5"/>
  <c r="FU106" i="5"/>
  <c r="FU37" i="5"/>
  <c r="FU118" i="5"/>
  <c r="FU18" i="5"/>
  <c r="FU15" i="5"/>
  <c r="FU149" i="5"/>
  <c r="FU122" i="5"/>
  <c r="FU110" i="5"/>
  <c r="FU77" i="5"/>
  <c r="FU74" i="5"/>
  <c r="FU86" i="5"/>
  <c r="FU66" i="5"/>
  <c r="FU69" i="5"/>
  <c r="FU125" i="5"/>
  <c r="FU32" i="5"/>
  <c r="FU75" i="5"/>
  <c r="FU148" i="5"/>
  <c r="FU142" i="5"/>
  <c r="FU96" i="5"/>
  <c r="FU152" i="5"/>
  <c r="FU55" i="5"/>
  <c r="FU62" i="5"/>
  <c r="FU101" i="5"/>
  <c r="FU164" i="5"/>
  <c r="FU126" i="5"/>
  <c r="FU31" i="5"/>
  <c r="FU147" i="5"/>
  <c r="FU132" i="5"/>
  <c r="FU162" i="5"/>
  <c r="FU45" i="5"/>
  <c r="FU25" i="5"/>
  <c r="FU131" i="5"/>
  <c r="FU43" i="5"/>
  <c r="FU70" i="5"/>
  <c r="FU99" i="5"/>
  <c r="FU21" i="5"/>
  <c r="FU38" i="5"/>
  <c r="FU127" i="5"/>
  <c r="FU173" i="5"/>
  <c r="FU20" i="5"/>
  <c r="FU47" i="5"/>
  <c r="FU151" i="5"/>
  <c r="FU90" i="5"/>
  <c r="FU135" i="5"/>
  <c r="FU63" i="5"/>
  <c r="FU12" i="5"/>
  <c r="FU68" i="5"/>
  <c r="HG66" i="5"/>
  <c r="FQ66" i="5"/>
  <c r="HF66" i="5"/>
  <c r="S66" i="5"/>
  <c r="HG16" i="5"/>
  <c r="FQ16" i="5"/>
  <c r="HF16" i="5"/>
  <c r="S16" i="5"/>
  <c r="S67" i="5"/>
  <c r="FQ12" i="5"/>
  <c r="FQ67" i="5"/>
  <c r="HF67" i="5"/>
  <c r="HG6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A30" authorId="0" shapeId="0" xr:uid="{00000000-0006-0000-01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@Author 6  in the mock plans we need to clearly call out data validation activity. It cannot be within the 3 week of MC window</t>
        </r>
      </text>
    </comment>
    <comment ref="B39"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@Author 3 @Author 7 - please update the brownfield phases</t>
        </r>
      </text>
    </comment>
    <comment ref="B49" authorId="0" shapeId="0" xr:uid="{00000000-0006-0000-01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@Author 4 - Detailed activities
Reply:
    @Author 2  I have added the activities in the Data swim lane</t>
        </r>
      </text>
    </comment>
    <comment ref="B66" authorId="0" shapeId="0" xr:uid="{00000000-0006-0000-01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@Author 1 - Security detailed activities</t>
        </r>
      </text>
    </comment>
    <comment ref="B71" authorId="0" shapeId="0" xr:uid="{00000000-0006-0000-01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@Author 5 - Please update the detailed activities that need to happen for Validation over the course of the project</t>
        </r>
      </text>
    </comment>
  </commentList>
</comments>
</file>

<file path=xl/sharedStrings.xml><?xml version="1.0" encoding="utf-8"?>
<sst xmlns="http://schemas.openxmlformats.org/spreadsheetml/2006/main" count="11872" uniqueCount="1396">
  <si>
    <t>Ending</t>
  </si>
  <si>
    <t>Week#</t>
  </si>
  <si>
    <t>Edison</t>
  </si>
  <si>
    <t>ROM for S/4 Enterprise implementation</t>
  </si>
  <si>
    <t>Global Design</t>
  </si>
  <si>
    <t>Cross OpCo - Phase 0</t>
  </si>
  <si>
    <t>High Level Scoping, KDDs, Harmonization Opportunities</t>
  </si>
  <si>
    <t>ABT Implementation</t>
  </si>
  <si>
    <t>AlphaBio Implementaiton</t>
  </si>
  <si>
    <t>Prep</t>
  </si>
  <si>
    <t>MC1</t>
  </si>
  <si>
    <t>MC2</t>
  </si>
  <si>
    <t>CS</t>
  </si>
  <si>
    <t>FC</t>
  </si>
  <si>
    <t>HYC</t>
  </si>
  <si>
    <t>SIT 1</t>
  </si>
  <si>
    <t>SIT 2</t>
  </si>
  <si>
    <t>UAT/OQ/PQ</t>
  </si>
  <si>
    <t>Assessment Phase</t>
  </si>
  <si>
    <t>S4 Implementation</t>
  </si>
  <si>
    <t>Assessment</t>
  </si>
  <si>
    <t>FPC</t>
  </si>
  <si>
    <t>Year</t>
  </si>
  <si>
    <t>Month</t>
  </si>
  <si>
    <t>Week Start</t>
  </si>
  <si>
    <t>Week End</t>
  </si>
  <si>
    <t>Original</t>
  </si>
  <si>
    <t>Readiness</t>
  </si>
  <si>
    <t>MC3</t>
  </si>
  <si>
    <t>UAT/Val test</t>
  </si>
  <si>
    <t>Dry Run</t>
  </si>
  <si>
    <t>Go-Live: 21 Months</t>
  </si>
  <si>
    <t>Non-Prod Hardware Deployment</t>
  </si>
  <si>
    <t>Prod Hardware Deployment</t>
  </si>
  <si>
    <t>Updated</t>
  </si>
  <si>
    <t>PLAN</t>
  </si>
  <si>
    <t>Imagine</t>
  </si>
  <si>
    <t>Deliver - Build</t>
  </si>
  <si>
    <t>Deliver - Test</t>
  </si>
  <si>
    <t>Run (Deploy / Run)</t>
  </si>
  <si>
    <t>Scoping and Planning Phase</t>
  </si>
  <si>
    <t>Build 1</t>
  </si>
  <si>
    <t>Build 2</t>
  </si>
  <si>
    <t>Build 3</t>
  </si>
  <si>
    <t>Build 4</t>
  </si>
  <si>
    <t>Build 5</t>
  </si>
  <si>
    <t>Build 6</t>
  </si>
  <si>
    <t>UAT/Val Test</t>
  </si>
  <si>
    <t>Design 1</t>
  </si>
  <si>
    <t>Design 2</t>
  </si>
  <si>
    <t>Design 3</t>
  </si>
  <si>
    <t>Design 4</t>
  </si>
  <si>
    <t>Design 5</t>
  </si>
  <si>
    <t>PMO</t>
  </si>
  <si>
    <t>Ongoing project execution activities and status reporting</t>
  </si>
  <si>
    <t>MC1 Plan</t>
  </si>
  <si>
    <t>Mock Cutover 1</t>
  </si>
  <si>
    <t>Mock Cutover 2</t>
  </si>
  <si>
    <t>MC 3</t>
  </si>
  <si>
    <t>Cutover Simulation</t>
  </si>
  <si>
    <t xml:space="preserve">Final Cutover </t>
  </si>
  <si>
    <t>Sprint plan</t>
  </si>
  <si>
    <t>Test Strategy</t>
  </si>
  <si>
    <t>SIT 1 Plan</t>
  </si>
  <si>
    <t>SIT 1 Scripts</t>
  </si>
  <si>
    <t>SIT 1 Execution</t>
  </si>
  <si>
    <t>SIT 2 Execution</t>
  </si>
  <si>
    <t>UAT Execution</t>
  </si>
  <si>
    <t>Dry Run Execution</t>
  </si>
  <si>
    <t>AMS KT</t>
  </si>
  <si>
    <t>Hypercare Support</t>
  </si>
  <si>
    <t>SIT 2 Scripts</t>
  </si>
  <si>
    <t>UAT/CSV scripts Scripts</t>
  </si>
  <si>
    <t>golden copy</t>
  </si>
  <si>
    <t>Brownfield/Tech</t>
  </si>
  <si>
    <t>Upgrade Prep</t>
  </si>
  <si>
    <t>Sandbox Upgrade</t>
  </si>
  <si>
    <t>Dev Build</t>
  </si>
  <si>
    <t>Dev SPAU</t>
  </si>
  <si>
    <t>Dev Code Rem</t>
  </si>
  <si>
    <t>SBX Build</t>
  </si>
  <si>
    <t>Pre-Prod Build</t>
  </si>
  <si>
    <t>QA Build</t>
  </si>
  <si>
    <t xml:space="preserve">QA Build </t>
  </si>
  <si>
    <t>Prod Build</t>
  </si>
  <si>
    <t>Process</t>
  </si>
  <si>
    <t>WS Prep</t>
  </si>
  <si>
    <t>Innov. Design WS</t>
  </si>
  <si>
    <t>Fit/Gap</t>
  </si>
  <si>
    <t>Configuration, WRICEF Development, Unit Testing</t>
  </si>
  <si>
    <t>Execute SIT 1</t>
  </si>
  <si>
    <t>Execute SIT 2</t>
  </si>
  <si>
    <t>Support UAT</t>
  </si>
  <si>
    <t>Support Dry Run</t>
  </si>
  <si>
    <t>Support HYP</t>
  </si>
  <si>
    <t>SDT Review</t>
  </si>
  <si>
    <t>Support SDT &amp; Remediation Activities</t>
  </si>
  <si>
    <t>SIT Prep</t>
  </si>
  <si>
    <t>Support MC1</t>
  </si>
  <si>
    <t>Support MC2</t>
  </si>
  <si>
    <t>Support CS</t>
  </si>
  <si>
    <t>Support FC</t>
  </si>
  <si>
    <t>Data</t>
  </si>
  <si>
    <t xml:space="preserve">SDT Setup </t>
  </si>
  <si>
    <t>SDT Blueprint</t>
  </si>
  <si>
    <t>SDT Build</t>
  </si>
  <si>
    <t>SDT DDR1</t>
  </si>
  <si>
    <t>Def Fix</t>
  </si>
  <si>
    <t>Profiling Tool Setup</t>
  </si>
  <si>
    <t>Data Profling build</t>
  </si>
  <si>
    <t xml:space="preserve">Profiling results review &amp; Cleansing plan </t>
  </si>
  <si>
    <t>Finalize FI structure</t>
  </si>
  <si>
    <t>Data Profilng wkshp</t>
  </si>
  <si>
    <t>Fin Data restructuring analysis</t>
  </si>
  <si>
    <t>Data Validation Tool Build</t>
  </si>
  <si>
    <t>Data Validation Tool execution</t>
  </si>
  <si>
    <t>Training translations &amp; LMS uploads</t>
  </si>
  <si>
    <t>OCM</t>
  </si>
  <si>
    <t>OCM Scans</t>
  </si>
  <si>
    <t>OCM Project Plans</t>
  </si>
  <si>
    <t xml:space="preserve">Change Impact Analysis </t>
  </si>
  <si>
    <t>Training Strategy</t>
  </si>
  <si>
    <t>Training curriculum</t>
  </si>
  <si>
    <t>Training material development</t>
  </si>
  <si>
    <t xml:space="preserve">Train the Trainer </t>
  </si>
  <si>
    <t>End User Training delivery</t>
  </si>
  <si>
    <t>Plan for Project Team Training</t>
  </si>
  <si>
    <t>Stakeholder Identification &amp; Analysis</t>
  </si>
  <si>
    <t>OCM Strategy</t>
  </si>
  <si>
    <t>Training delivery planning and logistics</t>
  </si>
  <si>
    <t>Comms Strategy &amp; Comms Plan</t>
  </si>
  <si>
    <t>Foundational Comms &amp; Adoption Assistant Stand-up</t>
  </si>
  <si>
    <t>Communication and engagement deployment per plan</t>
  </si>
  <si>
    <t>Awareness Campaign</t>
  </si>
  <si>
    <t>Understanding Campaign</t>
  </si>
  <si>
    <t>Readiness Campaign</t>
  </si>
  <si>
    <t>Cutover &amp; Go-Live Campaign</t>
  </si>
  <si>
    <t>Change Readiness Survey</t>
  </si>
  <si>
    <t>Change Network Identification &amp; Stand-up</t>
  </si>
  <si>
    <t xml:space="preserve">Change Network Engagement </t>
  </si>
  <si>
    <t>Analytics</t>
  </si>
  <si>
    <t>Data Source Impact</t>
  </si>
  <si>
    <t>Fit-to-standard workshops</t>
  </si>
  <si>
    <t>Rationalization</t>
  </si>
  <si>
    <t>Migrate and re-point data sources</t>
  </si>
  <si>
    <t>Extractor Remediation</t>
  </si>
  <si>
    <t>New CDS view Developments</t>
  </si>
  <si>
    <t>Analytics SIT 1 Support</t>
  </si>
  <si>
    <t>Analytics SIT 2 Support</t>
  </si>
  <si>
    <t>UAT/Val Test Support</t>
  </si>
  <si>
    <t>Dry Run Support</t>
  </si>
  <si>
    <t>Analytics Scope &amp; BDC Decision</t>
  </si>
  <si>
    <t>Fit Gap of Data Sources</t>
  </si>
  <si>
    <t>FDS for reimagine</t>
  </si>
  <si>
    <t>Technical Design</t>
  </si>
  <si>
    <t>Data Model Remediation</t>
  </si>
  <si>
    <t>New Data Sources</t>
  </si>
  <si>
    <t>Test Scripts for SIT</t>
  </si>
  <si>
    <t>Test Scripts for UAT</t>
  </si>
  <si>
    <t>Security</t>
  </si>
  <si>
    <t>Cyber Risk Assessment</t>
  </si>
  <si>
    <t>Conduct Security Workshops for Reimagine Processes</t>
  </si>
  <si>
    <t>Build and Unit Test Security Design</t>
  </si>
  <si>
    <t>Security and Controls Assessment</t>
  </si>
  <si>
    <t>Define Security Strategy and Approach</t>
  </si>
  <si>
    <t>Review of Impacted Risks and Controls</t>
  </si>
  <si>
    <t>Review Risk and Control Matrix</t>
  </si>
  <si>
    <t>Support Testing and Resolve Security Defects</t>
  </si>
  <si>
    <t>Validation</t>
  </si>
  <si>
    <t>Finalize Validation Approach</t>
  </si>
  <si>
    <t>Review of User Requirements</t>
  </si>
  <si>
    <t>an you</t>
  </si>
  <si>
    <t>Develop Validation Plan</t>
  </si>
  <si>
    <t>Conduct Functional Risk Assessment</t>
  </si>
  <si>
    <t>IQ/CQ/DQ - QA</t>
  </si>
  <si>
    <t>IQ/CQ/DQ - CS</t>
  </si>
  <si>
    <t>IQ/CQ/DQ - Prod</t>
  </si>
  <si>
    <t>Review of Impacted Functional, Technical &amp; Configuration Design Documents</t>
  </si>
  <si>
    <t>OQ/PQ  &amp; Regression Test Execution : Validation</t>
  </si>
  <si>
    <t>RTM &amp; VSR Sign Offs</t>
  </si>
  <si>
    <t>Review &amp; Approval of IQ/CQ/OQ/PQ/ Data Migration Qualification test cases</t>
  </si>
  <si>
    <t>Sum of Total Fees</t>
  </si>
  <si>
    <t>Location</t>
  </si>
  <si>
    <t>Team</t>
  </si>
  <si>
    <t>India</t>
  </si>
  <si>
    <t>Mexico</t>
  </si>
  <si>
    <t>US</t>
  </si>
  <si>
    <t>Total Result</t>
  </si>
  <si>
    <t>Current %</t>
  </si>
  <si>
    <t>Proposed %</t>
  </si>
  <si>
    <t>Proposed Fee</t>
  </si>
  <si>
    <t>Reduction Fees</t>
  </si>
  <si>
    <t>Comments</t>
  </si>
  <si>
    <t>Deployment</t>
  </si>
  <si>
    <t>OTC</t>
  </si>
  <si>
    <t>PTD</t>
  </si>
  <si>
    <t>Plan 2%; Mfg 4%; Logistics 6%</t>
  </si>
  <si>
    <t>PTP</t>
  </si>
  <si>
    <t>RTR</t>
  </si>
  <si>
    <t>S&amp;R</t>
  </si>
  <si>
    <t>Solution Architecture</t>
  </si>
  <si>
    <t>TAX</t>
  </si>
  <si>
    <t>Vertex Upgrade; E-Invoice 4 Countries</t>
  </si>
  <si>
    <t xml:space="preserve">Technology </t>
  </si>
  <si>
    <t>Target Fees</t>
  </si>
  <si>
    <t>Sum of Planning Fees</t>
  </si>
  <si>
    <t>Geography</t>
  </si>
  <si>
    <t>US - Project</t>
  </si>
  <si>
    <t>PTD %</t>
  </si>
  <si>
    <t>Total %</t>
  </si>
  <si>
    <t>PTD Total</t>
  </si>
  <si>
    <t>LOG</t>
  </si>
  <si>
    <t>MFG</t>
  </si>
  <si>
    <t>Total</t>
  </si>
  <si>
    <t>Sum of Total Hours</t>
  </si>
  <si>
    <t>(empty)</t>
  </si>
  <si>
    <t>Row Labels</t>
  </si>
  <si>
    <t>Order Management</t>
  </si>
  <si>
    <t>Delivery  Warehouse</t>
  </si>
  <si>
    <t xml:space="preserve">Logistics </t>
  </si>
  <si>
    <t>Manufacturing - PM</t>
  </si>
  <si>
    <t>Manufacturing - PP</t>
  </si>
  <si>
    <t>Manufacturing - QM</t>
  </si>
  <si>
    <t>Plan</t>
  </si>
  <si>
    <t>0.5</t>
  </si>
  <si>
    <t>Accounts Payable</t>
  </si>
  <si>
    <t>Procurement</t>
  </si>
  <si>
    <t>Training</t>
  </si>
  <si>
    <t>Cutover</t>
  </si>
  <si>
    <t>Testing</t>
  </si>
  <si>
    <t>Column Labels</t>
  </si>
  <si>
    <t>Roles</t>
  </si>
  <si>
    <t>Fees</t>
  </si>
  <si>
    <t>Total Roles</t>
  </si>
  <si>
    <t>Total Fees</t>
  </si>
  <si>
    <t>Release Management</t>
  </si>
  <si>
    <t>Testing Support</t>
  </si>
  <si>
    <t xml:space="preserve">Data </t>
  </si>
  <si>
    <t>Agile Coach</t>
  </si>
  <si>
    <t>Intermediate</t>
  </si>
  <si>
    <t>Junior</t>
  </si>
  <si>
    <t>Lead</t>
  </si>
  <si>
    <t>Principal</t>
  </si>
  <si>
    <t>Senior</t>
  </si>
  <si>
    <t>Application Architect</t>
  </si>
  <si>
    <t>Application Developer</t>
  </si>
  <si>
    <t>Artificial Intelligence Architect</t>
  </si>
  <si>
    <t>Artificial Intelligence Developer</t>
  </si>
  <si>
    <t>Business Analyst</t>
  </si>
  <si>
    <t>Business Architect</t>
  </si>
  <si>
    <t>Role</t>
  </si>
  <si>
    <t>Role Experience</t>
  </si>
  <si>
    <t>Service Management</t>
  </si>
  <si>
    <t>ServiceNow Architect</t>
  </si>
  <si>
    <t>Solution Delivery</t>
  </si>
  <si>
    <t>Development</t>
  </si>
  <si>
    <t xml:space="preserve">Basis </t>
  </si>
  <si>
    <t>Basis SME 1</t>
  </si>
  <si>
    <t>Basis SME 2</t>
  </si>
  <si>
    <t>Technology</t>
  </si>
  <si>
    <t>Hours</t>
  </si>
  <si>
    <t>Consulting</t>
  </si>
  <si>
    <t>RPH</t>
  </si>
  <si>
    <t>Tax</t>
  </si>
  <si>
    <t>P9</t>
  </si>
  <si>
    <t>P10</t>
  </si>
  <si>
    <t>P11</t>
  </si>
  <si>
    <t>P12</t>
  </si>
  <si>
    <t>P13</t>
  </si>
  <si>
    <t>P1</t>
  </si>
  <si>
    <t>P2</t>
  </si>
  <si>
    <t>P3</t>
  </si>
  <si>
    <t>P4</t>
  </si>
  <si>
    <t>P5</t>
  </si>
  <si>
    <t>P6</t>
  </si>
  <si>
    <t>P7</t>
  </si>
  <si>
    <t>P8</t>
  </si>
  <si>
    <t>FY26</t>
  </si>
  <si>
    <t>FY27</t>
  </si>
  <si>
    <t>FY28</t>
  </si>
  <si>
    <t>FY29-P1</t>
  </si>
  <si>
    <t>FY29</t>
  </si>
  <si>
    <t>Start Date</t>
  </si>
  <si>
    <t>Rate Information</t>
  </si>
  <si>
    <t>FY26-P09</t>
  </si>
  <si>
    <t>FY26-P10</t>
  </si>
  <si>
    <t>FY26-P11</t>
  </si>
  <si>
    <t>FY26-P12</t>
  </si>
  <si>
    <t>FY26-P13</t>
  </si>
  <si>
    <t>FY27-P01</t>
  </si>
  <si>
    <t>FY27-P2</t>
  </si>
  <si>
    <t>FY27-P3</t>
  </si>
  <si>
    <t>FY27-P4</t>
  </si>
  <si>
    <t>FY27-P5</t>
  </si>
  <si>
    <t>FY27-P6</t>
  </si>
  <si>
    <t>FY27-P7</t>
  </si>
  <si>
    <t>FY27-P8</t>
  </si>
  <si>
    <t>FY27-P9</t>
  </si>
  <si>
    <t>FY27-P10</t>
  </si>
  <si>
    <t>FY27-P11</t>
  </si>
  <si>
    <t>FY27-P12</t>
  </si>
  <si>
    <t>FY27-P13</t>
  </si>
  <si>
    <t>FY28-P1</t>
  </si>
  <si>
    <t>FY28-P2</t>
  </si>
  <si>
    <t>FY28-P3</t>
  </si>
  <si>
    <t>FY28-P4</t>
  </si>
  <si>
    <t>FY28-P5</t>
  </si>
  <si>
    <t>FY28-P6</t>
  </si>
  <si>
    <t>FY28-P7</t>
  </si>
  <si>
    <t>FY28-P8</t>
  </si>
  <si>
    <t>FY28-P9</t>
  </si>
  <si>
    <t>FY28-P10</t>
  </si>
  <si>
    <t>FY28-P11</t>
  </si>
  <si>
    <t>FY28-P12</t>
  </si>
  <si>
    <t>FY28-P13</t>
  </si>
  <si>
    <t>FY29-P2</t>
  </si>
  <si>
    <t>FY29-P3</t>
  </si>
  <si>
    <t>FY29-P4</t>
  </si>
  <si>
    <t>FY29-P5</t>
  </si>
  <si>
    <t>FY29-P6</t>
  </si>
  <si>
    <t>FY29-P7</t>
  </si>
  <si>
    <t>End Date</t>
  </si>
  <si>
    <t>Process or Enabling</t>
  </si>
  <si>
    <t>Sub-Team</t>
  </si>
  <si>
    <t>Role Name</t>
  </si>
  <si>
    <t>Business</t>
  </si>
  <si>
    <t>Offering Portfolio</t>
  </si>
  <si>
    <t>Offering</t>
  </si>
  <si>
    <t>Job Family</t>
  </si>
  <si>
    <t>Sub Family</t>
  </si>
  <si>
    <t>Deloitte Level</t>
  </si>
  <si>
    <t>Phase / Work Team</t>
  </si>
  <si>
    <t>Rate Helper (do not delete)</t>
  </si>
  <si>
    <t>Client Role</t>
  </si>
  <si>
    <t>Planning Fees</t>
  </si>
  <si>
    <t>CV Total Hrs
Not Actual
Total Hours</t>
  </si>
  <si>
    <t>Total Hours</t>
  </si>
  <si>
    <t>Staffing Role</t>
  </si>
  <si>
    <t>Years of Experience</t>
  </si>
  <si>
    <t>Staffing Location</t>
  </si>
  <si>
    <t>Rate Type</t>
  </si>
  <si>
    <t>Rate Card Level</t>
  </si>
  <si>
    <t>PM Avg Rates</t>
  </si>
  <si>
    <t>Rate Card Yr2 Rates</t>
  </si>
  <si>
    <t>FY29-P8</t>
  </si>
  <si>
    <t>FY29-P9</t>
  </si>
  <si>
    <t>FY29-P10</t>
  </si>
  <si>
    <t>Check</t>
  </si>
  <si>
    <t>Enabling</t>
  </si>
  <si>
    <t>Project Sponsor</t>
  </si>
  <si>
    <t>Consulting Services</t>
  </si>
  <si>
    <t>Enterprise Performance</t>
  </si>
  <si>
    <t>SAP</t>
  </si>
  <si>
    <t>Package and Technology Enablement</t>
  </si>
  <si>
    <t>Package Program and Solution Management</t>
  </si>
  <si>
    <t>LMD - Managing Director</t>
  </si>
  <si>
    <t>Engagement Lead</t>
  </si>
  <si>
    <t>Managing Director</t>
  </si>
  <si>
    <t>Program Manager</t>
  </si>
  <si>
    <t>Package Functional Transformation</t>
  </si>
  <si>
    <t>L65 - Senior Manager</t>
  </si>
  <si>
    <t>Senior Manager</t>
  </si>
  <si>
    <t>PMO Consultant</t>
  </si>
  <si>
    <t>L25 - Analyst</t>
  </si>
  <si>
    <t>Senior Consultant</t>
  </si>
  <si>
    <t>Offshore Lead</t>
  </si>
  <si>
    <t>Offshore GDM</t>
  </si>
  <si>
    <t>L35 - Consultant</t>
  </si>
  <si>
    <t>Consultant</t>
  </si>
  <si>
    <t>Solution Architect</t>
  </si>
  <si>
    <t>Solution Lead - offshore</t>
  </si>
  <si>
    <t>L55 - Manager</t>
  </si>
  <si>
    <t>RTR Overall Lead</t>
  </si>
  <si>
    <t>RTR CO Lead</t>
  </si>
  <si>
    <t>L45 - Senior Consultant</t>
  </si>
  <si>
    <t>RTR Offshore Lead (GL/Intercompany)</t>
  </si>
  <si>
    <t>Manager</t>
  </si>
  <si>
    <t>RTR AR/FSCM Lead - Offshore</t>
  </si>
  <si>
    <t>RTR Fixed Assets Lead - Offshore</t>
  </si>
  <si>
    <t>RTR RAR Lead</t>
  </si>
  <si>
    <t>RTR TRM Lead</t>
  </si>
  <si>
    <t>RTR CO Support - Offshore</t>
  </si>
  <si>
    <t>RTR Intercompany/Close Support</t>
  </si>
  <si>
    <t>RTR GL Support</t>
  </si>
  <si>
    <t>Analyst</t>
  </si>
  <si>
    <t>RTR RAR Support</t>
  </si>
  <si>
    <t>RTR TRM Support</t>
  </si>
  <si>
    <t>RTR EBS Support</t>
  </si>
  <si>
    <t>RTR FA Support</t>
  </si>
  <si>
    <t>Tax Global Quality Lead - SAP / Vertex / DRC</t>
  </si>
  <si>
    <t>Tax Technology Consulting</t>
  </si>
  <si>
    <t>Tax Services</t>
  </si>
  <si>
    <t>Tax Advisory</t>
  </si>
  <si>
    <t>Tax Global Engagement Lead - SAP / Vertex / DRC</t>
  </si>
  <si>
    <t>Tax SAP / Vertex Team Lead</t>
  </si>
  <si>
    <t>Tax SAP / Vertex Offshore Team Member</t>
  </si>
  <si>
    <t>Core Tax</t>
  </si>
  <si>
    <t>L45 - Senior</t>
  </si>
  <si>
    <t>Tax  DRC Architect</t>
  </si>
  <si>
    <t>Tax DRC Offshore Team Member</t>
  </si>
  <si>
    <t>Tax  SAP / Vertex / DRC Onshore Team Member</t>
  </si>
  <si>
    <t>Overall OTC  Lead</t>
  </si>
  <si>
    <t>Order Management &amp; Pricing SME</t>
  </si>
  <si>
    <t>Order Mgmt Offshore Lead</t>
  </si>
  <si>
    <t>Pricing &amp; Vistex Integration</t>
  </si>
  <si>
    <t xml:space="preserve">Billing  </t>
  </si>
  <si>
    <t>Order Processing -Master Data</t>
  </si>
  <si>
    <t>Order Processing aATP</t>
  </si>
  <si>
    <t>Service Management Lead</t>
  </si>
  <si>
    <t>Service-Inhouse Repair</t>
  </si>
  <si>
    <t>Service - Loaners &amp; Field Service</t>
  </si>
  <si>
    <t>EAM - Installed base &amp; Asset Management</t>
  </si>
  <si>
    <t xml:space="preserve">PTP Overall Lead </t>
  </si>
  <si>
    <t>PTP Offshore Lead</t>
  </si>
  <si>
    <t xml:space="preserve">PTP Offshore AP/Banking SME </t>
  </si>
  <si>
    <t xml:space="preserve">PTP Offshore Procurement  Support </t>
  </si>
  <si>
    <t xml:space="preserve">PTP Offshore Indirect SME </t>
  </si>
  <si>
    <t xml:space="preserve">PTP Offshore AP Support </t>
  </si>
  <si>
    <t xml:space="preserve">PTP Offshore  Ariba Support </t>
  </si>
  <si>
    <t xml:space="preserve">PTP Offshore  Support </t>
  </si>
  <si>
    <t>Logistics Lead (WM/TM/3PL)</t>
  </si>
  <si>
    <t xml:space="preserve"> </t>
  </si>
  <si>
    <t>Warehouse - Automation / Production Logistics</t>
  </si>
  <si>
    <t>Warehouse - Outbound</t>
  </si>
  <si>
    <t>Warehouse - Inbound + Internal</t>
  </si>
  <si>
    <t>Warehouse - Internal</t>
  </si>
  <si>
    <t>3PL + XPS lead</t>
  </si>
  <si>
    <t>3PL + XPS Consultant</t>
  </si>
  <si>
    <t>3PL Analyst</t>
  </si>
  <si>
    <t>PTD LATAM Regional Lead</t>
  </si>
  <si>
    <t>PTD EMEA Regional Lead</t>
  </si>
  <si>
    <t>PTD APAC Regional Lead</t>
  </si>
  <si>
    <t xml:space="preserve">PTD Overall Lead </t>
  </si>
  <si>
    <t>PTD Offshore Lead - Overall</t>
  </si>
  <si>
    <t>Offshore Team Member - Production Planning + MRP</t>
  </si>
  <si>
    <t>Offshore Team Member - Production Execution</t>
  </si>
  <si>
    <t>Offshore Team Member - MES Integration</t>
  </si>
  <si>
    <t>Offshore Team Member - Production Master Data</t>
  </si>
  <si>
    <t>Offshore Team Member - Quality Mgmt SME</t>
  </si>
  <si>
    <t>PTD - PP/QM LATAM Regional Lead</t>
  </si>
  <si>
    <t>PTD - PP/QM EMEA Regional Lead</t>
  </si>
  <si>
    <t>PTD - PP/QM APAC Regional Lead</t>
  </si>
  <si>
    <t>Offshore Team Member - Plant Maintenance SME</t>
  </si>
  <si>
    <t>Offshore Team Member - Plant Maintenance Master Data</t>
  </si>
  <si>
    <t>Offshore Team Member - Planning SME</t>
  </si>
  <si>
    <t xml:space="preserve">Enabling </t>
  </si>
  <si>
    <t xml:space="preserve">Technology Lead </t>
  </si>
  <si>
    <t xml:space="preserve">Development Lead </t>
  </si>
  <si>
    <t>Dev Coordinator - ABAP (USDC)</t>
  </si>
  <si>
    <t>Package Technical Transformation</t>
  </si>
  <si>
    <t xml:space="preserve">Dev Coordinator - ABAP/Middleware  </t>
  </si>
  <si>
    <t>Tech Consultant</t>
  </si>
  <si>
    <t xml:space="preserve">Basis Lead </t>
  </si>
  <si>
    <t xml:space="preserve">Development Lead - India </t>
  </si>
  <si>
    <t>Development - Innovation Pool of hours - M</t>
  </si>
  <si>
    <t>Development - Innovation Pool of hours - SC</t>
  </si>
  <si>
    <t>Development - Innovation Pool of hours - C</t>
  </si>
  <si>
    <t>Development - Innovation Pool of hours - A</t>
  </si>
  <si>
    <t>Development - Remidiation Pool of hours - M</t>
  </si>
  <si>
    <t>Development - Remidiation Pool of hours - SC</t>
  </si>
  <si>
    <t>Development - Remidiation Pool of hours - C</t>
  </si>
  <si>
    <t>Development - Remidiation Pool of hours - A</t>
  </si>
  <si>
    <t>Basis SME</t>
  </si>
  <si>
    <t xml:space="preserve">Data Lead / Migration Lead </t>
  </si>
  <si>
    <t>Data SME1</t>
  </si>
  <si>
    <t xml:space="preserve">Data SME2 </t>
  </si>
  <si>
    <t>Analytics Architect</t>
  </si>
  <si>
    <t>Analytics Offshore Lead</t>
  </si>
  <si>
    <t>Analytics Offshore Support</t>
  </si>
  <si>
    <t>Testing and Cutover Lead</t>
  </si>
  <si>
    <t>Deployment Offshore Lead</t>
  </si>
  <si>
    <t>Cutover Support</t>
  </si>
  <si>
    <t>Cyber Executive</t>
  </si>
  <si>
    <t>Cyber</t>
  </si>
  <si>
    <t>Enterprise Security</t>
  </si>
  <si>
    <t>Strategy, Growth, and Transformation</t>
  </si>
  <si>
    <t>Enterprise Technology Strategy and Transformation</t>
  </si>
  <si>
    <t xml:space="preserve">Cyber Security </t>
  </si>
  <si>
    <t>Cyber Lead</t>
  </si>
  <si>
    <t>Cyber Delivery Manager</t>
  </si>
  <si>
    <t>Package Configuration and Integration Solutions</t>
  </si>
  <si>
    <t>L55 - Delivery Manager</t>
  </si>
  <si>
    <t>Offshore - Cyber assessment</t>
  </si>
  <si>
    <t>Cyber Strategy &amp; Transformation</t>
  </si>
  <si>
    <t>Cybersecurity Consultant</t>
  </si>
  <si>
    <t>Controls Lead</t>
  </si>
  <si>
    <t>Offshore - Controls Lead</t>
  </si>
  <si>
    <t>Offshore - Security Lead</t>
  </si>
  <si>
    <t>Offshore - Security Team Member</t>
  </si>
  <si>
    <t>Offshore - Security Team member</t>
  </si>
  <si>
    <t>L45 - Delivery Senior Consultant</t>
  </si>
  <si>
    <t>OCM Executive</t>
  </si>
  <si>
    <t>Human Capital</t>
  </si>
  <si>
    <t>Organization, Workforce, &amp; Change</t>
  </si>
  <si>
    <t>Enterprise Strategy and Growth</t>
  </si>
  <si>
    <t>OCM Delivery Senior Manager</t>
  </si>
  <si>
    <t>Global OCM Lead</t>
  </si>
  <si>
    <t>Global Training Lead</t>
  </si>
  <si>
    <t>Global Change &amp; Comms Lead</t>
  </si>
  <si>
    <t>ADMX GDM Required  (Mexico)</t>
  </si>
  <si>
    <t>Functional and Operational Strategy and Transformation</t>
  </si>
  <si>
    <t>Global Change Analytics &amp; Change Support (Mexico)</t>
  </si>
  <si>
    <t>Change and Transformation Management</t>
  </si>
  <si>
    <t>Global Communications Support (Mexico)</t>
  </si>
  <si>
    <t>Adoption Assistant - Developer</t>
  </si>
  <si>
    <t>USI HC Oversight GDM (required)</t>
  </si>
  <si>
    <t xml:space="preserve">Training Manager </t>
  </si>
  <si>
    <t>Training Workstream Lead</t>
  </si>
  <si>
    <t>Training Developer</t>
  </si>
  <si>
    <t>Change Manager</t>
  </si>
  <si>
    <t>Validation SME</t>
  </si>
  <si>
    <t>Regulatory Risk &amp; Forensic</t>
  </si>
  <si>
    <t>Enterprise Operations &amp; Risk</t>
  </si>
  <si>
    <t>Risk, Compliance, and Governance</t>
  </si>
  <si>
    <t>Regulatory, Risk, and Compliance</t>
  </si>
  <si>
    <t>Partner</t>
  </si>
  <si>
    <t>Validation Advisor / Lead</t>
  </si>
  <si>
    <t>Validation Lead Offshore</t>
  </si>
  <si>
    <t>Rate</t>
  </si>
  <si>
    <t>Type</t>
  </si>
  <si>
    <t>ServiceNow Architect-Junior-India-Technology</t>
  </si>
  <si>
    <t>0-3 years</t>
  </si>
  <si>
    <t>Agile Coach-Junior-US-Technology</t>
  </si>
  <si>
    <t>Agile Coach-Intermediate-US-Technology</t>
  </si>
  <si>
    <t>3-6 years</t>
  </si>
  <si>
    <t>Agile Coach-Senior-US-Technology</t>
  </si>
  <si>
    <t>6-9 years</t>
  </si>
  <si>
    <t>Agile Coach-Lead-US-Technology</t>
  </si>
  <si>
    <t>9-12 years</t>
  </si>
  <si>
    <t>Agile Coach-Principal-US-Technology</t>
  </si>
  <si>
    <t>12+ years</t>
  </si>
  <si>
    <t>Application Architect-Junior-India-Technology</t>
  </si>
  <si>
    <t>Application Architect-Intermediate-India-Technology</t>
  </si>
  <si>
    <t>Application Architect-Senior-India-Technology</t>
  </si>
  <si>
    <t>Application Architect-Lead-India-Technology</t>
  </si>
  <si>
    <t>Application Architect-Principal-India-Technology</t>
  </si>
  <si>
    <t>Application Developer-Intermediate-India-Technology</t>
  </si>
  <si>
    <t>Application Developer-Junior-India-Technology</t>
  </si>
  <si>
    <t>Application Developer-Senior-India-Technology</t>
  </si>
  <si>
    <t>Application Developer-Lead-India-Technology</t>
  </si>
  <si>
    <t>Application Developer-Principal-India-Technology</t>
  </si>
  <si>
    <t>Artificial Intelligence Architect-Junior-India-Technology</t>
  </si>
  <si>
    <t>Artificial Intelligence Architect-Senior-India-Technology</t>
  </si>
  <si>
    <t>Artificial Intelligence Architect-Intermediate-India-Technology</t>
  </si>
  <si>
    <t>Artificial Intelligence Architect-Lead-India-Technology</t>
  </si>
  <si>
    <t>Artificial Intelligence Architect-Principal-India-Technology</t>
  </si>
  <si>
    <t>Artificial Intelligence Developer-Junior-India-Technology</t>
  </si>
  <si>
    <t>Artificial Intelligence Developer-Senior-India-Technology</t>
  </si>
  <si>
    <t>Artificial Intelligence Developer-Intermediate-India-Technology</t>
  </si>
  <si>
    <t>Artificial Intelligence Developer-Lead-India-Technology</t>
  </si>
  <si>
    <t>Artificial Intelligence Developer-Principal-India-Technology</t>
  </si>
  <si>
    <t>Business Analyst-Intermediate-India-Technology</t>
  </si>
  <si>
    <t>Business Analyst-Junior-India-Technology</t>
  </si>
  <si>
    <t>Business Analyst-Senior-India-Technology</t>
  </si>
  <si>
    <t>Business Analyst-Lead-India-Technology</t>
  </si>
  <si>
    <t>Business Analyst-Principal-India-Technology</t>
  </si>
  <si>
    <t>Business Architect-Intermediate-India-Technology</t>
  </si>
  <si>
    <t>Business Architect-Junior-India-Technology</t>
  </si>
  <si>
    <t>Business Architect-Lead-India-Technology</t>
  </si>
  <si>
    <t>Business Architect-Principal-India-Technology</t>
  </si>
  <si>
    <t>Business Architect-Senior-India-Technology</t>
  </si>
  <si>
    <t>Business Consultant-Intermediate-India-Technology</t>
  </si>
  <si>
    <t>Business Consultant</t>
  </si>
  <si>
    <t>Business Consultant-Junior-India-Technology</t>
  </si>
  <si>
    <t>Business Consultant-Lead-India-Technology</t>
  </si>
  <si>
    <t>Business Consultant-Principal-India-Technology</t>
  </si>
  <si>
    <t>Business Consultant-Senior-India-Technology</t>
  </si>
  <si>
    <t>Change Manager-Intermediate-India-Technology</t>
  </si>
  <si>
    <t>Change Manager-Junior-India-Technology</t>
  </si>
  <si>
    <t>Change Manager-Lead-India-Technology</t>
  </si>
  <si>
    <t>Change Manager-Principal-India-Technology</t>
  </si>
  <si>
    <t>Change Manager-Senior-India-Technology</t>
  </si>
  <si>
    <t>Cloud Architect-Intermediate-India-Technology</t>
  </si>
  <si>
    <t>Cloud Architect</t>
  </si>
  <si>
    <t>Cloud Architect-Junior-India-Technology</t>
  </si>
  <si>
    <t>Cloud Architect-Lead-India-Technology</t>
  </si>
  <si>
    <t>Cloud Architect-Principal-India-Technology</t>
  </si>
  <si>
    <t>Cloud Architect-Senior-India-Technology</t>
  </si>
  <si>
    <t>Cloud Engineer-Intermediate-India-Technology</t>
  </si>
  <si>
    <t>Cloud Engineer</t>
  </si>
  <si>
    <t>Cloud Engineer-Junior-India-Technology</t>
  </si>
  <si>
    <t>Cloud Engineer-Lead-India-Technology</t>
  </si>
  <si>
    <t>Cloud Engineer-Principal-India-Technology</t>
  </si>
  <si>
    <t>Cloud Engineer-Senior-India-Technology</t>
  </si>
  <si>
    <t>Container Engineer-Intermediate-India-Technology</t>
  </si>
  <si>
    <t>Container Engineer</t>
  </si>
  <si>
    <t>Container Engineer-Junior-India-Technology</t>
  </si>
  <si>
    <t>Container Engineer-Lead-India-Technology</t>
  </si>
  <si>
    <t>Container Engineer-Principal-India-Technology</t>
  </si>
  <si>
    <t>Container Engineer-Senior-India-Technology</t>
  </si>
  <si>
    <t>Cyber Security -Analyst-India-Consulting</t>
  </si>
  <si>
    <t>0-1 years</t>
  </si>
  <si>
    <t>Cyber Security -Consultant-India-Consulting</t>
  </si>
  <si>
    <t>1-3 years</t>
  </si>
  <si>
    <t>Cyber Security -Manager-India-Consulting</t>
  </si>
  <si>
    <t>5-7 years</t>
  </si>
  <si>
    <t>Cyber Security -Managing Director-India-Consulting</t>
  </si>
  <si>
    <t>10-15 years</t>
  </si>
  <si>
    <t>Cyber Security -Principal-India-Consulting</t>
  </si>
  <si>
    <t>15+ years</t>
  </si>
  <si>
    <t>Cyber Security -Senior Consultant-India-Consulting</t>
  </si>
  <si>
    <t>3-5 years</t>
  </si>
  <si>
    <t>Cyber Security -Senior Manager-India-Consulting</t>
  </si>
  <si>
    <t>7-10 years</t>
  </si>
  <si>
    <t>Cybersecurity Analyst-Intermediate-India-Technology</t>
  </si>
  <si>
    <t>Cybersecurity Analyst</t>
  </si>
  <si>
    <t>Cybersecurity Analyst-Junior-India-Technology</t>
  </si>
  <si>
    <t>Cybersecurity Analyst-Lead-India-Technology</t>
  </si>
  <si>
    <t>Cybersecurity Analyst-Principal-India-Technology</t>
  </si>
  <si>
    <t>Cybersecurity Analyst-Senior-India-Technology</t>
  </si>
  <si>
    <t>Cybersecurity Assurance Analyst-Intermediate-India-Technology</t>
  </si>
  <si>
    <t>Cybersecurity Assurance Analyst</t>
  </si>
  <si>
    <t>Cybersecurity Assurance Analyst-Junior-India-Technology</t>
  </si>
  <si>
    <t>Cybersecurity Assurance Analyst-Lead-India-Technology</t>
  </si>
  <si>
    <t>Cybersecurity Assurance Analyst-Principal-India-Technology</t>
  </si>
  <si>
    <t>Cybersecurity Assurance Analyst-Senior-India-Technology</t>
  </si>
  <si>
    <t>Cybersecurity Consultant-Intermediate-India-Technology</t>
  </si>
  <si>
    <t>Cybersecurity Consultant-Junior-India-Technology</t>
  </si>
  <si>
    <t>Cybersecurity Consultant-Lead-India-Technology</t>
  </si>
  <si>
    <t>Cybersecurity Consultant-Principal-India-Technology</t>
  </si>
  <si>
    <t>Cybersecurity Consultant-Senior-India-Technology</t>
  </si>
  <si>
    <t>Data Analyst-Intermediate-India-Technology</t>
  </si>
  <si>
    <t>Data Analyst</t>
  </si>
  <si>
    <t>Data Analyst-Junior-India-Technology</t>
  </si>
  <si>
    <t>Data Analyst-Lead-India-Technology</t>
  </si>
  <si>
    <t>Data Analyst-Principal-India-Technology</t>
  </si>
  <si>
    <t>Data Analyst-Senior-India-Technology</t>
  </si>
  <si>
    <t>Data Architect-Intermediate-India-Technology</t>
  </si>
  <si>
    <t>Data Architect</t>
  </si>
  <si>
    <t>Data Architect-Junior-India-Technology</t>
  </si>
  <si>
    <t>Data Architect-Lead-India-Technology</t>
  </si>
  <si>
    <t>Data Architect-Principal-India-Technology</t>
  </si>
  <si>
    <t>Data Architect-Senior-India-Technology</t>
  </si>
  <si>
    <t>Data Engineer-Intermediate-India-Technology</t>
  </si>
  <si>
    <t>Data Engineer</t>
  </si>
  <si>
    <t>Data Engineer-Junior-India-Technology</t>
  </si>
  <si>
    <t>Data Engineer-Lead-India-Technology</t>
  </si>
  <si>
    <t>Data Engineer-Principal-India-Technology</t>
  </si>
  <si>
    <t>Data Engineer-Senior-India-Technology</t>
  </si>
  <si>
    <t>Data Integration Architect-Intermediate-India-Technology</t>
  </si>
  <si>
    <t>Data Integration Architect</t>
  </si>
  <si>
    <t>Data Integration Architect-Junior-India-Technology</t>
  </si>
  <si>
    <t>Data Integration Architect-Lead-India-Technology</t>
  </si>
  <si>
    <t>Data Integration Architect-Principal-India-Technology</t>
  </si>
  <si>
    <t>Data Integration Architect-Senior-India-Technology</t>
  </si>
  <si>
    <t>Data Science Developer-Intermediate-India-Technology</t>
  </si>
  <si>
    <t>Data Science Developer</t>
  </si>
  <si>
    <t>Data Science Developer-Junior-India-Technology</t>
  </si>
  <si>
    <t>Data Science Developer-Lead-India-Technology</t>
  </si>
  <si>
    <t>Data Science Developer-Principal-India-Technology</t>
  </si>
  <si>
    <t>Data Science Developer-Senior-India-Technology</t>
  </si>
  <si>
    <t>Data Visualization Engineer-Intermediate-India-Technology</t>
  </si>
  <si>
    <t>Data Visualization Engineer</t>
  </si>
  <si>
    <t>Data Visualization Engineer-Junior-India-Technology</t>
  </si>
  <si>
    <t>Data Visualization Engineer-Lead-India-Technology</t>
  </si>
  <si>
    <t>Data Visualization Engineer-Principal-India-Technology</t>
  </si>
  <si>
    <t>Data Visualization Engineer-Senior-India-Technology</t>
  </si>
  <si>
    <t>Data Warehouse / Business Intelligence Engineer-Intermediate-India-Technology</t>
  </si>
  <si>
    <t>Data Warehouse / Business Intelligence Engineer</t>
  </si>
  <si>
    <t>Data Warehouse / Business Intelligence Engineer-Junior-India-Technology</t>
  </si>
  <si>
    <t>Data Warehouse / Business Intelligence Engineer-Lead-India-Technology</t>
  </si>
  <si>
    <t>Data Warehouse / Business Intelligence Engineer-Principal-India-Technology</t>
  </si>
  <si>
    <t>Data Warehouse / Business Intelligence Engineer-Senior-India-Technology</t>
  </si>
  <si>
    <t>Database Administrator-Intermediate-India-Technology</t>
  </si>
  <si>
    <t>Database Administrator</t>
  </si>
  <si>
    <t>Database Administrator-Junior-India-Technology</t>
  </si>
  <si>
    <t>Database Administrator-Lead-India-Technology</t>
  </si>
  <si>
    <t>Database Administrator-Principal-India-Technology</t>
  </si>
  <si>
    <t>Database Administrator-Senior-India-Technology</t>
  </si>
  <si>
    <t>Deal Advisory / M&amp;A-Analyst-India-Consulting</t>
  </si>
  <si>
    <t>Deal Advisory / M&amp;A</t>
  </si>
  <si>
    <t>Deal Advisory / M&amp;A-Consultant-India-Consulting</t>
  </si>
  <si>
    <t>Deal Advisory / M&amp;A-Manager-India-Consulting</t>
  </si>
  <si>
    <t>Cyber Security -Managing Director-US-Consulting</t>
  </si>
  <si>
    <t>Deal Advisory / M&amp;A-Principal-India-Consulting</t>
  </si>
  <si>
    <t>Deal Advisory / M&amp;A-Senior Consultant-India-Consulting</t>
  </si>
  <si>
    <t>Deal Advisory / M&amp;A-Senior Manager-India-Consulting</t>
  </si>
  <si>
    <t>Delivery Manager-Intermediate-India-Technology</t>
  </si>
  <si>
    <t>Delivery Manager</t>
  </si>
  <si>
    <t>Delivery Manager-Junior-India-Technology</t>
  </si>
  <si>
    <t>Delivery Manager-Lead-India-Technology</t>
  </si>
  <si>
    <t>Delivery Manager-Principal-India-Technology</t>
  </si>
  <si>
    <t>Delivery Manager-Senior-India-Technology</t>
  </si>
  <si>
    <t>Desktop Engineer-Intermediate-India-Technology</t>
  </si>
  <si>
    <t>Desktop Engineer</t>
  </si>
  <si>
    <t>Desktop Engineer-Junior-India-Technology</t>
  </si>
  <si>
    <t>Desktop Engineer-Lead-India-Technology</t>
  </si>
  <si>
    <t>Desktop Engineer-Principal-India-Technology</t>
  </si>
  <si>
    <t>Desktop Engineer-Senior-India-Technology</t>
  </si>
  <si>
    <t>Developer/Coder-Intermediate-India-Technology</t>
  </si>
  <si>
    <t>Developer/Coder</t>
  </si>
  <si>
    <t>Developer/Coder-Junior-India-Technology</t>
  </si>
  <si>
    <t>Developer/Coder-Lead-India-Technology</t>
  </si>
  <si>
    <t>Developer/Coder-Principal-India-Technology</t>
  </si>
  <si>
    <t>Developer/Coder-Senior-India-Technology</t>
  </si>
  <si>
    <t>DevOps Engineer-Intermediate-India-Technology</t>
  </si>
  <si>
    <t>DevOps Engineer</t>
  </si>
  <si>
    <t>DevOps Engineer-Junior-India-Technology</t>
  </si>
  <si>
    <t>DevOps Engineer-Lead-India-Technology</t>
  </si>
  <si>
    <t>DevOps Engineer-Principal-India-Technology</t>
  </si>
  <si>
    <t>DevOps Engineer-Senior-India-Technology</t>
  </si>
  <si>
    <t>Enterprise Architect-Intermediate-India-Technology</t>
  </si>
  <si>
    <t>Enterprise Architect</t>
  </si>
  <si>
    <t>Enterprise Architect-Junior-India-Technology</t>
  </si>
  <si>
    <t>Enterprise Architect-Lead-India-Technology</t>
  </si>
  <si>
    <t>Enterprise Architect-Principal-India-Technology</t>
  </si>
  <si>
    <t>Enterprise Architect-Senior-India-Technology</t>
  </si>
  <si>
    <t>Functional Consultant-Intermediate-India-Technology</t>
  </si>
  <si>
    <t>Functional Consultant</t>
  </si>
  <si>
    <t>Functional Consultant-Junior-India-Technology</t>
  </si>
  <si>
    <t>Functional Consultant-Lead-India-Technology</t>
  </si>
  <si>
    <t>Functional Consultant-Principal-India-Technology</t>
  </si>
  <si>
    <t>Functional Consultant-Senior-India-Technology</t>
  </si>
  <si>
    <t>Human Capital-Analyst-India-Consulting</t>
  </si>
  <si>
    <t>Human Capital-Consultant-India-Consulting</t>
  </si>
  <si>
    <t>Human Capital-Manager-India-Consulting</t>
  </si>
  <si>
    <t>Deal Advisory / M&amp;A-Managing Director-India-Consulting</t>
  </si>
  <si>
    <t>Human Capital-Principal-India-Consulting</t>
  </si>
  <si>
    <t>Human Capital-Senior Consultant-India-Consulting</t>
  </si>
  <si>
    <t>Human Capital-Senior Manager-India-Consulting</t>
  </si>
  <si>
    <t>Infrastructure Consultant-Intermediate-India-Technology</t>
  </si>
  <si>
    <t>Infrastructure Consultant</t>
  </si>
  <si>
    <t>Infrastructure Consultant-Junior-India-Technology</t>
  </si>
  <si>
    <t>Infrastructure Consultant-Lead-India-Technology</t>
  </si>
  <si>
    <t>Infrastructure Consultant-Principal-India-Technology</t>
  </si>
  <si>
    <t>Infrastructure Consultant-Senior-India-Technology</t>
  </si>
  <si>
    <t>Infrastructure Project Manager-Intermediate-India-Technology</t>
  </si>
  <si>
    <t>Infrastructure Project Manager</t>
  </si>
  <si>
    <t>Infrastructure Project Manager-Junior-India-Technology</t>
  </si>
  <si>
    <t>Infrastructure Project Manager-Lead-India-Technology</t>
  </si>
  <si>
    <t>Infrastructure Project Manager-Principal-India-Technology</t>
  </si>
  <si>
    <t>Infrastructure Project Manager-Senior-India-Technology</t>
  </si>
  <si>
    <t>Integration Engineer-Intermediate-India-Technology</t>
  </si>
  <si>
    <t>Integration Engineer</t>
  </si>
  <si>
    <t>Integration Engineer-Junior-India-Technology</t>
  </si>
  <si>
    <t>Integration Engineer-Lead-India-Technology</t>
  </si>
  <si>
    <t>Integration Engineer-Principal-India-Technology</t>
  </si>
  <si>
    <t>Integration Engineer-Senior-India-Technology</t>
  </si>
  <si>
    <t>Integration Lead-Intermediate-India-Technology</t>
  </si>
  <si>
    <t>Integration Lead</t>
  </si>
  <si>
    <t>Integration Lead-Junior-India-Technology</t>
  </si>
  <si>
    <t>Integration Lead-Lead-India-Technology</t>
  </si>
  <si>
    <t>Integration Lead-Principal-India-Technology</t>
  </si>
  <si>
    <t>Integration Lead-Senior-India-Technology</t>
  </si>
  <si>
    <t>Kubernetes Engineer-Intermediate-India-Technology</t>
  </si>
  <si>
    <t>Kubernetes Engineer</t>
  </si>
  <si>
    <t>Kubernetes Engineer-Junior-India-Technology</t>
  </si>
  <si>
    <t>Kubernetes Engineer-Lead-India-Technology</t>
  </si>
  <si>
    <t>Kubernetes Engineer-Principal-India-Technology</t>
  </si>
  <si>
    <t>Kubernetes Engineer-Senior-India-Technology</t>
  </si>
  <si>
    <t>Network Architect-Intermediate-India-Technology</t>
  </si>
  <si>
    <t>Network Architect</t>
  </si>
  <si>
    <t>Network Architect-Junior-India-Technology</t>
  </si>
  <si>
    <t>Network Architect-Lead-India-Technology</t>
  </si>
  <si>
    <t>Network Architect-Principal-India-Technology</t>
  </si>
  <si>
    <t>Network Architect-Senior-India-Technology</t>
  </si>
  <si>
    <t>Network Engineer-Intermediate-India-Technology</t>
  </si>
  <si>
    <t>Network Engineer</t>
  </si>
  <si>
    <t>Network Engineer-Junior-India-Technology</t>
  </si>
  <si>
    <t>Network Engineer-Lead-India-Technology</t>
  </si>
  <si>
    <t>Network Engineer-Principal-India-Technology</t>
  </si>
  <si>
    <t>Network Engineer-Senior-India-Technology</t>
  </si>
  <si>
    <t>Program Director/ Industry Lead-Intermediate-India-Technology</t>
  </si>
  <si>
    <t>Program Director/ Industry Lead</t>
  </si>
  <si>
    <t>Program Director/ Industry Lead-Junior-India-Technology</t>
  </si>
  <si>
    <t>Program Director/ Industry Lead-Lead-India-Technology</t>
  </si>
  <si>
    <t>Program Director/ Industry Lead-Principal-India-Technology</t>
  </si>
  <si>
    <t>Program Director/ Industry Lead-Senior-India-Technology</t>
  </si>
  <si>
    <t>Program Manager-Intermediate-India-Technology</t>
  </si>
  <si>
    <t>Program Manager-Junior-India-Technology</t>
  </si>
  <si>
    <t>Program Manager-Lead-India-Technology</t>
  </si>
  <si>
    <t>Program Manager-Principal-India-Technology</t>
  </si>
  <si>
    <t>Program Manager-Senior-India-Technology</t>
  </si>
  <si>
    <t>Project Manager-Intermediate-India-Technology</t>
  </si>
  <si>
    <t>Project Manager</t>
  </si>
  <si>
    <t>Project Manager-Junior-India-Technology</t>
  </si>
  <si>
    <t>Project Manager-Lead-India-Technology</t>
  </si>
  <si>
    <t>Project Manager-Principal-India-Technology</t>
  </si>
  <si>
    <t>Project Manager-Senior-India-Technology</t>
  </si>
  <si>
    <t>Scrum Master-Intermediate-India-Technology</t>
  </si>
  <si>
    <t>Scrum Master</t>
  </si>
  <si>
    <t>Scrum Master-Junior-India-Technology</t>
  </si>
  <si>
    <t>Scrum Master-Lead-India-Technology</t>
  </si>
  <si>
    <t>Scrum Master-Principal-India-Technology</t>
  </si>
  <si>
    <t>Scrum Master-Senior-India-Technology</t>
  </si>
  <si>
    <t>Security Architect-Intermediate-India-Technology</t>
  </si>
  <si>
    <t>Security Architect</t>
  </si>
  <si>
    <t>Security Architect-Junior-India-Technology</t>
  </si>
  <si>
    <t>Security Architect-Lead-India-Technology</t>
  </si>
  <si>
    <t>Security Architect-Principal-India-Technology</t>
  </si>
  <si>
    <t>Security Architect-Senior-India-Technology</t>
  </si>
  <si>
    <t>Security Engineer-Intermediate-India-Technology</t>
  </si>
  <si>
    <t>Security Engineer</t>
  </si>
  <si>
    <t>Security Engineer-Junior-India-Technology</t>
  </si>
  <si>
    <t>Security Engineer-Lead-India-Technology</t>
  </si>
  <si>
    <t>Security Engineer-Principal-India-Technology</t>
  </si>
  <si>
    <t>Security Engineer-Senior-India-Technology</t>
  </si>
  <si>
    <t>ServiceNow Architect-Intermediate-India-Technology</t>
  </si>
  <si>
    <t>ServiceNow Architect-Lead-India-Technology</t>
  </si>
  <si>
    <t>ServiceNow Architect-Principal-India-Technology</t>
  </si>
  <si>
    <t>ServiceNow Architect-Senior-India-Technology</t>
  </si>
  <si>
    <t>Software Engineer-Intermediate-India-Technology</t>
  </si>
  <si>
    <t>Software Engineer</t>
  </si>
  <si>
    <t>Software Engineer-Junior-India-Technology</t>
  </si>
  <si>
    <t>Software Engineer-Lead-India-Technology</t>
  </si>
  <si>
    <t>Software Engineer-Principal-India-Technology</t>
  </si>
  <si>
    <t>Software Engineer-Senior-India-Technology</t>
  </si>
  <si>
    <t>Solution Architect-Intermediate-India-Technology</t>
  </si>
  <si>
    <t>Solution Architect-Junior-India-Technology</t>
  </si>
  <si>
    <t>Solution Architect-Lead-India-Technology</t>
  </si>
  <si>
    <t>Solution Architect-Principal-India-Technology</t>
  </si>
  <si>
    <t>Solution Architect-Senior-India-Technology</t>
  </si>
  <si>
    <t>Strategy-Analyst-India-Consulting</t>
  </si>
  <si>
    <t>Strategy</t>
  </si>
  <si>
    <t>Strategy-Consultant-India-Consulting</t>
  </si>
  <si>
    <t>Strategy-Manager-India-Consulting</t>
  </si>
  <si>
    <t>Deal Advisory / M&amp;A-Managing Director-US-Consulting</t>
  </si>
  <si>
    <t>Strategy-Principal-India-Consulting</t>
  </si>
  <si>
    <t>Strategy-Senior Consultant-India-Consulting</t>
  </si>
  <si>
    <t>Strategy-Senior Manager-India-Consulting</t>
  </si>
  <si>
    <t>System Administrator-Intermediate-India-Technology</t>
  </si>
  <si>
    <t>System Administrator</t>
  </si>
  <si>
    <t>System Administrator-Junior-India-Technology</t>
  </si>
  <si>
    <t>System Administrator-Lead-India-Technology</t>
  </si>
  <si>
    <t>System Administrator-Principal-India-Technology</t>
  </si>
  <si>
    <t>System Administrator-Senior-India-Technology</t>
  </si>
  <si>
    <t>Systems Engineer-Intermediate-India-Technology</t>
  </si>
  <si>
    <t>Systems Engineer</t>
  </si>
  <si>
    <t>Systems Engineer-Junior-India-Technology</t>
  </si>
  <si>
    <t>Systems Engineer-Lead-India-Technology</t>
  </si>
  <si>
    <t>Systems Engineer-Principal-India-Technology</t>
  </si>
  <si>
    <t>Systems Engineer-Senior-India-Technology</t>
  </si>
  <si>
    <t>Systems Implementation Consultant-Intermediate-India-Technology</t>
  </si>
  <si>
    <t>Systems Implementation Consultant</t>
  </si>
  <si>
    <t>Systems Implementation Consultant-Junior-India-Technology</t>
  </si>
  <si>
    <t>Systems Implementation Consultant-Lead-India-Technology</t>
  </si>
  <si>
    <t>Systems Implementation Consultant-Principal-India-Technology</t>
  </si>
  <si>
    <t>Systems Implementation Consultant-Senior-India-Technology</t>
  </si>
  <si>
    <t>Tech Consultant-Intermediate-India-Technology</t>
  </si>
  <si>
    <t>Tech Consultant-Junior-India-Technology</t>
  </si>
  <si>
    <t>Tech Consultant-Lead-India-Technology</t>
  </si>
  <si>
    <t>Tech Consultant-Principal-India-Technology</t>
  </si>
  <si>
    <t>Tech Consultant-Senior-India-Technology</t>
  </si>
  <si>
    <t>Technical Analyst-Intermediate-India-Technology</t>
  </si>
  <si>
    <t>Technical Analyst</t>
  </si>
  <si>
    <t>Technical Analyst-Junior-India-Technology</t>
  </si>
  <si>
    <t>Technical Analyst-Lead-India-Technology</t>
  </si>
  <si>
    <t>Technical Analyst-Principal-India-Technology</t>
  </si>
  <si>
    <t>Technical Analyst-Senior-India-Technology</t>
  </si>
  <si>
    <t>Technical Architect-Intermediate-India-Technology</t>
  </si>
  <si>
    <t>Technical Architect</t>
  </si>
  <si>
    <t>Technical Architect-Junior-India-Technology</t>
  </si>
  <si>
    <t>Technical Architect-Lead-India-Technology</t>
  </si>
  <si>
    <t>Technical Architect-Principal-India-Technology</t>
  </si>
  <si>
    <t>Technical Architect-Senior-India-Technology</t>
  </si>
  <si>
    <t>Technical Consultant-Intermediate-India-Technology</t>
  </si>
  <si>
    <t>Technical Consultant</t>
  </si>
  <si>
    <t>Technical Consultant-Junior-India-Technology</t>
  </si>
  <si>
    <t>Technical Consultant-Lead-India-Technology</t>
  </si>
  <si>
    <t>Technical Consultant-Principal-India-Technology</t>
  </si>
  <si>
    <t>Technical Consultant-Senior-India-Technology</t>
  </si>
  <si>
    <t>Technical Writer-Intermediate-India-Technology</t>
  </si>
  <si>
    <t>Technical Writer</t>
  </si>
  <si>
    <t>Technical Writer-Junior-India-Technology</t>
  </si>
  <si>
    <t>Technical Writer-Lead-India-Technology</t>
  </si>
  <si>
    <t>Technical Writer-Principal-India-Technology</t>
  </si>
  <si>
    <t>Technical Writer-Senior-India-Technology</t>
  </si>
  <si>
    <t>Technical/Functional Team Lead-Intermediate-India-Technology</t>
  </si>
  <si>
    <t>Technical/Functional Team Lead</t>
  </si>
  <si>
    <t>Technical/Functional Team Lead-Junior-India-Technology</t>
  </si>
  <si>
    <t>Technical/Functional Team Lead-Lead-India-Technology</t>
  </si>
  <si>
    <t>Technical/Functional Team Lead-Principal-India-Technology</t>
  </si>
  <si>
    <t>Technical/Functional Team Lead-Senior-India-Technology</t>
  </si>
  <si>
    <t>Technology-Analyst-India-Consulting</t>
  </si>
  <si>
    <t>Technology-Consultant-India-Consulting</t>
  </si>
  <si>
    <t>Technology-Manager-India-Consulting</t>
  </si>
  <si>
    <t>Human Capital-Managing Director-India-Consulting</t>
  </si>
  <si>
    <t>Technology-Principal-India-Consulting</t>
  </si>
  <si>
    <t>Technology-Senior Consultant-India-Consulting</t>
  </si>
  <si>
    <t>Technology-Senior Manager-India-Consulting</t>
  </si>
  <si>
    <t>Technology Analyst-Intermediate-India-Technology</t>
  </si>
  <si>
    <t>Technology Analyst</t>
  </si>
  <si>
    <t>Technology Analyst-Junior-India-Technology</t>
  </si>
  <si>
    <t>Technology Analyst-Lead-India-Technology</t>
  </si>
  <si>
    <t>Technology Analyst-Principal-India-Technology</t>
  </si>
  <si>
    <t>Technology Analyst-Senior-India-Technology</t>
  </si>
  <si>
    <t>Test Engineer-Intermediate-India-Technology</t>
  </si>
  <si>
    <t>Test Engineer</t>
  </si>
  <si>
    <t>Test Engineer-Junior-India-Technology</t>
  </si>
  <si>
    <t>Test Engineer-Lead-India-Technology</t>
  </si>
  <si>
    <t>Test Engineer-Principal-India-Technology</t>
  </si>
  <si>
    <t>Test Engineer-Senior-India-Technology</t>
  </si>
  <si>
    <t>UX Designer-Intermediate-India-Technology</t>
  </si>
  <si>
    <t>UX Designer</t>
  </si>
  <si>
    <t>UX Designer-Junior-India-Technology</t>
  </si>
  <si>
    <t>UX Designer-Lead-India-Technology</t>
  </si>
  <si>
    <t>UX Designer-Principal-India-Technology</t>
  </si>
  <si>
    <t>UX Designer-Senior-India-Technology</t>
  </si>
  <si>
    <t>Agile Coach-Junior-India-Technology</t>
  </si>
  <si>
    <t>Agile Coach-Intermediate-India-Technology</t>
  </si>
  <si>
    <t>Agile Coach-Senior-India-Technology</t>
  </si>
  <si>
    <t>Agile Coach-Lead-India-Technology</t>
  </si>
  <si>
    <t>Agile Coach-Principal-India-Technology</t>
  </si>
  <si>
    <t>Application Architect-Junior-US-Technology</t>
  </si>
  <si>
    <t>Application Architect-Intermediate-US-Technology</t>
  </si>
  <si>
    <t>Application Architect-Senior-US-Technology</t>
  </si>
  <si>
    <t>Application Architect-Lead-US-Technology</t>
  </si>
  <si>
    <t>Application Architect-Principal-US-Technology</t>
  </si>
  <si>
    <t>Application Developer-Junior-US-Technology</t>
  </si>
  <si>
    <t>Application Developer-Intermediate-US-Technology</t>
  </si>
  <si>
    <t>Application Developer-Senior-US-Technology</t>
  </si>
  <si>
    <t>Application Developer-Lead-US-Technology</t>
  </si>
  <si>
    <t>Application Developer-Principal-US-Technology</t>
  </si>
  <si>
    <t>Artificial Intelligence Architect-Junior-US-Technology</t>
  </si>
  <si>
    <t>Artificial Intelligence Architect-Intermediate-US-Technology</t>
  </si>
  <si>
    <t>Artificial Intelligence Architect-Senior-US-Technology</t>
  </si>
  <si>
    <t>Artificial Intelligence Architect-Lead-US-Technology</t>
  </si>
  <si>
    <t>Artificial Intelligence Architect-Principal-US-Technology</t>
  </si>
  <si>
    <t>Artificial Intelligence Developer-Junior-US-Technology</t>
  </si>
  <si>
    <t>Artificial Intelligence Developer-Intermediate-US-Technology</t>
  </si>
  <si>
    <t>Artificial Intelligence Developer-Senior-US-Technology</t>
  </si>
  <si>
    <t>Artificial Intelligence Developer-Lead-US-Technology</t>
  </si>
  <si>
    <t>Artificial Intelligence Developer-Principal-US-Technology</t>
  </si>
  <si>
    <t>Business Analyst-Junior-US-Technology</t>
  </si>
  <si>
    <t>Business Analyst-Intermediate-US-Technology</t>
  </si>
  <si>
    <t>Business Analyst-Senior-US-Technology</t>
  </si>
  <si>
    <t>Business Analyst-Lead-US-Technology</t>
  </si>
  <si>
    <t>Business Analyst-Principal-US-Technology</t>
  </si>
  <si>
    <t>Business Architect-Intermediate-US-Technology</t>
  </si>
  <si>
    <t>Business Architect-Junior-US-Technology</t>
  </si>
  <si>
    <t>Business Architect-Lead-US-Technology</t>
  </si>
  <si>
    <t>Business Architect-Principal-US-Technology</t>
  </si>
  <si>
    <t>Business Architect-Senior-US-Technology</t>
  </si>
  <si>
    <t>Business Consultant-Intermediate-US-Technology</t>
  </si>
  <si>
    <t>Business Consultant-Junior-US-Technology</t>
  </si>
  <si>
    <t>Business Consultant-Lead-US-Technology</t>
  </si>
  <si>
    <t>Business Consultant-Principal-US-Technology</t>
  </si>
  <si>
    <t>Business Consultant-Senior-US-Technology</t>
  </si>
  <si>
    <t>Change Manager-Intermediate-US-Technology</t>
  </si>
  <si>
    <t>Change Manager-Junior-US-Technology</t>
  </si>
  <si>
    <t>Change Manager-Lead-US-Technology</t>
  </si>
  <si>
    <t>Change Manager-Principal-US-Technology</t>
  </si>
  <si>
    <t>Change Manager-Senior-US-Technology</t>
  </si>
  <si>
    <t>Cloud Architect-Intermediate-US-Technology</t>
  </si>
  <si>
    <t>Cloud Architect-Junior-US-Technology</t>
  </si>
  <si>
    <t>Cloud Architect-Lead-US-Technology</t>
  </si>
  <si>
    <t>Cloud Architect-Principal-US-Technology</t>
  </si>
  <si>
    <t>Cloud Architect-Senior-US-Technology</t>
  </si>
  <si>
    <t>Cloud Engineer-Intermediate-US-Technology</t>
  </si>
  <si>
    <t>Cloud Engineer-Junior-US-Technology</t>
  </si>
  <si>
    <t>Cloud Engineer-Lead-US-Technology</t>
  </si>
  <si>
    <t>Cloud Engineer-Principal-US-Technology</t>
  </si>
  <si>
    <t>Cloud Engineer-Senior-US-Technology</t>
  </si>
  <si>
    <t>Container Engineer-Intermediate-US-Technology</t>
  </si>
  <si>
    <t>Container Engineer-Junior-US-Technology</t>
  </si>
  <si>
    <t>Container Engineer-Lead-US-Technology</t>
  </si>
  <si>
    <t>Container Engineer-Principal-US-Technology</t>
  </si>
  <si>
    <t>Container Engineer-Senior-US-Technology</t>
  </si>
  <si>
    <t>Cyber Security -Analyst-US-Consulting</t>
  </si>
  <si>
    <t>Cyber Security -Consultant-US-Consulting</t>
  </si>
  <si>
    <t>Cyber Security -Manager-US-Consulting</t>
  </si>
  <si>
    <t>Human Capital-Managing Director-US-Consulting</t>
  </si>
  <si>
    <t>Cyber Security -Principal-US-Consulting</t>
  </si>
  <si>
    <t>Cyber Security -Senior Consultant-US-Consulting</t>
  </si>
  <si>
    <t>Cyber Security -Senior Manager-US-Consulting</t>
  </si>
  <si>
    <t>Cybersecurity Analyst-Intermediate-US-Technology</t>
  </si>
  <si>
    <t>Cybersecurity Analyst-Junior-US-Technology</t>
  </si>
  <si>
    <t>Cybersecurity Analyst-Lead-US-Technology</t>
  </si>
  <si>
    <t>Cybersecurity Analyst-Principal-US-Technology</t>
  </si>
  <si>
    <t>Cybersecurity Analyst-Senior-US-Technology</t>
  </si>
  <si>
    <t>Cybersecurity Assurance Analyst-Intermediate-US-Technology</t>
  </si>
  <si>
    <t>Cybersecurity Assurance Analyst-Junior-US-Technology</t>
  </si>
  <si>
    <t>Cybersecurity Assurance Analyst-Lead-US-Technology</t>
  </si>
  <si>
    <t>Cybersecurity Assurance Analyst-Principal-US-Technology</t>
  </si>
  <si>
    <t>Cybersecurity Assurance Analyst-Senior-US-Technology</t>
  </si>
  <si>
    <t>Cybersecurity Consultant-Intermediate-US-Technology</t>
  </si>
  <si>
    <t>Cybersecurity Consultant-Junior-US-Technology</t>
  </si>
  <si>
    <t>Cybersecurity Consultant-Lead-US-Technology</t>
  </si>
  <si>
    <t>Cybersecurity Consultant-Principal-US-Technology</t>
  </si>
  <si>
    <t>Cybersecurity Consultant-Senior-US-Technology</t>
  </si>
  <si>
    <t>Data Analyst-Intermediate-US-Technology</t>
  </si>
  <si>
    <t>Data Analyst-Junior-US-Technology</t>
  </si>
  <si>
    <t>Data Analyst-Lead-US-Technology</t>
  </si>
  <si>
    <t>Data Analyst-Principal-US-Technology</t>
  </si>
  <si>
    <t>Data Analyst-Senior-US-Technology</t>
  </si>
  <si>
    <t>Data Architect-Intermediate-US-Technology</t>
  </si>
  <si>
    <t>Data Architect-Junior-US-Technology</t>
  </si>
  <si>
    <t>Data Architect-Lead-US-Technology</t>
  </si>
  <si>
    <t>Data Architect-Principal-US-Technology</t>
  </si>
  <si>
    <t>Data Architect-Senior-US-Technology</t>
  </si>
  <si>
    <t>Data Engineer-Intermediate-US-Technology</t>
  </si>
  <si>
    <t>Data Engineer-Junior-US-Technology</t>
  </si>
  <si>
    <t>Data Engineer-Lead-US-Technology</t>
  </si>
  <si>
    <t>Data Engineer-Principal-US-Technology</t>
  </si>
  <si>
    <t>Data Engineer-Senior-US-Technology</t>
  </si>
  <si>
    <t>Data Integration Architect-Intermediate-US-Technology</t>
  </si>
  <si>
    <t>Data Integration Architect-Junior-US-Technology</t>
  </si>
  <si>
    <t>Data Integration Architect-Lead-US-Technology</t>
  </si>
  <si>
    <t>Data Integration Architect-Principal-US-Technology</t>
  </si>
  <si>
    <t>Data Integration Architect-Senior-US-Technology</t>
  </si>
  <si>
    <t>Data Science Developer-Intermediate-US-Technology</t>
  </si>
  <si>
    <t>Data Science Developer-Junior-US-Technology</t>
  </si>
  <si>
    <t>Data Science Developer-Lead-US-Technology</t>
  </si>
  <si>
    <t>Data Science Developer-Principal-US-Technology</t>
  </si>
  <si>
    <t>Data Science Developer-Senior-US-Technology</t>
  </si>
  <si>
    <t>Data Visualization Engineer-Intermediate-US-Technology</t>
  </si>
  <si>
    <t>Data Visualization Engineer-Junior-US-Technology</t>
  </si>
  <si>
    <t>Data Visualization Engineer-Lead-US-Technology</t>
  </si>
  <si>
    <t>Data Visualization Engineer-Principal-US-Technology</t>
  </si>
  <si>
    <t>Data Visualization Engineer-Senior-US-Technology</t>
  </si>
  <si>
    <t>Data Warehouse / Business Intelligence Engineer-Intermediate-US-Technology</t>
  </si>
  <si>
    <t>Data Warehouse / Business Intelligence Engineer-Junior-US-Technology</t>
  </si>
  <si>
    <t>Data Warehouse / Business Intelligence Engineer-Lead-US-Technology</t>
  </si>
  <si>
    <t>Data Warehouse / Business Intelligence Engineer-Principal-US-Technology</t>
  </si>
  <si>
    <t>Data Warehouse / Business Intelligence Engineer-Senior-US-Technology</t>
  </si>
  <si>
    <t>Database Administrator-Intermediate-US-Technology</t>
  </si>
  <si>
    <t>Database Administrator-Junior-US-Technology</t>
  </si>
  <si>
    <t>Database Administrator-Lead-US-Technology</t>
  </si>
  <si>
    <t>Database Administrator-Principal-US-Technology</t>
  </si>
  <si>
    <t>Database Administrator-Senior-US-Technology</t>
  </si>
  <si>
    <t>Deal Advisory / M&amp;A-Analyst-US-Consulting</t>
  </si>
  <si>
    <t>Deal Advisory / M&amp;A-Consultant-US-Consulting</t>
  </si>
  <si>
    <t>Deal Advisory / M&amp;A-Manager-US-Consulting</t>
  </si>
  <si>
    <t>Strategy-Managing Director-India-Consulting</t>
  </si>
  <si>
    <t>Deal Advisory / M&amp;A-Principal-US-Consulting</t>
  </si>
  <si>
    <t>Deal Advisory / M&amp;A-Senior Consultant-US-Consulting</t>
  </si>
  <si>
    <t>Deal Advisory / M&amp;A-Senior Manager-US-Consulting</t>
  </si>
  <si>
    <t>Delivery Manager-Intermediate-US-Technology</t>
  </si>
  <si>
    <t>Delivery Manager-Junior-US-Technology</t>
  </si>
  <si>
    <t>Delivery Manager-Lead-US-Technology</t>
  </si>
  <si>
    <t>Delivery Manager-Principal-US-Technology</t>
  </si>
  <si>
    <t>Delivery Manager-Senior-US-Technology</t>
  </si>
  <si>
    <t>Desktop Engineer-Intermediate-US-Technology</t>
  </si>
  <si>
    <t>Desktop Engineer-Junior-US-Technology</t>
  </si>
  <si>
    <t>Desktop Engineer-Lead-US-Technology</t>
  </si>
  <si>
    <t>Desktop Engineer-Principal-US-Technology</t>
  </si>
  <si>
    <t>Desktop Engineer-Senior-US-Technology</t>
  </si>
  <si>
    <t>Developer/Coder-Intermediate-US-Technology</t>
  </si>
  <si>
    <t>Developer/Coder-Junior-US-Technology</t>
  </si>
  <si>
    <t>Developer/Coder-Lead-US-Technology</t>
  </si>
  <si>
    <t>Developer/Coder-Principal-US-Technology</t>
  </si>
  <si>
    <t>Developer/Coder-Senior-US-Technology</t>
  </si>
  <si>
    <t>DevOps Engineer-Intermediate-US-Technology</t>
  </si>
  <si>
    <t>DevOps Engineer-Junior-US-Technology</t>
  </si>
  <si>
    <t>DevOps Engineer-Lead-US-Technology</t>
  </si>
  <si>
    <t>DevOps Engineer-Principal-US-Technology</t>
  </si>
  <si>
    <t>DevOps Engineer-Senior-US-Technology</t>
  </si>
  <si>
    <t>Enterprise Architect-Intermediate-US-Technology</t>
  </si>
  <si>
    <t>Enterprise Architect-Junior-US-Technology</t>
  </si>
  <si>
    <t>Enterprise Architect-Lead-US-Technology</t>
  </si>
  <si>
    <t>Enterprise Architect-Principal-US-Technology</t>
  </si>
  <si>
    <t>Enterprise Architect-Senior-US-Technology</t>
  </si>
  <si>
    <t>Functional Consultant-Intermediate-US-Technology</t>
  </si>
  <si>
    <t>Functional Consultant-Junior-US-Technology</t>
  </si>
  <si>
    <t>Functional Consultant-Lead-US-Technology</t>
  </si>
  <si>
    <t>Functional Consultant-Principal-US-Technology</t>
  </si>
  <si>
    <t>Functional Consultant-Senior-US-Technology</t>
  </si>
  <si>
    <t>Human Capital-Analyst-US-Consulting</t>
  </si>
  <si>
    <t>Human Capital-Consultant-US-Consulting</t>
  </si>
  <si>
    <t>Human Capital-Manager-US-Consulting</t>
  </si>
  <si>
    <t>Strategy-Managing Director-US-Consulting</t>
  </si>
  <si>
    <t>Human Capital-Principal-US-Consulting</t>
  </si>
  <si>
    <t>Human Capital-Senior Consultant-US-Consulting</t>
  </si>
  <si>
    <t>Human Capital-Senior Manager-US-Consulting</t>
  </si>
  <si>
    <t>Infrastructure Consultant-Intermediate-US-Technology</t>
  </si>
  <si>
    <t>Infrastructure Consultant-Junior-US-Technology</t>
  </si>
  <si>
    <t>Infrastructure Consultant-Lead-US-Technology</t>
  </si>
  <si>
    <t>Infrastructure Consultant-Principal-US-Technology</t>
  </si>
  <si>
    <t>Infrastructure Consultant-Senior-US-Technology</t>
  </si>
  <si>
    <t>Infrastructure Project Manager-Intermediate-US-Technology</t>
  </si>
  <si>
    <t>Infrastructure Project Manager-Junior-US-Technology</t>
  </si>
  <si>
    <t>Infrastructure Project Manager-Lead-US-Technology</t>
  </si>
  <si>
    <t>Infrastructure Project Manager-Principal-US-Technology</t>
  </si>
  <si>
    <t>Infrastructure Project Manager-Senior-US-Technology</t>
  </si>
  <si>
    <t>Integration Engineer-Intermediate-US-Technology</t>
  </si>
  <si>
    <t>Integration Engineer-Junior-US-Technology</t>
  </si>
  <si>
    <t>Integration Engineer-Lead-US-Technology</t>
  </si>
  <si>
    <t>Integration Engineer-Principal-US-Technology</t>
  </si>
  <si>
    <t>Integration Engineer-Senior-US-Technology</t>
  </si>
  <si>
    <t>Integration Lead-Intermediate-US-Technology</t>
  </si>
  <si>
    <t>Integration Lead-Junior-US-Technology</t>
  </si>
  <si>
    <t>Integration Lead-Lead-US-Technology</t>
  </si>
  <si>
    <t>Integration Lead-Principal-US-Technology</t>
  </si>
  <si>
    <t>Integration Lead-Senior-US-Technology</t>
  </si>
  <si>
    <t>Kubernetes Engineer-Intermediate-US-Technology</t>
  </si>
  <si>
    <t>Kubernetes Engineer-Junior-US-Technology</t>
  </si>
  <si>
    <t>Kubernetes Engineer-Lead-US-Technology</t>
  </si>
  <si>
    <t>Kubernetes Engineer-Principal-US-Technology</t>
  </si>
  <si>
    <t>Kubernetes Engineer-Senior-US-Technology</t>
  </si>
  <si>
    <t>Network Architect-Intermediate-US-Technology</t>
  </si>
  <si>
    <t>Network Architect-Junior-US-Technology</t>
  </si>
  <si>
    <t>Network Architect-Lead-US-Technology</t>
  </si>
  <si>
    <t>Network Architect-Principal-US-Technology</t>
  </si>
  <si>
    <t>Network Architect-Senior-US-Technology</t>
  </si>
  <si>
    <t>Network Engineer-Intermediate-US-Technology</t>
  </si>
  <si>
    <t>Network Engineer-Junior-US-Technology</t>
  </si>
  <si>
    <t>Network Engineer-Lead-US-Technology</t>
  </si>
  <si>
    <t>Network Engineer-Principal-US-Technology</t>
  </si>
  <si>
    <t>Network Engineer-Senior-US-Technology</t>
  </si>
  <si>
    <t>Program Director/ Industry Lead-Intermediate-US-Technology</t>
  </si>
  <si>
    <t>Program Director/ Industry Lead-Junior-US-Technology</t>
  </si>
  <si>
    <t>Program Director/ Industry Lead-Lead-US-Technology</t>
  </si>
  <si>
    <t>Program Director/ Industry Lead-Principal-US-Technology</t>
  </si>
  <si>
    <t>Program Director/ Industry Lead-Senior-US-Technology</t>
  </si>
  <si>
    <t>Program Manager-Intermediate-US-Technology</t>
  </si>
  <si>
    <t>Program Manager-Junior-US-Technology</t>
  </si>
  <si>
    <t>Program Manager-Lead-US-Technology</t>
  </si>
  <si>
    <t>Program Manager-Principal-US-Technology</t>
  </si>
  <si>
    <t>Program Manager-Senior-US-Technology</t>
  </si>
  <si>
    <t>Project Manager-Intermediate-US-Technology</t>
  </si>
  <si>
    <t>Project Manager-Junior-US-Technology</t>
  </si>
  <si>
    <t>Project Manager-Lead-US-Technology</t>
  </si>
  <si>
    <t>Project Manager-Principal-US-Technology</t>
  </si>
  <si>
    <t>Project Manager-Senior-US-Technology</t>
  </si>
  <si>
    <t>Scrum Master-Intermediate-US-Technology</t>
  </si>
  <si>
    <t>Scrum Master-Junior-US-Technology</t>
  </si>
  <si>
    <t>Scrum Master-Lead-US-Technology</t>
  </si>
  <si>
    <t>Scrum Master-Principal-US-Technology</t>
  </si>
  <si>
    <t>Scrum Master-Senior-US-Technology</t>
  </si>
  <si>
    <t>Security Architect-Intermediate-US-Technology</t>
  </si>
  <si>
    <t>Security Architect-Junior-US-Technology</t>
  </si>
  <si>
    <t>Security Architect-Lead-US-Technology</t>
  </si>
  <si>
    <t>Security Architect-Principal-US-Technology</t>
  </si>
  <si>
    <t>Security Architect-Senior-US-Technology</t>
  </si>
  <si>
    <t>Security Engineer-Intermediate-US-Technology</t>
  </si>
  <si>
    <t>Security Engineer-Junior-US-Technology</t>
  </si>
  <si>
    <t>Security Engineer-Lead-US-Technology</t>
  </si>
  <si>
    <t>Security Engineer-Principal-US-Technology</t>
  </si>
  <si>
    <t>Security Engineer-Senior-US-Technology</t>
  </si>
  <si>
    <t>ServiceNow Architect-Intermediate-US-Technology</t>
  </si>
  <si>
    <t>ServiceNow Architect-Junior-US-Technology</t>
  </si>
  <si>
    <t>ServiceNow Architect-Lead-US-Technology</t>
  </si>
  <si>
    <t>ServiceNow Architect-Principal-US-Technology</t>
  </si>
  <si>
    <t>ServiceNow Architect-Senior-US-Technology</t>
  </si>
  <si>
    <t>Software Engineer-Intermediate-US-Technology</t>
  </si>
  <si>
    <t>Software Engineer-Junior-US-Technology</t>
  </si>
  <si>
    <t>Software Engineer-Lead-US-Technology</t>
  </si>
  <si>
    <t>Software Engineer-Principal-US-Technology</t>
  </si>
  <si>
    <t>Software Engineer-Senior-US-Technology</t>
  </si>
  <si>
    <t>Solution Architect-Intermediate-US-Technology</t>
  </si>
  <si>
    <t>Solution Architect-Junior-US-Technology</t>
  </si>
  <si>
    <t>Solution Architect-Lead-US-Technology</t>
  </si>
  <si>
    <t>Solution Architect-Principal-US-Technology</t>
  </si>
  <si>
    <t>Solution Architect-Senior-US-Technology</t>
  </si>
  <si>
    <t>Strategy-Analyst-US-Consulting</t>
  </si>
  <si>
    <t>Strategy-Consultant-US-Consulting</t>
  </si>
  <si>
    <t>Strategy-Manager-US-Consulting</t>
  </si>
  <si>
    <t>Technology-Managing Director-India-Consulting</t>
  </si>
  <si>
    <t>Strategy-Principal-US-Consulting</t>
  </si>
  <si>
    <t>Strategy-Senior Consultant-US-Consulting</t>
  </si>
  <si>
    <t>Strategy-Senior Manager-US-Consulting</t>
  </si>
  <si>
    <t>System Administrator-Intermediate-US-Technology</t>
  </si>
  <si>
    <t>System Administrator-Junior-US-Technology</t>
  </si>
  <si>
    <t>System Administrator-Lead-US-Technology</t>
  </si>
  <si>
    <t>System Administrator-Principal-US-Technology</t>
  </si>
  <si>
    <t>System Administrator-Senior-US-Technology</t>
  </si>
  <si>
    <t>Systems Engineer-Intermediate-US-Technology</t>
  </si>
  <si>
    <t>Systems Engineer-Junior-US-Technology</t>
  </si>
  <si>
    <t>Systems Engineer-Lead-US-Technology</t>
  </si>
  <si>
    <t>Systems Engineer-Principal-US-Technology</t>
  </si>
  <si>
    <t>Systems Engineer-Senior-US-Technology</t>
  </si>
  <si>
    <t>Systems Implementation Consultant-Intermediate-US-Technology</t>
  </si>
  <si>
    <t>Systems Implementation Consultant-Junior-US-Technology</t>
  </si>
  <si>
    <t>Systems Implementation Consultant-Lead-US-Technology</t>
  </si>
  <si>
    <t>Systems Implementation Consultant-Principal-US-Technology</t>
  </si>
  <si>
    <t>Systems Implementation Consultant-Senior-US-Technology</t>
  </si>
  <si>
    <t>Tech Consultant-Intermediate-US-Technology</t>
  </si>
  <si>
    <t>Tech Consultant-Junior-US-Technology</t>
  </si>
  <si>
    <t>Tech Consultant-Lead-US-Technology</t>
  </si>
  <si>
    <t>Tech Consultant-Principal-US-Technology</t>
  </si>
  <si>
    <t>Tech Consultant-Senior-US-Technology</t>
  </si>
  <si>
    <t>Technical Analyst-Intermediate-US-Technology</t>
  </si>
  <si>
    <t>Technical Analyst-Junior-US-Technology</t>
  </si>
  <si>
    <t>Technical Analyst-Lead-US-Technology</t>
  </si>
  <si>
    <t>Technical Analyst-Principal-US-Technology</t>
  </si>
  <si>
    <t>Technical Analyst-Senior-US-Technology</t>
  </si>
  <si>
    <t>Technical Architect-Intermediate-US-Technology</t>
  </si>
  <si>
    <t>Technical Architect-Junior-US-Technology</t>
  </si>
  <si>
    <t>Technical Architect-Lead-US-Technology</t>
  </si>
  <si>
    <t>Technical Architect-Principal-US-Technology</t>
  </si>
  <si>
    <t>Technical Architect-Senior-US-Technology</t>
  </si>
  <si>
    <t>Technical Consultant-Intermediate-US-Technology</t>
  </si>
  <si>
    <t>Technical Consultant-Junior-US-Technology</t>
  </si>
  <si>
    <t>Technical Consultant-Lead-US-Technology</t>
  </si>
  <si>
    <t>Technical Consultant-Principal-US-Technology</t>
  </si>
  <si>
    <t>Technical Consultant-Senior-US-Technology</t>
  </si>
  <si>
    <t>Technical Writer-Intermediate-US-Technology</t>
  </si>
  <si>
    <t>Technical Writer-Junior-US-Technology</t>
  </si>
  <si>
    <t>Technical Writer-Lead-US-Technology</t>
  </si>
  <si>
    <t>Technical Writer-Principal-US-Technology</t>
  </si>
  <si>
    <t>Technical Writer-Senior-US-Technology</t>
  </si>
  <si>
    <t>Technical/Functional Team Lead-Intermediate-US-Technology</t>
  </si>
  <si>
    <t>Technical/Functional Team Lead-Junior-US-Technology</t>
  </si>
  <si>
    <t>Technical/Functional Team Lead-Lead-US-Technology</t>
  </si>
  <si>
    <t>Technical/Functional Team Lead-Principal-US-Technology</t>
  </si>
  <si>
    <t>Technical/Functional Team Lead-Senior-US-Technology</t>
  </si>
  <si>
    <t>Technology-Analyst-US-Consulting</t>
  </si>
  <si>
    <t>Technology-Consultant-US-Consulting</t>
  </si>
  <si>
    <t>Technology-Manager-US-Consulting</t>
  </si>
  <si>
    <t>Technology-Managing Director-US-Consulting</t>
  </si>
  <si>
    <t>Technology-Principal-US-Consulting</t>
  </si>
  <si>
    <t>Technology-Senior Consultant-US-Consulting</t>
  </si>
  <si>
    <t>Technology-Senior Manager-US-Consulting</t>
  </si>
  <si>
    <t>Technology Analyst-Intermediate-US-Technology</t>
  </si>
  <si>
    <t>Technology Analyst-Junior-US-Technology</t>
  </si>
  <si>
    <t>Technology Analyst-Lead-US-Technology</t>
  </si>
  <si>
    <t>Technology Analyst-Principal-US-Technology</t>
  </si>
  <si>
    <t>Technology Analyst-Senior-US-Technology</t>
  </si>
  <si>
    <t>Test Engineer-Intermediate-US-Technology</t>
  </si>
  <si>
    <t>Test Engineer-Junior-US-Technology</t>
  </si>
  <si>
    <t>Test Engineer-Lead-US-Technology</t>
  </si>
  <si>
    <t>Test Engineer-Principal-US-Technology</t>
  </si>
  <si>
    <t>Test Engineer-Senior-US-Technology</t>
  </si>
  <si>
    <t>UX Designer-Intermediate-US-Technology</t>
  </si>
  <si>
    <t>UX Designer-Junior-US-Technology</t>
  </si>
  <si>
    <t>UX Designer-Lead-US-Technology</t>
  </si>
  <si>
    <t>UX Designer-Principal-US-Technology</t>
  </si>
  <si>
    <t>UX Designer-Senior-US-Technology</t>
  </si>
  <si>
    <t>Validation-Partner-US-Consulting</t>
  </si>
  <si>
    <t>Validation-Senior Manager-US-Consulting</t>
  </si>
  <si>
    <t>Validation-Manager-India-Consulting</t>
  </si>
  <si>
    <t>Validation-Senior Consultant-India-Consulting</t>
  </si>
  <si>
    <t>Validation-Consultant-India-Consulting</t>
  </si>
  <si>
    <t>Validation-Analyst-India-Consulting</t>
  </si>
  <si>
    <t>Human Capital-Manager-Mexico-Consulting</t>
  </si>
  <si>
    <t>Human Capital-Senior Consultant-Mexico-Consulting</t>
  </si>
  <si>
    <t>Human Capital-Consultant-Mexico-Consulting</t>
  </si>
  <si>
    <t>Tax Advisory-Partner-US-Tax</t>
  </si>
  <si>
    <t>Tax Advisory-Managing Director-US-Tax</t>
  </si>
  <si>
    <t>Tax Advisory-Senior Manager-US-Tax</t>
  </si>
  <si>
    <t>Tax Advisory-Manager-US-Tax</t>
  </si>
  <si>
    <t>Tax Advisory-Senior Consultant-US-Tax</t>
  </si>
  <si>
    <t>Tax Advisory-Consultant-US-Tax</t>
  </si>
  <si>
    <t>Tax Advisory-Principal-India-Tax</t>
  </si>
  <si>
    <t>N/A</t>
  </si>
  <si>
    <t>Tax Advisory-Managing Director-India-Tax</t>
  </si>
  <si>
    <t>Tax Advisory-Senior Manager-India-Tax</t>
  </si>
  <si>
    <t>Tax Advisory-Manager-India-Tax</t>
  </si>
  <si>
    <t>Tax Advisory-Senior Consultant-India-Tax</t>
  </si>
  <si>
    <t>Tax Advisory-Consultant-India-Tax</t>
  </si>
  <si>
    <t>#</t>
  </si>
  <si>
    <t>Invoice Description</t>
  </si>
  <si>
    <t>Invoice Amount</t>
  </si>
  <si>
    <t>Invoice Date</t>
  </si>
  <si>
    <t>Scoping Kick off</t>
  </si>
  <si>
    <t>Scoping Phase - 2</t>
  </si>
  <si>
    <t>Project Kick off</t>
  </si>
  <si>
    <t>Design Sprint 1</t>
  </si>
  <si>
    <t>Design Sprint 2</t>
  </si>
  <si>
    <t>Design Sprint 3</t>
  </si>
  <si>
    <t>Design Sprint 4</t>
  </si>
  <si>
    <t>Design Sprint 5</t>
  </si>
  <si>
    <t>Build Sprint 1</t>
  </si>
  <si>
    <t>Build Sprint 2</t>
  </si>
  <si>
    <t>Build Sprint 3</t>
  </si>
  <si>
    <t>Build Sprint 4</t>
  </si>
  <si>
    <t>Build Sprint 5</t>
  </si>
  <si>
    <t>Build Sprint 6</t>
  </si>
  <si>
    <t>SIT1</t>
  </si>
  <si>
    <t>UAT</t>
  </si>
  <si>
    <t>Dry Run Completed</t>
  </si>
  <si>
    <t>Final Cutover and Go-Live</t>
  </si>
  <si>
    <t>Hypercare Completed</t>
  </si>
  <si>
    <t>Invoiced Amount after Holdback</t>
  </si>
  <si>
    <t>Holdback Amount</t>
  </si>
  <si>
    <t>Remaining Holdback</t>
  </si>
  <si>
    <t>Cumulative Remaining Holdback</t>
  </si>
  <si>
    <t>Penalty @5%</t>
  </si>
  <si>
    <t>Penalty 7%</t>
  </si>
  <si>
    <t>Penalty 10%</t>
  </si>
  <si>
    <t>Holdback Release %</t>
  </si>
  <si>
    <t>Stage Gate 1 - Holdback Release 1</t>
  </si>
  <si>
    <t>Holdback %</t>
  </si>
  <si>
    <t>Stage Gate 2 - Holdback Release 2</t>
  </si>
  <si>
    <t>50% of the holdback gets released at the Holdback release stage gates and 50% gets put in a purse for the last Holdback Release 5</t>
  </si>
  <si>
    <t>Penalty on Holdback %</t>
  </si>
  <si>
    <t>Stage Gate 3 - Holdback Release 3</t>
  </si>
  <si>
    <t>2 - 4 weeks late on milestone</t>
  </si>
  <si>
    <t>4 - 6 weeks late on milstone</t>
  </si>
  <si>
    <t>6 - 8 weeks late on milestone</t>
  </si>
  <si>
    <t>&gt;8 Weeks late on milestone</t>
  </si>
  <si>
    <t>Stage Gate 4 - Holdback Relase 4</t>
  </si>
  <si>
    <t>Total penalty risk:</t>
  </si>
  <si>
    <t>Assumption</t>
  </si>
  <si>
    <t>PTD-Warehouse &amp; Logistics</t>
  </si>
  <si>
    <t xml:space="preserve">3PL Testing Scope - 3PL interfaces will be tested per variation per 3PL provider. Testing will not be carried out for each 3PL site (or Plants)
3PL resources also covers for XPS integration to integrate with the different carriers in scope
Warehouse Automation resource is required to manage different integrations in scope - Cartonization, MES, Lotus (picking), etc. </t>
  </si>
  <si>
    <t>Project 2 to run SAP report STOCKROOM_COMPLIANCE_CHECK  (refer SAP Note 2882809) for warehouses in ECC to validate LE-WM functionality that falls outside the Stock Room Management scope. Review the fallowing functionality Cross-Docking, Yard Management, Wave Management, Value Added Services, Task &amp; Resource Management, Decentral WM, and Warehouse Control Interface.</t>
  </si>
  <si>
    <t>PTD-MFG</t>
  </si>
  <si>
    <t xml:space="preserve">Staffing covers - PP, QM, PM &amp; Planning
PP - </t>
  </si>
  <si>
    <t xml:space="preserve">PTP  </t>
  </si>
  <si>
    <t>Vistex upgrade will follow same project plan timeline and guidelines as S4.</t>
  </si>
  <si>
    <t>Integration</t>
  </si>
  <si>
    <r>
      <rPr>
        <sz val="11"/>
        <color theme="1"/>
        <rFont val="Calibri"/>
        <family val="2"/>
        <charset val="1"/>
      </rPr>
      <t xml:space="preserve"> - Training material development includes Quick Reference Guide modality for </t>
    </r>
    <r>
      <rPr>
        <sz val="11"/>
        <color rgb="FFFF0000"/>
        <rFont val="Calibri"/>
        <family val="2"/>
        <charset val="1"/>
      </rPr>
      <t>X number</t>
    </r>
    <r>
      <rPr>
        <sz val="11"/>
        <color theme="1"/>
        <rFont val="Calibri"/>
        <family val="2"/>
        <charset val="1"/>
      </rPr>
      <t xml:space="preserve"> of estimated Remediate Processes and instructor-led and/or web-based training modality for</t>
    </r>
    <r>
      <rPr>
        <sz val="11"/>
        <color rgb="FFFF0000"/>
        <rFont val="Calibri"/>
        <family val="2"/>
        <charset val="1"/>
      </rPr>
      <t xml:space="preserve"> X number</t>
    </r>
    <r>
      <rPr>
        <sz val="11"/>
        <color theme="1"/>
        <rFont val="Calibri"/>
        <family val="2"/>
        <charset val="1"/>
      </rPr>
      <t xml:space="preserve"> of estimated Reimagine processes </t>
    </r>
    <r>
      <rPr>
        <sz val="11"/>
        <color rgb="FFFF0000"/>
        <rFont val="Calibri"/>
        <family val="2"/>
        <charset val="1"/>
      </rPr>
      <t xml:space="preserve">[insert total # of learning hrs or  # of documents assumed this would include]
</t>
    </r>
    <r>
      <rPr>
        <sz val="11"/>
        <color theme="1"/>
        <rFont val="Calibri"/>
        <family val="2"/>
        <charset val="1"/>
      </rPr>
      <t xml:space="preserve">- Training material development efforts assume permissible use of  Claude AI, availability of Storyline articulate or similar simulation development/web-authoring tools provided by Project 2
-Any licensing requirement for developing &amp; delivering training content (e.g., Storyline, SAP WalkMe Learning Arc) will be Project 2's responsibility
- Training content will be limited  to one global set of materials with no country/regional/site specific localizations
- All communications and training materials will be developed in English; Project 2 is responsible for translating materials into local languages
 - Change and communications in a global hub with regional spoke OCM delivery model, with Deloitte support enabling the Global Hub and Project 2 support enabling both the Global Hub and the Regional OCM delivery
- Project 2 owns development and delivery of external communications as needed. Consultant may support identification of external communications needs and tracking as part of overall communications plan
- Project 2 will be primarily responsible for documenting/updating any Business Standard Operating Procedure (SOP) and Work Instruction (WI)
 </t>
    </r>
  </si>
  <si>
    <t>1. The current estimates are based on the assumption that SAP ODS will be remediated. SAP Business Data Cloud (BDC) is not accounted for in the current scope, as that decision will be made during the scoping phase.
2. No new reports will be built and no existing reports will be remediated.
3. 75 SAP ODS objects will be remediated.
4. 25 new SAP ODS objects will be built.
5. All other SAP ODS objects will be repointed to S/4HANA as-is, with no remediation efforts.
6. Project 2 will be responsible for any changes required in Databricks, Snowflake, or other downstream systems resulting from the SAP ODS changes.</t>
  </si>
  <si>
    <r>
      <rPr>
        <b/>
        <u/>
        <sz val="11"/>
        <color theme="1"/>
        <rFont val="Calibri"/>
        <family val="2"/>
        <charset val="1"/>
      </rPr>
      <t xml:space="preserve">Tax SAP and Vertex Scope
</t>
    </r>
    <r>
      <rPr>
        <sz val="11"/>
        <color theme="1"/>
        <rFont val="Calibri"/>
        <family val="2"/>
        <charset val="1"/>
      </rPr>
      <t xml:space="preserve">- Implementation of Vertex O-Series with Vertex Accelerator for US and Canada Only
- Migration of Tax Codes for all other countries in scope for 48 countries
- Configuration of extended withholding tax codes for 48 countries
- Brazil is out of scope
</t>
    </r>
    <r>
      <rPr>
        <b/>
        <u/>
        <sz val="11"/>
        <color theme="1"/>
        <rFont val="Calibri"/>
        <family val="2"/>
        <charset val="1"/>
      </rPr>
      <t xml:space="preserve">DRC
</t>
    </r>
    <r>
      <rPr>
        <sz val="11"/>
        <color theme="1"/>
        <rFont val="Calibri"/>
        <family val="2"/>
        <charset val="1"/>
      </rPr>
      <t xml:space="preserve">- Functional Scope - DRC AP/AR e-invoicing for Italy, Germany, Belgium
- Brazil is out of scope
- Relevant DRC SAP OSS notes inventory application with Basis team
</t>
    </r>
  </si>
  <si>
    <t>ABAP Objects</t>
  </si>
  <si>
    <t>Enhance Objects</t>
  </si>
  <si>
    <t>‘New’ RICEFW Objects</t>
  </si>
  <si>
    <t>As per RFP Page 11</t>
  </si>
  <si>
    <t>Low</t>
  </si>
  <si>
    <t>Medium</t>
  </si>
  <si>
    <t>High</t>
  </si>
  <si>
    <t>Reports</t>
  </si>
  <si>
    <t>Interfaces</t>
  </si>
  <si>
    <t>Conversions</t>
  </si>
  <si>
    <t>Enhancements</t>
  </si>
  <si>
    <t>Forms</t>
  </si>
  <si>
    <t>Workflows</t>
  </si>
  <si>
    <t>Fiori</t>
  </si>
  <si>
    <t>Process Area</t>
  </si>
  <si>
    <t>RICEFW Type</t>
  </si>
  <si>
    <t>Category</t>
  </si>
  <si>
    <t>No. of Objects</t>
  </si>
  <si>
    <t>Complexity</t>
  </si>
  <si>
    <t>RICEFW Description</t>
  </si>
  <si>
    <t>Adopt</t>
  </si>
  <si>
    <t>Report</t>
  </si>
  <si>
    <t>Enhance</t>
  </si>
  <si>
    <t>Interface</t>
  </si>
  <si>
    <t>New</t>
  </si>
  <si>
    <t>Conversion</t>
  </si>
  <si>
    <t>Enhancement</t>
  </si>
  <si>
    <t>Workflow</t>
  </si>
  <si>
    <t>Prework</t>
  </si>
  <si>
    <t>Discover</t>
  </si>
  <si>
    <t>Design</t>
  </si>
  <si>
    <t>Build</t>
  </si>
  <si>
    <t>Hypercare</t>
  </si>
  <si>
    <t>Business/IT</t>
  </si>
  <si>
    <t>Business PMO</t>
  </si>
  <si>
    <t>IT</t>
  </si>
  <si>
    <t>IT PMO</t>
  </si>
  <si>
    <t>Cross</t>
  </si>
  <si>
    <t>Order Fullfilment and GATP SME</t>
  </si>
  <si>
    <t>Procurement SME</t>
  </si>
  <si>
    <t>IT - Procurement</t>
  </si>
  <si>
    <t>Manufacturing/QM SME</t>
  </si>
  <si>
    <t>Logistics SME</t>
  </si>
  <si>
    <t>Manufacturing/QM IT SME</t>
  </si>
  <si>
    <t>Logistics IT SME</t>
  </si>
  <si>
    <t>Technology Lead</t>
  </si>
  <si>
    <t>Basis Lead</t>
  </si>
  <si>
    <t>Data Lead</t>
  </si>
  <si>
    <t>Data IT SMEs</t>
  </si>
  <si>
    <t>Security Lead</t>
  </si>
  <si>
    <t>Change Management Lead</t>
  </si>
  <si>
    <t>GTS</t>
  </si>
  <si>
    <t>Global Trade SME</t>
  </si>
  <si>
    <t>Snowflake</t>
  </si>
  <si>
    <t>Snowflake lead</t>
  </si>
  <si>
    <t>FTEs</t>
  </si>
  <si>
    <t>Define</t>
  </si>
  <si>
    <t>Template Validation and Delta Design</t>
  </si>
  <si>
    <t>ITC1</t>
  </si>
  <si>
    <t>ITC2</t>
  </si>
  <si>
    <t>Resource Cohort</t>
  </si>
  <si>
    <t>Blank</t>
  </si>
  <si>
    <t>Year 2 Rates</t>
  </si>
  <si>
    <t>FY26-P9</t>
  </si>
  <si>
    <t>FY27-P1</t>
  </si>
  <si>
    <t>US Core</t>
  </si>
  <si>
    <t>Malaysia Engagement Lead</t>
  </si>
  <si>
    <t>Malaysia</t>
  </si>
  <si>
    <t>Sr Manager</t>
  </si>
  <si>
    <t>USI</t>
  </si>
  <si>
    <t>Jr Staff</t>
  </si>
  <si>
    <t>Solution Arch</t>
  </si>
  <si>
    <t>SAP Solution Architect</t>
  </si>
  <si>
    <t>SAP Solution Consultant</t>
  </si>
  <si>
    <t>PTP Direct</t>
  </si>
  <si>
    <t>Direct Procurement</t>
  </si>
  <si>
    <t>Manufacturing</t>
  </si>
  <si>
    <t>PTD Lead</t>
  </si>
  <si>
    <t>Planning / APO</t>
  </si>
  <si>
    <t>Sr Consultant</t>
  </si>
  <si>
    <t>PP/QM</t>
  </si>
  <si>
    <t>Logistics / Warehouse</t>
  </si>
  <si>
    <t xml:space="preserve">MM/IM </t>
  </si>
  <si>
    <t>Development Lead</t>
  </si>
  <si>
    <t>ABAP Developer</t>
  </si>
  <si>
    <t>Data Consultant</t>
  </si>
  <si>
    <t>Security Consultant</t>
  </si>
  <si>
    <t>OWC</t>
  </si>
  <si>
    <t>OCM SME</t>
  </si>
  <si>
    <t>OCM Lead</t>
  </si>
  <si>
    <t>OCM Support</t>
  </si>
  <si>
    <t xml:space="preserve">Quality Review </t>
  </si>
  <si>
    <t>Principal/Partner/ Managing Director</t>
  </si>
  <si>
    <t>Workstream Lead</t>
  </si>
  <si>
    <t>GTA Regulatory</t>
  </si>
  <si>
    <t>USI Consultant - Compliance</t>
  </si>
  <si>
    <t>AI &amp; Engineering</t>
  </si>
  <si>
    <t>AI &amp; Data</t>
  </si>
  <si>
    <t>Project Lead</t>
  </si>
  <si>
    <t>Reporting &amp; Data Lead</t>
  </si>
  <si>
    <t>Reporting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</si>
</sst>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_);_(@_)"/>
    <numFmt numFmtId="165" formatCode="_(\$* #,##0.00_);_(\$* \(#,##0.00\);_(\$* \-??_);_(@_)"/>
    <numFmt numFmtId="166" formatCode="yyyy"/>
    <numFmt numFmtId="167" formatCode="mmm"/>
    <numFmt numFmtId="168" formatCode="dd"/>
    <numFmt numFmtId="169" formatCode="[$-409]d\-mmm\-yy;@"/>
    <numFmt numFmtId="170" formatCode="_(\$* #,##0_);_(\$* \(#,##0\);_(\$* \-??_);_(@_)"/>
    <numFmt numFmtId="171" formatCode="\$#,##0_);[Red]&quot;($&quot;#,##0\)"/>
    <numFmt numFmtId="172" formatCode="0.0%"/>
    <numFmt numFmtId="173" formatCode="_(* #,##0_);_(* \(#,##0\);_(* \-??_);_(@_)"/>
    <numFmt numFmtId="174" formatCode="\$#,##0"/>
    <numFmt numFmtId="175" formatCode="\$#,##0.00"/>
    <numFmt numFmtId="176" formatCode="m/d/yy;@"/>
    <numFmt numFmtId="177" formatCode="\$#,##0.00_);[Red]&quot;($&quot;#,##0.00\)"/>
    <numFmt numFmtId="178" formatCode="_(* #,##0.0_);_(* \(#,##0.0\);_(* \-??_);_(@_)"/>
  </numFmts>
  <fonts count="52">
    <font>
      <sz val="11"/>
      <color theme="1"/>
      <name val="Calibri"/>
      <family val="2"/>
      <charset val="1"/>
    </font>
    <font>
      <sz val="10"/>
      <name val="Arial"/>
      <family val="2"/>
    </font>
    <font>
      <sz val="10"/>
      <name val="Arial"/>
      <family val="2"/>
      <charset val="1"/>
    </font>
    <font>
      <u/>
      <sz val="11"/>
      <color theme="10"/>
      <name val="Calibri"/>
      <family val="2"/>
      <charset val="1"/>
    </font>
    <font>
      <sz val="10"/>
      <color theme="1"/>
      <name val="Calibri"/>
      <family val="2"/>
      <charset val="1"/>
    </font>
    <font>
      <b/>
      <sz val="11"/>
      <color theme="1"/>
      <name val="Calibri"/>
      <family val="2"/>
      <charset val="1"/>
    </font>
    <font>
      <sz val="9"/>
      <color theme="1"/>
      <name val="Calibri"/>
      <family val="2"/>
      <charset val="1"/>
    </font>
    <font>
      <sz val="9"/>
      <color theme="0"/>
      <name val="Calibri"/>
      <family val="2"/>
      <charset val="1"/>
    </font>
    <font>
      <b/>
      <sz val="7"/>
      <name val="Open Sans Regular"/>
      <charset val="1"/>
    </font>
    <font>
      <b/>
      <sz val="7"/>
      <color theme="1"/>
      <name val="Open Sans Regular"/>
      <charset val="1"/>
    </font>
    <font>
      <b/>
      <sz val="7"/>
      <color theme="0"/>
      <name val="Open Sans Regular"/>
      <charset val="1"/>
    </font>
    <font>
      <sz val="7"/>
      <color theme="1"/>
      <name val="Open Sans Regular"/>
      <charset val="1"/>
    </font>
    <font>
      <sz val="7"/>
      <color theme="1"/>
      <name val="Calibri"/>
      <family val="2"/>
      <charset val="1"/>
    </font>
    <font>
      <sz val="9"/>
      <name val="Calibri"/>
      <family val="2"/>
      <charset val="1"/>
    </font>
    <font>
      <b/>
      <sz val="9"/>
      <color theme="0"/>
      <name val="Calibri"/>
      <family val="2"/>
      <charset val="1"/>
    </font>
    <font>
      <b/>
      <sz val="9"/>
      <color theme="1"/>
      <name val="Calibri"/>
      <family val="2"/>
      <charset val="1"/>
    </font>
    <font>
      <sz val="7"/>
      <color theme="1"/>
      <name val="Open Sans"/>
      <family val="2"/>
      <charset val="1"/>
    </font>
    <font>
      <sz val="7"/>
      <color theme="1"/>
      <name val="Open Sans"/>
      <family val="2"/>
    </font>
    <font>
      <sz val="7"/>
      <color theme="0"/>
      <name val="Open Sans Regular"/>
      <charset val="1"/>
    </font>
    <font>
      <b/>
      <sz val="11"/>
      <color theme="0"/>
      <name val="Calibri"/>
      <family val="2"/>
      <charset val="1"/>
    </font>
    <font>
      <sz val="11"/>
      <color theme="0"/>
      <name val="Calibri"/>
      <family val="2"/>
      <charset val="1"/>
    </font>
    <font>
      <sz val="11"/>
      <color rgb="FFFF0000"/>
      <name val="Calibri"/>
      <family val="2"/>
      <charset val="1"/>
    </font>
    <font>
      <b/>
      <sz val="11"/>
      <color theme="0"/>
      <name val="Open Sans Regular"/>
      <charset val="1"/>
    </font>
    <font>
      <b/>
      <sz val="11"/>
      <color theme="1"/>
      <name val="Open Sans Regular"/>
      <charset val="1"/>
    </font>
    <font>
      <b/>
      <sz val="11"/>
      <name val="Open Sans Regular"/>
      <charset val="1"/>
    </font>
    <font>
      <b/>
      <sz val="10"/>
      <color theme="1"/>
      <name val="Calibri"/>
      <family val="2"/>
      <charset val="1"/>
    </font>
    <font>
      <i/>
      <sz val="10"/>
      <color theme="1"/>
      <name val="Calibri"/>
      <family val="2"/>
      <charset val="1"/>
    </font>
    <font>
      <b/>
      <i/>
      <sz val="10"/>
      <color theme="1"/>
      <name val="Calibri"/>
      <family val="2"/>
      <charset val="1"/>
    </font>
    <font>
      <sz val="10"/>
      <color theme="0"/>
      <name val="Calibri"/>
      <family val="2"/>
      <charset val="1"/>
    </font>
    <font>
      <sz val="10"/>
      <name val="Calibri"/>
      <family val="2"/>
      <charset val="1"/>
    </font>
    <font>
      <sz val="11"/>
      <name val="Calibri"/>
      <family val="2"/>
      <charset val="1"/>
    </font>
    <font>
      <b/>
      <sz val="11"/>
      <name val="Calibri"/>
      <family val="2"/>
      <charset val="1"/>
    </font>
    <font>
      <sz val="11"/>
      <color rgb="FF000000"/>
      <name val="Calibri"/>
      <family val="2"/>
      <charset val="1"/>
    </font>
    <font>
      <b/>
      <sz val="11"/>
      <color rgb="FFFF0000"/>
      <name val="Calibri"/>
      <family val="2"/>
      <charset val="1"/>
    </font>
    <font>
      <sz val="11"/>
      <name val="Aptos Narrow"/>
      <family val="2"/>
    </font>
    <font>
      <sz val="10"/>
      <color theme="1"/>
      <name val="Arial"/>
      <family val="2"/>
    </font>
    <font>
      <i/>
      <sz val="11"/>
      <color theme="0"/>
      <name val="Calibri"/>
      <family val="2"/>
      <charset val="1"/>
    </font>
    <font>
      <b/>
      <sz val="11"/>
      <color theme="0"/>
      <name val="Avenir Next World Demi"/>
      <charset val="1"/>
    </font>
    <font>
      <sz val="11"/>
      <color rgb="FF000000"/>
      <name val="Aptos Narrow"/>
      <family val="2"/>
    </font>
    <font>
      <sz val="10"/>
      <color rgb="FF000000"/>
      <name val="Calibri"/>
      <family val="2"/>
      <charset val="1"/>
    </font>
    <font>
      <b/>
      <sz val="10"/>
      <color rgb="FF000000"/>
      <name val="Calibri"/>
      <family val="2"/>
      <charset val="1"/>
    </font>
    <font>
      <b/>
      <sz val="10"/>
      <color theme="0"/>
      <name val="Calibri"/>
      <family val="2"/>
      <charset val="1"/>
    </font>
    <font>
      <b/>
      <sz val="10"/>
      <name val="Calibri"/>
      <family val="2"/>
      <charset val="1"/>
    </font>
    <font>
      <sz val="10"/>
      <color rgb="FF000000"/>
      <name val="Open Sans"/>
      <family val="2"/>
    </font>
    <font>
      <b/>
      <sz val="10"/>
      <color rgb="FF000000"/>
      <name val="Open Sans"/>
      <family val="2"/>
    </font>
    <font>
      <i/>
      <sz val="11"/>
      <color theme="1"/>
      <name val="Calibri"/>
      <family val="2"/>
      <charset val="1"/>
    </font>
    <font>
      <sz val="11"/>
      <color rgb="FF000000"/>
      <name val="Aptos Narrow"/>
      <family val="2"/>
      <charset val="1"/>
    </font>
    <font>
      <b/>
      <u/>
      <sz val="11"/>
      <color theme="1"/>
      <name val="Calibri"/>
      <family val="2"/>
      <charset val="1"/>
    </font>
    <font>
      <sz val="11"/>
      <color theme="1"/>
      <name val="Calibri Light"/>
      <family val="2"/>
      <charset val="1"/>
    </font>
    <font>
      <sz val="11"/>
      <color theme="1"/>
      <name val="Calibri Light"/>
      <family val="2"/>
    </font>
    <font>
      <sz val="10"/>
      <color rgb="FF000000"/>
      <name val="Avenir Next World"/>
      <charset val="1"/>
    </font>
    <font>
      <sz val="11"/>
      <color theme="1"/>
      <name val="Calibri"/>
      <family val="2"/>
      <charset val="1"/>
    </font>
  </fonts>
  <fills count="47">
    <fill>
      <patternFill patternType="none"/>
    </fill>
    <fill>
      <patternFill patternType="gray125"/>
    </fill>
    <fill>
      <patternFill patternType="solid">
        <fgColor rgb="FF0070C0"/>
        <bgColor rgb="FF0563C1"/>
      </patternFill>
    </fill>
    <fill>
      <patternFill patternType="solid">
        <fgColor rgb="FF00B0F0"/>
        <bgColor rgb="FF0070C0"/>
      </patternFill>
    </fill>
    <fill>
      <patternFill patternType="solid">
        <fgColor theme="4" tint="-0.499984740745262"/>
        <bgColor rgb="FF002060"/>
      </patternFill>
    </fill>
    <fill>
      <patternFill patternType="solid">
        <fgColor theme="2" tint="-0.249977111117893"/>
        <bgColor rgb="FFAEAAAA"/>
      </patternFill>
    </fill>
    <fill>
      <patternFill patternType="solid">
        <fgColor rgb="FF92D050"/>
        <bgColor rgb="FF70AD47"/>
      </patternFill>
    </fill>
    <fill>
      <patternFill patternType="solid">
        <fgColor theme="0" tint="-0.34998626667073579"/>
        <bgColor rgb="FFA5A5A5"/>
      </patternFill>
    </fill>
    <fill>
      <patternFill patternType="solid">
        <fgColor rgb="FFFFC000"/>
        <bgColor rgb="FFFFFF00"/>
      </patternFill>
    </fill>
    <fill>
      <patternFill patternType="solid">
        <fgColor theme="9" tint="-0.499984740745262"/>
        <bgColor rgb="FF535353"/>
      </patternFill>
    </fill>
    <fill>
      <patternFill patternType="solid">
        <fgColor rgb="FF7030A0"/>
        <bgColor rgb="FF800080"/>
      </patternFill>
    </fill>
    <fill>
      <patternFill patternType="solid">
        <fgColor theme="4" tint="0.79989013336588644"/>
        <bgColor rgb="FFDEEBF7"/>
      </patternFill>
    </fill>
    <fill>
      <patternFill patternType="solid">
        <fgColor theme="4" tint="0.39988402966399123"/>
        <bgColor rgb="FFADB9CA"/>
      </patternFill>
    </fill>
    <fill>
      <patternFill patternType="solid">
        <fgColor theme="4" tint="-0.249977111117893"/>
        <bgColor rgb="FF44546A"/>
      </patternFill>
    </fill>
    <fill>
      <patternFill patternType="solid">
        <fgColor theme="2" tint="-0.499984740745262"/>
        <bgColor rgb="FF7C7C7C"/>
      </patternFill>
    </fill>
    <fill>
      <patternFill patternType="solid">
        <fgColor theme="1"/>
        <bgColor rgb="FF140F4B"/>
      </patternFill>
    </fill>
    <fill>
      <patternFill patternType="solid">
        <fgColor theme="5"/>
        <bgColor rgb="FFFFC000"/>
      </patternFill>
    </fill>
    <fill>
      <patternFill patternType="solid">
        <fgColor theme="3"/>
        <bgColor rgb="FF535353"/>
      </patternFill>
    </fill>
    <fill>
      <patternFill patternType="solid">
        <fgColor theme="4"/>
        <bgColor rgb="FF2F5597"/>
      </patternFill>
    </fill>
    <fill>
      <patternFill patternType="solid">
        <fgColor theme="9" tint="-0.249977111117893"/>
        <bgColor rgb="FF767171"/>
      </patternFill>
    </fill>
    <fill>
      <patternFill patternType="solid">
        <fgColor theme="4" tint="0.59987182226020086"/>
        <bgColor rgb="FFBDD7EE"/>
      </patternFill>
    </fill>
    <fill>
      <patternFill patternType="solid">
        <fgColor theme="7" tint="0.59987182226020086"/>
        <bgColor rgb="FFFFF2CC"/>
      </patternFill>
    </fill>
    <fill>
      <patternFill patternType="solid">
        <fgColor theme="9" tint="0.79989013336588644"/>
        <bgColor rgb="FFE7E6E6"/>
      </patternFill>
    </fill>
    <fill>
      <patternFill patternType="solid">
        <fgColor theme="5" tint="0.59987182226020086"/>
        <bgColor rgb="FFFFE699"/>
      </patternFill>
    </fill>
    <fill>
      <patternFill patternType="solid">
        <fgColor theme="9"/>
        <bgColor rgb="FF7AAC21"/>
      </patternFill>
    </fill>
    <fill>
      <patternFill patternType="solid">
        <fgColor theme="6"/>
        <bgColor rgb="FFA6A6A6"/>
      </patternFill>
    </fill>
    <fill>
      <patternFill patternType="solid">
        <fgColor theme="5" tint="0.79989013336588644"/>
        <bgColor rgb="FFFFF2CC"/>
      </patternFill>
    </fill>
    <fill>
      <patternFill patternType="solid">
        <fgColor theme="8" tint="0.79989013336588644"/>
        <bgColor rgb="FFDAE3F3"/>
      </patternFill>
    </fill>
    <fill>
      <patternFill patternType="solid">
        <fgColor rgb="FF00B050"/>
        <bgColor rgb="FF00B0F0"/>
      </patternFill>
    </fill>
    <fill>
      <patternFill patternType="solid">
        <fgColor theme="8" tint="0.59987182226020086"/>
        <bgColor rgb="FFB4C7E7"/>
      </patternFill>
    </fill>
    <fill>
      <patternFill patternType="solid">
        <fgColor theme="9" tint="0.59987182226020086"/>
        <bgColor rgb="FFC6E0B4"/>
      </patternFill>
    </fill>
    <fill>
      <patternFill patternType="solid">
        <fgColor theme="6" tint="0.39988402966399123"/>
        <bgColor rgb="FFD0CECE"/>
      </patternFill>
    </fill>
    <fill>
      <patternFill patternType="solid">
        <fgColor theme="6" tint="-0.499984740745262"/>
        <bgColor rgb="FF44546A"/>
      </patternFill>
    </fill>
    <fill>
      <patternFill patternType="solid">
        <fgColor rgb="FF7AAC21"/>
        <bgColor rgb="FF70AD47"/>
      </patternFill>
    </fill>
    <fill>
      <patternFill patternType="solid">
        <fgColor rgb="FFC6E0B4"/>
        <bgColor rgb="FFC5E0B4"/>
      </patternFill>
    </fill>
    <fill>
      <patternFill patternType="solid">
        <fgColor rgb="FFAEAAAA"/>
        <bgColor rgb="FFAFABAB"/>
      </patternFill>
    </fill>
    <fill>
      <patternFill patternType="solid">
        <fgColor theme="6" tint="-0.249977111117893"/>
        <bgColor rgb="FF7F7F7F"/>
      </patternFill>
    </fill>
    <fill>
      <patternFill patternType="solid">
        <fgColor rgb="FFFFFF00"/>
        <bgColor rgb="FFFFC000"/>
      </patternFill>
    </fill>
    <fill>
      <patternFill patternType="solid">
        <fgColor rgb="FF140F4B"/>
        <bgColor rgb="FF002060"/>
      </patternFill>
    </fill>
    <fill>
      <patternFill patternType="solid">
        <fgColor theme="0"/>
        <bgColor rgb="FFFFF2CC"/>
      </patternFill>
    </fill>
    <fill>
      <patternFill patternType="solid">
        <fgColor theme="7" tint="0.79989013336588644"/>
        <bgColor rgb="FFFBE5D6"/>
      </patternFill>
    </fill>
    <fill>
      <patternFill patternType="solid">
        <fgColor theme="3" tint="0.79989013336588644"/>
        <bgColor rgb="FFDAE3F3"/>
      </patternFill>
    </fill>
    <fill>
      <patternFill patternType="solid">
        <fgColor theme="1" tint="0.49989318521683401"/>
        <bgColor rgb="FF7C7C7C"/>
      </patternFill>
    </fill>
    <fill>
      <patternFill patternType="solid">
        <fgColor theme="8"/>
        <bgColor rgb="FF8FAADC"/>
      </patternFill>
    </fill>
    <fill>
      <patternFill patternType="solid">
        <fgColor theme="3" tint="0.59987182226020086"/>
        <bgColor rgb="FFAFABAB"/>
      </patternFill>
    </fill>
    <fill>
      <patternFill patternType="solid">
        <fgColor rgb="FF002060"/>
        <bgColor rgb="FF140F4B"/>
      </patternFill>
    </fill>
    <fill>
      <patternFill patternType="solid">
        <fgColor theme="2"/>
        <bgColor rgb="FFDEEBF7"/>
      </patternFill>
    </fill>
  </fills>
  <borders count="54">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2" tint="-9.9978637043366805E-2"/>
      </right>
      <top/>
      <bottom/>
      <diagonal/>
    </border>
    <border>
      <left style="thin">
        <color theme="2" tint="-9.9978637043366805E-2"/>
      </left>
      <right style="thin">
        <color theme="2" tint="-9.9978637043366805E-2"/>
      </right>
      <top/>
      <bottom/>
      <diagonal/>
    </border>
    <border>
      <left style="thin">
        <color theme="2" tint="-9.9978637043366805E-2"/>
      </left>
      <right/>
      <top/>
      <bottom/>
      <diagonal/>
    </border>
    <border>
      <left style="thin">
        <color theme="0"/>
      </left>
      <right style="thin">
        <color theme="2" tint="-9.9978637043366805E-2"/>
      </right>
      <top style="thin">
        <color theme="0"/>
      </top>
      <bottom style="thin">
        <color theme="0"/>
      </bottom>
      <diagonal/>
    </border>
    <border>
      <left style="thin">
        <color theme="2" tint="-9.9978637043366805E-2"/>
      </left>
      <right style="thin">
        <color theme="2" tint="-9.9978637043366805E-2"/>
      </right>
      <top style="thin">
        <color theme="0"/>
      </top>
      <bottom style="thin">
        <color theme="0"/>
      </bottom>
      <diagonal/>
    </border>
    <border>
      <left style="thin">
        <color theme="2" tint="-9.9978637043366805E-2"/>
      </left>
      <right/>
      <top style="thin">
        <color theme="0"/>
      </top>
      <bottom style="thin">
        <color theme="0"/>
      </bottom>
      <diagonal/>
    </border>
    <border>
      <left style="thin">
        <color theme="2" tint="-9.9978637043366805E-2"/>
      </left>
      <right style="thin">
        <color theme="0"/>
      </right>
      <top style="thin">
        <color theme="0"/>
      </top>
      <bottom style="thin">
        <color theme="0"/>
      </bottom>
      <diagonal/>
    </border>
    <border>
      <left style="thin">
        <color theme="2" tint="-9.9978637043366805E-2"/>
      </left>
      <right style="thin">
        <color theme="2" tint="-9.9978637043366805E-2"/>
      </right>
      <top style="thin">
        <color theme="1"/>
      </top>
      <bottom style="thin">
        <color theme="1"/>
      </bottom>
      <diagonal/>
    </border>
    <border>
      <left style="thin">
        <color theme="2" tint="-9.9978637043366805E-2"/>
      </left>
      <right style="thin">
        <color theme="2" tint="-9.9978637043366805E-2"/>
      </right>
      <top/>
      <bottom style="thin">
        <color theme="1"/>
      </bottom>
      <diagonal/>
    </border>
    <border>
      <left/>
      <right/>
      <top style="thin">
        <color theme="1"/>
      </top>
      <bottom/>
      <diagonal/>
    </border>
    <border>
      <left style="thin">
        <color theme="2" tint="-9.9978637043366805E-2"/>
      </left>
      <right style="thin">
        <color theme="2" tint="-9.9978637043366805E-2"/>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thin">
        <color auto="1"/>
      </right>
      <top/>
      <bottom/>
      <diagonal/>
    </border>
    <border>
      <left style="thin">
        <color auto="1"/>
      </left>
      <right style="medium">
        <color auto="1"/>
      </right>
      <top/>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medium">
        <color auto="1"/>
      </bottom>
      <diagonal/>
    </border>
    <border>
      <left style="medium">
        <color auto="1"/>
      </left>
      <right/>
      <top/>
      <bottom/>
      <diagonal/>
    </border>
  </borders>
  <cellStyleXfs count="71">
    <xf numFmtId="0" fontId="0" fillId="0" borderId="0"/>
    <xf numFmtId="164" fontId="51" fillId="0" borderId="0" applyBorder="0" applyProtection="0"/>
    <xf numFmtId="165" fontId="51" fillId="0" borderId="0" applyBorder="0" applyProtection="0"/>
    <xf numFmtId="9" fontId="51" fillId="0" borderId="0" applyBorder="0" applyProtection="0"/>
    <xf numFmtId="164" fontId="51" fillId="0" borderId="0" applyBorder="0" applyProtection="0"/>
    <xf numFmtId="164" fontId="2" fillId="0" borderId="0"/>
    <xf numFmtId="164" fontId="51" fillId="0" borderId="0" applyBorder="0" applyProtection="0"/>
    <xf numFmtId="164" fontId="51" fillId="0" borderId="0" applyBorder="0" applyProtection="0"/>
    <xf numFmtId="164" fontId="51" fillId="0" borderId="0"/>
    <xf numFmtId="164" fontId="51" fillId="0" borderId="0" applyBorder="0" applyProtection="0"/>
    <xf numFmtId="164"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165" fontId="51"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9" fontId="51" fillId="0" borderId="0" applyBorder="0" applyProtection="0"/>
    <xf numFmtId="0" fontId="51" fillId="0" borderId="0" applyBorder="0" applyProtection="0">
      <alignment horizontal="left"/>
    </xf>
    <xf numFmtId="0" fontId="51" fillId="0" borderId="0" applyBorder="0" applyProtection="0"/>
    <xf numFmtId="0" fontId="51" fillId="0" borderId="0" applyBorder="0" applyProtection="0"/>
    <xf numFmtId="0" fontId="5" fillId="0" borderId="0" applyBorder="0" applyProtection="0"/>
    <xf numFmtId="0" fontId="5" fillId="0" borderId="0" applyBorder="0" applyProtection="0">
      <alignment horizontal="left"/>
    </xf>
    <xf numFmtId="0" fontId="51" fillId="0" borderId="0" applyBorder="0" applyProtection="0"/>
  </cellStyleXfs>
  <cellXfs count="525">
    <xf numFmtId="0" fontId="0" fillId="0" borderId="0" xfId="0"/>
    <xf numFmtId="0" fontId="7" fillId="13" borderId="6" xfId="0" applyFont="1" applyFill="1" applyBorder="1" applyAlignment="1">
      <alignment horizontal="center" vertical="center"/>
    </xf>
    <xf numFmtId="166" fontId="7" fillId="2" borderId="1" xfId="7" applyNumberFormat="1" applyFont="1" applyFill="1" applyBorder="1" applyAlignment="1" applyProtection="1">
      <alignment horizontal="center" vertical="center" wrapText="1"/>
    </xf>
    <xf numFmtId="0" fontId="6" fillId="0" borderId="0" xfId="0" applyFont="1"/>
    <xf numFmtId="0" fontId="7" fillId="2" borderId="1" xfId="0" applyFont="1" applyFill="1" applyBorder="1" applyAlignment="1">
      <alignment horizontal="center" vertical="center"/>
    </xf>
    <xf numFmtId="166" fontId="7" fillId="2" borderId="3" xfId="7" applyNumberFormat="1" applyFont="1" applyFill="1" applyBorder="1" applyAlignment="1" applyProtection="1">
      <alignment vertical="center" wrapText="1"/>
    </xf>
    <xf numFmtId="166" fontId="7" fillId="2" borderId="4" xfId="7" applyNumberFormat="1" applyFont="1" applyFill="1" applyBorder="1" applyAlignment="1" applyProtection="1">
      <alignment vertical="center" wrapText="1"/>
    </xf>
    <xf numFmtId="168" fontId="7" fillId="2" borderId="1" xfId="7" applyNumberFormat="1" applyFont="1" applyFill="1" applyBorder="1" applyAlignment="1" applyProtection="1">
      <alignment horizontal="center" vertical="center" wrapText="1"/>
    </xf>
    <xf numFmtId="0" fontId="7" fillId="2" borderId="1" xfId="7" applyNumberFormat="1" applyFont="1" applyFill="1" applyBorder="1" applyAlignment="1" applyProtection="1">
      <alignment horizontal="center" vertical="center" wrapText="1"/>
    </xf>
    <xf numFmtId="0" fontId="6" fillId="0" borderId="0" xfId="0" applyFont="1" applyAlignment="1">
      <alignment horizontal="center" vertical="center"/>
    </xf>
    <xf numFmtId="0" fontId="6" fillId="3" borderId="0" xfId="0" applyFont="1" applyFill="1"/>
    <xf numFmtId="0" fontId="7" fillId="4" borderId="0" xfId="0" applyFont="1" applyFill="1"/>
    <xf numFmtId="0" fontId="8" fillId="5" borderId="0" xfId="0" applyFont="1" applyFill="1" applyAlignment="1">
      <alignment vertical="center"/>
    </xf>
    <xf numFmtId="0" fontId="9" fillId="6" borderId="0" xfId="30" applyFont="1" applyFill="1" applyAlignment="1">
      <alignment vertical="center" wrapText="1"/>
    </xf>
    <xf numFmtId="0" fontId="10" fillId="7" borderId="0" xfId="30" applyFont="1" applyFill="1" applyAlignment="1">
      <alignment horizontal="left" vertical="center" wrapText="1"/>
    </xf>
    <xf numFmtId="0" fontId="9" fillId="7" borderId="0" xfId="30" applyFont="1" applyFill="1" applyAlignment="1">
      <alignment horizontal="left" vertical="center" wrapText="1"/>
    </xf>
    <xf numFmtId="0" fontId="9" fillId="0" borderId="0" xfId="0" applyFont="1" applyAlignment="1">
      <alignment vertical="center"/>
    </xf>
    <xf numFmtId="0" fontId="6" fillId="0" borderId="0" xfId="0" applyFont="1" applyAlignment="1">
      <alignment vertical="center"/>
    </xf>
    <xf numFmtId="0" fontId="8" fillId="8" borderId="0" xfId="0" applyFont="1" applyFill="1" applyAlignment="1">
      <alignment vertical="center"/>
    </xf>
    <xf numFmtId="0" fontId="10" fillId="8" borderId="0" xfId="0" applyFont="1" applyFill="1" applyAlignment="1">
      <alignment vertical="center"/>
    </xf>
    <xf numFmtId="0" fontId="9" fillId="8" borderId="0" xfId="0" applyFont="1" applyFill="1" applyAlignment="1">
      <alignment vertical="center"/>
    </xf>
    <xf numFmtId="0" fontId="8" fillId="3" borderId="0" xfId="0" applyFont="1" applyFill="1" applyAlignment="1">
      <alignment vertical="center"/>
    </xf>
    <xf numFmtId="0" fontId="10" fillId="3" borderId="0" xfId="0" applyFont="1" applyFill="1" applyAlignment="1">
      <alignment vertical="center"/>
    </xf>
    <xf numFmtId="0" fontId="10" fillId="2" borderId="0" xfId="30" applyFont="1" applyFill="1" applyAlignment="1">
      <alignment vertical="center" wrapText="1"/>
    </xf>
    <xf numFmtId="0" fontId="10" fillId="9" borderId="0" xfId="0" applyFont="1" applyFill="1" applyAlignment="1">
      <alignment vertical="center"/>
    </xf>
    <xf numFmtId="0" fontId="10" fillId="10" borderId="0" xfId="0" applyFont="1" applyFill="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6" fillId="11" borderId="0" xfId="0" applyFont="1" applyFill="1"/>
    <xf numFmtId="0" fontId="6" fillId="11" borderId="0" xfId="0" applyFont="1" applyFill="1" applyAlignment="1">
      <alignment horizontal="center" vertical="center"/>
    </xf>
    <xf numFmtId="0" fontId="13" fillId="12" borderId="5" xfId="0" applyFont="1" applyFill="1" applyBorder="1" applyAlignment="1">
      <alignment horizontal="center" vertical="center"/>
    </xf>
    <xf numFmtId="0" fontId="7" fillId="13" borderId="5" xfId="0" applyFont="1" applyFill="1" applyBorder="1" applyAlignment="1">
      <alignment horizontal="center" vertical="center"/>
    </xf>
    <xf numFmtId="0" fontId="9" fillId="6" borderId="6" xfId="30" applyFont="1" applyFill="1" applyBorder="1" applyAlignment="1">
      <alignment vertical="center" wrapText="1"/>
    </xf>
    <xf numFmtId="0" fontId="9" fillId="6" borderId="7" xfId="30" applyFont="1" applyFill="1" applyBorder="1" applyAlignment="1">
      <alignment vertical="center" wrapText="1"/>
    </xf>
    <xf numFmtId="0" fontId="9" fillId="6" borderId="8" xfId="30" applyFont="1" applyFill="1" applyBorder="1" applyAlignment="1">
      <alignment vertical="center" wrapText="1"/>
    </xf>
    <xf numFmtId="169" fontId="9" fillId="0" borderId="0" xfId="0" applyNumberFormat="1" applyFont="1" applyAlignment="1">
      <alignment horizontal="right" vertical="center" textRotation="90"/>
    </xf>
    <xf numFmtId="0" fontId="10" fillId="0" borderId="0" xfId="30" applyFont="1" applyAlignment="1">
      <alignment horizontal="left" vertical="center" wrapText="1"/>
    </xf>
    <xf numFmtId="0" fontId="9" fillId="0" borderId="0" xfId="30" applyFont="1" applyAlignment="1">
      <alignment horizontal="left" vertical="center" wrapText="1"/>
    </xf>
    <xf numFmtId="0" fontId="10" fillId="2" borderId="6" xfId="30" applyFont="1" applyFill="1" applyBorder="1" applyAlignment="1">
      <alignment vertical="center" wrapText="1"/>
    </xf>
    <xf numFmtId="0" fontId="10" fillId="2" borderId="7" xfId="30" applyFont="1" applyFill="1" applyBorder="1" applyAlignment="1">
      <alignment vertical="center" wrapText="1"/>
    </xf>
    <xf numFmtId="0" fontId="10" fillId="2" borderId="8" xfId="30" applyFont="1" applyFill="1" applyBorder="1" applyAlignment="1">
      <alignment vertical="center" wrapText="1"/>
    </xf>
    <xf numFmtId="0" fontId="6" fillId="0" borderId="9" xfId="0" applyFont="1" applyBorder="1"/>
    <xf numFmtId="0" fontId="6" fillId="0" borderId="10" xfId="0" applyFont="1" applyBorder="1"/>
    <xf numFmtId="0" fontId="6" fillId="0" borderId="11" xfId="0" applyFont="1" applyBorder="1"/>
    <xf numFmtId="166" fontId="7" fillId="2" borderId="2" xfId="7" applyNumberFormat="1" applyFont="1" applyFill="1" applyBorder="1" applyAlignment="1" applyProtection="1">
      <alignment vertical="center" wrapText="1"/>
    </xf>
    <xf numFmtId="166" fontId="7" fillId="2" borderId="13" xfId="7" applyNumberFormat="1" applyFont="1" applyFill="1" applyBorder="1" applyAlignment="1" applyProtection="1">
      <alignment vertical="center" wrapText="1"/>
    </xf>
    <xf numFmtId="166" fontId="7" fillId="2" borderId="14" xfId="7" applyNumberFormat="1" applyFont="1" applyFill="1" applyBorder="1" applyAlignment="1" applyProtection="1">
      <alignment vertical="center" wrapText="1"/>
    </xf>
    <xf numFmtId="168" fontId="7" fillId="2" borderId="12" xfId="7" applyNumberFormat="1" applyFont="1" applyFill="1" applyBorder="1" applyAlignment="1" applyProtection="1">
      <alignment horizontal="center" vertical="center" wrapText="1"/>
    </xf>
    <xf numFmtId="168" fontId="7" fillId="2" borderId="13" xfId="7" applyNumberFormat="1" applyFont="1" applyFill="1" applyBorder="1" applyAlignment="1" applyProtection="1">
      <alignment horizontal="center" vertical="center" wrapText="1"/>
    </xf>
    <xf numFmtId="168" fontId="7" fillId="14" borderId="13" xfId="7" applyNumberFormat="1" applyFont="1" applyFill="1" applyBorder="1" applyAlignment="1" applyProtection="1">
      <alignment horizontal="center" vertical="center" wrapText="1"/>
    </xf>
    <xf numFmtId="168" fontId="7" fillId="2" borderId="15" xfId="7" applyNumberFormat="1" applyFont="1" applyFill="1" applyBorder="1" applyAlignment="1" applyProtection="1">
      <alignment horizontal="center" vertical="center" wrapText="1"/>
    </xf>
    <xf numFmtId="168" fontId="7" fillId="2" borderId="4" xfId="7" applyNumberFormat="1" applyFont="1" applyFill="1" applyBorder="1" applyAlignment="1" applyProtection="1">
      <alignment horizontal="center" vertical="center" wrapText="1"/>
    </xf>
    <xf numFmtId="166" fontId="7" fillId="2" borderId="2" xfId="7" applyNumberFormat="1" applyFont="1" applyFill="1" applyBorder="1" applyAlignment="1" applyProtection="1">
      <alignment horizontal="left" vertical="center" wrapText="1"/>
    </xf>
    <xf numFmtId="0" fontId="7" fillId="2" borderId="2"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3" xfId="7" applyNumberFormat="1" applyFont="1" applyFill="1" applyBorder="1" applyAlignment="1" applyProtection="1">
      <alignment horizontal="center" vertical="center" wrapText="1"/>
    </xf>
    <xf numFmtId="0" fontId="14" fillId="15" borderId="0" xfId="0" applyFont="1" applyFill="1" applyAlignment="1">
      <alignment horizontal="center" vertical="center"/>
    </xf>
    <xf numFmtId="0" fontId="7" fillId="4" borderId="10" xfId="0" applyFont="1" applyFill="1" applyBorder="1"/>
    <xf numFmtId="0" fontId="9" fillId="6" borderId="16" xfId="30" applyFont="1" applyFill="1" applyBorder="1" applyAlignment="1">
      <alignment vertical="center" wrapText="1"/>
    </xf>
    <xf numFmtId="0" fontId="9" fillId="7" borderId="10" xfId="30" applyFont="1" applyFill="1" applyBorder="1" applyAlignment="1">
      <alignment horizontal="left" vertical="center" wrapText="1"/>
    </xf>
    <xf numFmtId="0" fontId="8" fillId="8" borderId="10" xfId="0" applyFont="1" applyFill="1" applyBorder="1" applyAlignment="1">
      <alignment vertical="center"/>
    </xf>
    <xf numFmtId="0" fontId="10" fillId="8" borderId="10" xfId="0" applyFont="1" applyFill="1" applyBorder="1" applyAlignment="1">
      <alignment vertical="center"/>
    </xf>
    <xf numFmtId="0" fontId="8" fillId="3" borderId="10" xfId="0" applyFont="1" applyFill="1" applyBorder="1" applyAlignment="1">
      <alignment vertical="center"/>
    </xf>
    <xf numFmtId="0" fontId="10" fillId="3" borderId="10" xfId="0" applyFont="1" applyFill="1" applyBorder="1" applyAlignment="1">
      <alignment vertical="center"/>
    </xf>
    <xf numFmtId="0" fontId="8" fillId="5" borderId="10" xfId="0" applyFont="1" applyFill="1" applyBorder="1" applyAlignment="1">
      <alignment vertical="center"/>
    </xf>
    <xf numFmtId="169" fontId="9" fillId="0" borderId="10" xfId="0" applyNumberFormat="1" applyFont="1" applyBorder="1" applyAlignment="1">
      <alignment horizontal="right" vertical="center" textRotation="90"/>
    </xf>
    <xf numFmtId="0" fontId="10" fillId="0" borderId="10" xfId="30" applyFont="1" applyBorder="1" applyAlignment="1">
      <alignment horizontal="left" vertical="center" wrapText="1"/>
    </xf>
    <xf numFmtId="0" fontId="9" fillId="0" borderId="10" xfId="30" applyFont="1" applyBorder="1" applyAlignment="1">
      <alignment horizontal="left" vertical="center" wrapText="1"/>
    </xf>
    <xf numFmtId="0" fontId="10" fillId="2" borderId="16" xfId="30" applyFont="1" applyFill="1" applyBorder="1" applyAlignment="1">
      <alignment vertical="center" wrapText="1"/>
    </xf>
    <xf numFmtId="0" fontId="10" fillId="2" borderId="17" xfId="30" applyFont="1" applyFill="1" applyBorder="1" applyAlignment="1">
      <alignment vertical="center" wrapText="1"/>
    </xf>
    <xf numFmtId="0" fontId="10" fillId="9" borderId="10" xfId="0" applyFont="1" applyFill="1" applyBorder="1" applyAlignment="1">
      <alignment vertical="center"/>
    </xf>
    <xf numFmtId="0" fontId="10" fillId="10" borderId="10" xfId="0" applyFont="1" applyFill="1" applyBorder="1" applyAlignment="1">
      <alignment vertical="center"/>
    </xf>
    <xf numFmtId="0" fontId="10" fillId="16" borderId="10" xfId="0" applyFont="1" applyFill="1" applyBorder="1" applyAlignment="1">
      <alignment vertical="center"/>
    </xf>
    <xf numFmtId="0" fontId="6" fillId="11" borderId="9" xfId="0" applyFont="1" applyFill="1" applyBorder="1"/>
    <xf numFmtId="0" fontId="6" fillId="11" borderId="10" xfId="0" applyFont="1" applyFill="1" applyBorder="1"/>
    <xf numFmtId="0" fontId="6" fillId="11" borderId="11" xfId="0" applyFont="1" applyFill="1" applyBorder="1"/>
    <xf numFmtId="0" fontId="13" fillId="12" borderId="6" xfId="0" applyFont="1" applyFill="1" applyBorder="1" applyAlignment="1">
      <alignment horizontal="center" vertical="center"/>
    </xf>
    <xf numFmtId="0" fontId="10" fillId="16" borderId="11" xfId="0" applyFont="1" applyFill="1" applyBorder="1" applyAlignment="1">
      <alignment vertical="center"/>
    </xf>
    <xf numFmtId="0" fontId="7" fillId="17" borderId="10" xfId="0" applyFont="1" applyFill="1" applyBorder="1"/>
    <xf numFmtId="0" fontId="6" fillId="6" borderId="10" xfId="0" applyFont="1" applyFill="1" applyBorder="1"/>
    <xf numFmtId="0" fontId="7" fillId="18" borderId="10" xfId="0" applyFont="1" applyFill="1" applyBorder="1"/>
    <xf numFmtId="0" fontId="7" fillId="19" borderId="10" xfId="0" applyFont="1" applyFill="1" applyBorder="1"/>
    <xf numFmtId="0" fontId="6" fillId="19" borderId="10" xfId="0" applyFont="1" applyFill="1" applyBorder="1"/>
    <xf numFmtId="0" fontId="15" fillId="8" borderId="10" xfId="0" applyFont="1" applyFill="1" applyBorder="1"/>
    <xf numFmtId="0" fontId="6" fillId="8" borderId="10" xfId="0" applyFont="1" applyFill="1" applyBorder="1"/>
    <xf numFmtId="0" fontId="10" fillId="2" borderId="16" xfId="30" applyFont="1" applyFill="1" applyBorder="1" applyAlignment="1">
      <alignment vertical="center"/>
    </xf>
    <xf numFmtId="0" fontId="9" fillId="0" borderId="10" xfId="30" applyFont="1" applyBorder="1" applyAlignment="1">
      <alignment horizontal="left" vertical="center"/>
    </xf>
    <xf numFmtId="0" fontId="9" fillId="7" borderId="10" xfId="30" applyFont="1" applyFill="1" applyBorder="1" applyAlignment="1">
      <alignment horizontal="left" vertical="center"/>
    </xf>
    <xf numFmtId="0" fontId="9" fillId="6" borderId="16" xfId="30" applyFont="1" applyFill="1" applyBorder="1" applyAlignment="1">
      <alignment vertical="center"/>
    </xf>
    <xf numFmtId="0" fontId="9" fillId="7" borderId="16" xfId="30" applyFont="1" applyFill="1" applyBorder="1" applyAlignment="1">
      <alignment horizontal="left" vertical="center"/>
    </xf>
    <xf numFmtId="0" fontId="6" fillId="20" borderId="16" xfId="0" applyFont="1" applyFill="1" applyBorder="1"/>
    <xf numFmtId="0" fontId="16" fillId="20" borderId="16" xfId="0" applyFont="1" applyFill="1" applyBorder="1"/>
    <xf numFmtId="0" fontId="16" fillId="0" borderId="10" xfId="0" applyFont="1" applyBorder="1"/>
    <xf numFmtId="0" fontId="6" fillId="20" borderId="10" xfId="0" applyFont="1" applyFill="1" applyBorder="1"/>
    <xf numFmtId="0" fontId="11" fillId="21" borderId="16" xfId="30" applyFont="1" applyFill="1" applyBorder="1" applyAlignment="1">
      <alignment vertical="center"/>
    </xf>
    <xf numFmtId="0" fontId="11" fillId="21" borderId="16" xfId="30" applyFont="1" applyFill="1" applyBorder="1" applyAlignment="1">
      <alignment vertical="center" wrapText="1"/>
    </xf>
    <xf numFmtId="0" fontId="16" fillId="21" borderId="16" xfId="0" applyFont="1" applyFill="1" applyBorder="1"/>
    <xf numFmtId="0" fontId="6" fillId="21" borderId="16" xfId="0" applyFont="1" applyFill="1" applyBorder="1"/>
    <xf numFmtId="0" fontId="17" fillId="21" borderId="16" xfId="0" applyFont="1" applyFill="1" applyBorder="1"/>
    <xf numFmtId="0" fontId="7" fillId="0" borderId="0" xfId="0" applyFont="1"/>
    <xf numFmtId="0" fontId="15" fillId="22" borderId="16" xfId="0" applyFont="1" applyFill="1" applyBorder="1"/>
    <xf numFmtId="0" fontId="15" fillId="0" borderId="10" xfId="0" applyFont="1" applyBorder="1"/>
    <xf numFmtId="0" fontId="15" fillId="22" borderId="19" xfId="0" applyFont="1" applyFill="1" applyBorder="1"/>
    <xf numFmtId="0" fontId="6" fillId="22" borderId="16" xfId="0" applyFont="1" applyFill="1" applyBorder="1"/>
    <xf numFmtId="0" fontId="15" fillId="22" borderId="17" xfId="0" applyFont="1" applyFill="1" applyBorder="1"/>
    <xf numFmtId="0" fontId="11" fillId="23" borderId="16" xfId="30" applyFont="1" applyFill="1" applyBorder="1" applyAlignment="1">
      <alignment vertical="center"/>
    </xf>
    <xf numFmtId="0" fontId="11" fillId="23" borderId="16" xfId="30" applyFont="1" applyFill="1" applyBorder="1" applyAlignment="1">
      <alignment vertical="center" wrapText="1"/>
    </xf>
    <xf numFmtId="0" fontId="6" fillId="23" borderId="16" xfId="0" applyFont="1" applyFill="1" applyBorder="1"/>
    <xf numFmtId="0" fontId="6" fillId="23" borderId="19" xfId="0" applyFont="1" applyFill="1" applyBorder="1"/>
    <xf numFmtId="0" fontId="6" fillId="24" borderId="10" xfId="0" applyFont="1" applyFill="1" applyBorder="1"/>
    <xf numFmtId="0" fontId="6" fillId="24" borderId="10" xfId="0" applyFont="1" applyFill="1" applyBorder="1" applyAlignment="1">
      <alignment horizontal="left"/>
    </xf>
    <xf numFmtId="0" fontId="6" fillId="0" borderId="10" xfId="0" applyFont="1" applyBorder="1" applyAlignment="1">
      <alignment horizontal="left"/>
    </xf>
    <xf numFmtId="0" fontId="6" fillId="16" borderId="10" xfId="0" applyFont="1" applyFill="1" applyBorder="1"/>
    <xf numFmtId="0" fontId="6" fillId="25" borderId="10" xfId="0" applyFont="1" applyFill="1" applyBorder="1"/>
    <xf numFmtId="0" fontId="6" fillId="26" borderId="16" xfId="0" applyFont="1" applyFill="1" applyBorder="1"/>
    <xf numFmtId="0" fontId="11" fillId="6" borderId="16" xfId="30" applyFont="1" applyFill="1" applyBorder="1" applyAlignment="1">
      <alignment vertical="center"/>
    </xf>
    <xf numFmtId="0" fontId="11" fillId="6" borderId="19" xfId="30" applyFont="1" applyFill="1" applyBorder="1" applyAlignment="1">
      <alignment vertical="center"/>
    </xf>
    <xf numFmtId="0" fontId="18" fillId="2" borderId="16" xfId="30" applyFont="1" applyFill="1" applyBorder="1" applyAlignment="1">
      <alignment vertical="center"/>
    </xf>
    <xf numFmtId="0" fontId="18" fillId="2" borderId="19" xfId="30" applyFont="1" applyFill="1" applyBorder="1" applyAlignment="1">
      <alignment vertical="center"/>
    </xf>
    <xf numFmtId="0" fontId="8" fillId="8" borderId="16" xfId="0" applyFont="1" applyFill="1" applyBorder="1" applyAlignment="1">
      <alignment vertical="center"/>
    </xf>
    <xf numFmtId="0" fontId="10" fillId="8" borderId="16" xfId="0" applyFont="1" applyFill="1" applyBorder="1" applyAlignment="1">
      <alignment vertical="center"/>
    </xf>
    <xf numFmtId="0" fontId="6" fillId="26" borderId="10" xfId="0" applyFont="1" applyFill="1" applyBorder="1"/>
    <xf numFmtId="0" fontId="6" fillId="27" borderId="10" xfId="0" applyFont="1" applyFill="1" applyBorder="1"/>
    <xf numFmtId="0" fontId="11" fillId="6" borderId="17" xfId="30" applyFont="1" applyFill="1" applyBorder="1" applyAlignment="1">
      <alignment vertical="center"/>
    </xf>
    <xf numFmtId="0" fontId="8" fillId="8" borderId="17" xfId="0" applyFont="1" applyFill="1" applyBorder="1" applyAlignment="1">
      <alignment vertical="center"/>
    </xf>
    <xf numFmtId="0" fontId="6" fillId="18" borderId="10" xfId="0" applyFont="1" applyFill="1" applyBorder="1"/>
    <xf numFmtId="0" fontId="7" fillId="2" borderId="10" xfId="0" applyFont="1" applyFill="1" applyBorder="1"/>
    <xf numFmtId="0" fontId="6" fillId="2" borderId="10" xfId="0" applyFont="1" applyFill="1" applyBorder="1"/>
    <xf numFmtId="0" fontId="10" fillId="0" borderId="10" xfId="30" applyFont="1" applyBorder="1" applyAlignment="1">
      <alignment horizontal="center" vertical="center"/>
    </xf>
    <xf numFmtId="9" fontId="0" fillId="0" borderId="0" xfId="0" applyNumberFormat="1"/>
    <xf numFmtId="0" fontId="51" fillId="0" borderId="20" xfId="66" applyBorder="1"/>
    <xf numFmtId="0" fontId="51" fillId="0" borderId="21" xfId="67" applyBorder="1"/>
    <xf numFmtId="0" fontId="51" fillId="0" borderId="22" xfId="66" applyBorder="1"/>
    <xf numFmtId="0" fontId="51" fillId="0" borderId="23" xfId="66" applyBorder="1"/>
    <xf numFmtId="0" fontId="51" fillId="0" borderId="24" xfId="67" applyBorder="1"/>
    <xf numFmtId="0" fontId="51" fillId="0" borderId="25" xfId="65" applyBorder="1">
      <alignment horizontal="left"/>
    </xf>
    <xf numFmtId="0" fontId="51" fillId="0" borderId="26" xfId="65" applyBorder="1">
      <alignment horizontal="left"/>
    </xf>
    <xf numFmtId="0" fontId="5" fillId="0" borderId="27" xfId="69" applyBorder="1">
      <alignment horizontal="left"/>
    </xf>
    <xf numFmtId="0" fontId="5" fillId="16" borderId="5" xfId="0" applyFont="1" applyFill="1" applyBorder="1" applyAlignment="1">
      <alignment horizontal="center" vertical="top"/>
    </xf>
    <xf numFmtId="0" fontId="51" fillId="0" borderId="28" xfId="65" applyBorder="1">
      <alignment horizontal="left"/>
    </xf>
    <xf numFmtId="170" fontId="51" fillId="0" borderId="29" xfId="70" applyNumberFormat="1" applyBorder="1"/>
    <xf numFmtId="0" fontId="51" fillId="0" borderId="18" xfId="70" applyBorder="1"/>
    <xf numFmtId="170" fontId="51" fillId="0" borderId="30" xfId="70" applyNumberFormat="1" applyBorder="1"/>
    <xf numFmtId="170" fontId="5" fillId="0" borderId="31" xfId="68" applyNumberFormat="1" applyBorder="1"/>
    <xf numFmtId="9" fontId="51" fillId="0" borderId="5" xfId="3" applyBorder="1" applyProtection="1"/>
    <xf numFmtId="171" fontId="0" fillId="0" borderId="5" xfId="0" applyNumberFormat="1" applyBorder="1"/>
    <xf numFmtId="0" fontId="0" fillId="0" borderId="5" xfId="0" applyBorder="1"/>
    <xf numFmtId="0" fontId="51" fillId="0" borderId="32" xfId="65" applyBorder="1">
      <alignment horizontal="left"/>
    </xf>
    <xf numFmtId="170" fontId="51" fillId="0" borderId="33" xfId="70" applyNumberFormat="1" applyBorder="1"/>
    <xf numFmtId="0" fontId="51" fillId="0" borderId="0" xfId="70"/>
    <xf numFmtId="170" fontId="51" fillId="0" borderId="34" xfId="70" applyNumberFormat="1" applyBorder="1"/>
    <xf numFmtId="170" fontId="5" fillId="0" borderId="35" xfId="68" applyNumberFormat="1" applyBorder="1"/>
    <xf numFmtId="170" fontId="51" fillId="0" borderId="0" xfId="70" applyNumberFormat="1"/>
    <xf numFmtId="170" fontId="51" fillId="0" borderId="25" xfId="70" applyNumberFormat="1" applyBorder="1"/>
    <xf numFmtId="0" fontId="51" fillId="0" borderId="26" xfId="70" applyBorder="1"/>
    <xf numFmtId="170" fontId="51" fillId="0" borderId="36" xfId="70" applyNumberFormat="1" applyBorder="1"/>
    <xf numFmtId="170" fontId="5" fillId="0" borderId="37" xfId="68" applyNumberFormat="1" applyBorder="1"/>
    <xf numFmtId="172" fontId="51" fillId="0" borderId="5" xfId="3" applyNumberFormat="1" applyBorder="1" applyProtection="1"/>
    <xf numFmtId="0" fontId="5" fillId="0" borderId="38" xfId="69" applyBorder="1">
      <alignment horizontal="left"/>
    </xf>
    <xf numFmtId="170" fontId="5" fillId="0" borderId="39" xfId="68" applyNumberFormat="1" applyBorder="1"/>
    <xf numFmtId="170" fontId="5" fillId="0" borderId="40" xfId="68" applyNumberFormat="1" applyBorder="1"/>
    <xf numFmtId="170" fontId="5" fillId="0" borderId="41" xfId="68" applyNumberFormat="1" applyBorder="1"/>
    <xf numFmtId="170" fontId="5" fillId="0" borderId="42" xfId="68" applyNumberFormat="1" applyBorder="1"/>
    <xf numFmtId="9" fontId="19" fillId="15" borderId="5" xfId="0" applyNumberFormat="1" applyFont="1" applyFill="1" applyBorder="1"/>
    <xf numFmtId="171" fontId="19" fillId="15" borderId="5" xfId="0" applyNumberFormat="1" applyFont="1" applyFill="1" applyBorder="1"/>
    <xf numFmtId="0" fontId="20" fillId="15" borderId="5" xfId="0" applyFont="1" applyFill="1" applyBorder="1"/>
    <xf numFmtId="0" fontId="5" fillId="16" borderId="0" xfId="0" applyFont="1" applyFill="1"/>
    <xf numFmtId="171" fontId="5" fillId="16" borderId="0" xfId="0" applyNumberFormat="1" applyFont="1" applyFill="1"/>
    <xf numFmtId="0" fontId="21" fillId="0" borderId="0" xfId="0" applyFont="1"/>
    <xf numFmtId="10" fontId="51" fillId="0" borderId="0" xfId="3" applyNumberFormat="1" applyBorder="1" applyProtection="1"/>
    <xf numFmtId="170" fontId="51" fillId="0" borderId="18" xfId="70" applyNumberFormat="1" applyBorder="1"/>
    <xf numFmtId="0" fontId="51" fillId="0" borderId="30" xfId="70" applyBorder="1"/>
    <xf numFmtId="164" fontId="51" fillId="0" borderId="0" xfId="1" applyBorder="1" applyProtection="1"/>
    <xf numFmtId="9" fontId="51" fillId="0" borderId="0" xfId="3" applyBorder="1" applyProtection="1"/>
    <xf numFmtId="0" fontId="51" fillId="0" borderId="34" xfId="70" applyBorder="1"/>
    <xf numFmtId="170" fontId="51" fillId="0" borderId="26" xfId="70" applyNumberFormat="1" applyBorder="1"/>
    <xf numFmtId="0" fontId="51" fillId="0" borderId="36" xfId="70" applyBorder="1"/>
    <xf numFmtId="0" fontId="51" fillId="0" borderId="43" xfId="67" applyBorder="1"/>
    <xf numFmtId="0" fontId="51" fillId="0" borderId="44" xfId="66" applyBorder="1"/>
    <xf numFmtId="173" fontId="51" fillId="0" borderId="31" xfId="70" applyNumberFormat="1" applyBorder="1"/>
    <xf numFmtId="173" fontId="51" fillId="0" borderId="35" xfId="70" applyNumberFormat="1" applyBorder="1"/>
    <xf numFmtId="173" fontId="51" fillId="0" borderId="37" xfId="70" applyNumberFormat="1" applyBorder="1"/>
    <xf numFmtId="173" fontId="5" fillId="0" borderId="42" xfId="68" applyNumberFormat="1" applyBorder="1"/>
    <xf numFmtId="0" fontId="51" fillId="0" borderId="45" xfId="67" applyBorder="1"/>
    <xf numFmtId="0" fontId="51" fillId="0" borderId="28" xfId="65" applyBorder="1" applyAlignment="1">
      <alignment horizontal="left" indent="1"/>
    </xf>
    <xf numFmtId="0" fontId="51" fillId="0" borderId="46" xfId="70" applyBorder="1"/>
    <xf numFmtId="0" fontId="5" fillId="0" borderId="31" xfId="68" applyBorder="1"/>
    <xf numFmtId="0" fontId="51" fillId="0" borderId="45" xfId="65" applyBorder="1" applyAlignment="1">
      <alignment horizontal="left" indent="1"/>
    </xf>
    <xf numFmtId="0" fontId="51" fillId="0" borderId="47" xfId="70" applyBorder="1"/>
    <xf numFmtId="0" fontId="5" fillId="0" borderId="37" xfId="68" applyBorder="1"/>
    <xf numFmtId="0" fontId="51" fillId="0" borderId="32" xfId="65" applyBorder="1" applyAlignment="1">
      <alignment horizontal="left" indent="1"/>
    </xf>
    <xf numFmtId="0" fontId="51" fillId="0" borderId="48" xfId="70" applyBorder="1"/>
    <xf numFmtId="0" fontId="5" fillId="0" borderId="35" xfId="68" applyBorder="1"/>
    <xf numFmtId="174" fontId="21" fillId="0" borderId="0" xfId="0" applyNumberFormat="1" applyFont="1" applyAlignment="1">
      <alignment horizontal="center"/>
    </xf>
    <xf numFmtId="0" fontId="51" fillId="0" borderId="49" xfId="67" applyBorder="1"/>
    <xf numFmtId="0" fontId="51" fillId="0" borderId="50" xfId="66" applyBorder="1"/>
    <xf numFmtId="0" fontId="51" fillId="0" borderId="51" xfId="66" applyBorder="1"/>
    <xf numFmtId="0" fontId="51" fillId="0" borderId="32" xfId="66" applyBorder="1"/>
    <xf numFmtId="0" fontId="51" fillId="0" borderId="33" xfId="65" applyBorder="1">
      <alignment horizontal="left"/>
    </xf>
    <xf numFmtId="0" fontId="51" fillId="0" borderId="0" xfId="65">
      <alignment horizontal="left"/>
    </xf>
    <xf numFmtId="0" fontId="5" fillId="0" borderId="46" xfId="69" applyBorder="1">
      <alignment horizontal="left"/>
    </xf>
    <xf numFmtId="0" fontId="5" fillId="0" borderId="31" xfId="69" applyBorder="1">
      <alignment horizontal="left"/>
    </xf>
    <xf numFmtId="0" fontId="5" fillId="0" borderId="47" xfId="69" applyBorder="1">
      <alignment horizontal="left"/>
    </xf>
    <xf numFmtId="0" fontId="5" fillId="0" borderId="37" xfId="69" applyBorder="1">
      <alignment horizontal="left"/>
    </xf>
    <xf numFmtId="0" fontId="5" fillId="0" borderId="46" xfId="68" applyBorder="1"/>
    <xf numFmtId="0" fontId="5" fillId="0" borderId="47" xfId="68" applyBorder="1"/>
    <xf numFmtId="0" fontId="5" fillId="0" borderId="18" xfId="68" applyBorder="1"/>
    <xf numFmtId="0" fontId="5" fillId="0" borderId="26" xfId="68" applyBorder="1"/>
    <xf numFmtId="0" fontId="5" fillId="0" borderId="0" xfId="68"/>
    <xf numFmtId="0" fontId="51" fillId="0" borderId="33" xfId="70" applyBorder="1"/>
    <xf numFmtId="0" fontId="51" fillId="0" borderId="25" xfId="70" applyBorder="1"/>
    <xf numFmtId="0" fontId="5" fillId="0" borderId="48" xfId="68" applyBorder="1"/>
    <xf numFmtId="0" fontId="51" fillId="0" borderId="29" xfId="70" applyBorder="1"/>
    <xf numFmtId="0" fontId="5" fillId="0" borderId="39" xfId="68" applyBorder="1"/>
    <xf numFmtId="0" fontId="5" fillId="0" borderId="40" xfId="68" applyBorder="1"/>
    <xf numFmtId="0" fontId="5" fillId="0" borderId="41" xfId="68" applyBorder="1"/>
    <xf numFmtId="0" fontId="5" fillId="0" borderId="52" xfId="68" applyBorder="1"/>
    <xf numFmtId="0" fontId="0" fillId="0" borderId="0" xfId="0" applyAlignment="1">
      <alignment horizontal="center"/>
    </xf>
    <xf numFmtId="0" fontId="0" fillId="0" borderId="0" xfId="0" applyAlignment="1">
      <alignment horizontal="center" wrapText="1"/>
    </xf>
    <xf numFmtId="0" fontId="5" fillId="29" borderId="5" xfId="0" applyFont="1" applyFill="1" applyBorder="1"/>
    <xf numFmtId="174" fontId="5" fillId="29" borderId="5" xfId="0" applyNumberFormat="1" applyFont="1" applyFill="1" applyBorder="1"/>
    <xf numFmtId="9" fontId="0" fillId="0" borderId="5" xfId="0" applyNumberFormat="1" applyBorder="1"/>
    <xf numFmtId="9" fontId="51" fillId="0" borderId="5" xfId="3" applyBorder="1" applyAlignment="1" applyProtection="1">
      <alignment horizontal="center"/>
    </xf>
    <xf numFmtId="9" fontId="51" fillId="0" borderId="0" xfId="3" applyBorder="1" applyAlignment="1" applyProtection="1">
      <alignment horizontal="center"/>
    </xf>
    <xf numFmtId="0" fontId="4" fillId="0" borderId="0" xfId="0" applyFont="1"/>
    <xf numFmtId="0" fontId="20" fillId="4" borderId="0" xfId="0" applyFont="1" applyFill="1"/>
    <xf numFmtId="0" fontId="22" fillId="2" borderId="6" xfId="30" applyFont="1" applyFill="1" applyBorder="1" applyAlignment="1">
      <alignment vertical="center"/>
    </xf>
    <xf numFmtId="0" fontId="22" fillId="2" borderId="7" xfId="30" applyFont="1" applyFill="1" applyBorder="1" applyAlignment="1">
      <alignment vertical="center"/>
    </xf>
    <xf numFmtId="0" fontId="22" fillId="2" borderId="8" xfId="30" applyFont="1" applyFill="1" applyBorder="1" applyAlignment="1">
      <alignment vertical="center"/>
    </xf>
    <xf numFmtId="0" fontId="23" fillId="0" borderId="0" xfId="30" applyFont="1" applyAlignment="1">
      <alignment horizontal="left" vertical="center"/>
    </xf>
    <xf numFmtId="0" fontId="22" fillId="9" borderId="0" xfId="0" applyFont="1" applyFill="1" applyAlignment="1">
      <alignment vertical="center"/>
    </xf>
    <xf numFmtId="0" fontId="23" fillId="7" borderId="0" xfId="30" applyFont="1" applyFill="1" applyAlignment="1">
      <alignment horizontal="left" vertical="center"/>
    </xf>
    <xf numFmtId="0" fontId="22" fillId="10" borderId="0" xfId="0" applyFont="1" applyFill="1" applyAlignment="1">
      <alignment vertical="center"/>
    </xf>
    <xf numFmtId="0" fontId="22" fillId="16" borderId="0" xfId="0" applyFont="1" applyFill="1" applyAlignment="1">
      <alignment vertical="center"/>
    </xf>
    <xf numFmtId="3" fontId="5" fillId="29" borderId="5" xfId="0" applyNumberFormat="1" applyFont="1" applyFill="1" applyBorder="1"/>
    <xf numFmtId="3" fontId="0" fillId="0" borderId="0" xfId="0" applyNumberFormat="1"/>
    <xf numFmtId="0" fontId="24" fillId="5" borderId="0" xfId="0" applyFont="1" applyFill="1" applyAlignment="1">
      <alignment vertical="center"/>
    </xf>
    <xf numFmtId="0" fontId="23" fillId="6" borderId="6" xfId="30" applyFont="1" applyFill="1" applyBorder="1" applyAlignment="1">
      <alignment vertical="center"/>
    </xf>
    <xf numFmtId="0" fontId="23" fillId="6" borderId="7" xfId="30" applyFont="1" applyFill="1" applyBorder="1" applyAlignment="1">
      <alignment vertical="center"/>
    </xf>
    <xf numFmtId="0" fontId="23" fillId="7" borderId="7" xfId="30" applyFont="1" applyFill="1" applyBorder="1" applyAlignment="1">
      <alignment horizontal="left" vertical="center"/>
    </xf>
    <xf numFmtId="0" fontId="23" fillId="6" borderId="8" xfId="30" applyFont="1" applyFill="1" applyBorder="1" applyAlignment="1">
      <alignment vertical="center"/>
    </xf>
    <xf numFmtId="0" fontId="24" fillId="8" borderId="0" xfId="0" applyFont="1" applyFill="1" applyAlignment="1">
      <alignment vertical="center"/>
    </xf>
    <xf numFmtId="0" fontId="22" fillId="8" borderId="0" xfId="0" applyFont="1" applyFill="1" applyAlignment="1">
      <alignment vertical="center"/>
    </xf>
    <xf numFmtId="0" fontId="23" fillId="7" borderId="0" xfId="30" applyFont="1" applyFill="1" applyAlignment="1">
      <alignment horizontal="left" vertical="center" wrapText="1"/>
    </xf>
    <xf numFmtId="0" fontId="24" fillId="3" borderId="0" xfId="0" applyFont="1" applyFill="1" applyAlignment="1">
      <alignment vertical="center"/>
    </xf>
    <xf numFmtId="0" fontId="22" fillId="3" borderId="0" xfId="0" applyFont="1" applyFill="1" applyAlignment="1">
      <alignment vertical="center"/>
    </xf>
    <xf numFmtId="175" fontId="5" fillId="29" borderId="5" xfId="0" applyNumberFormat="1" applyFont="1" applyFill="1" applyBorder="1"/>
    <xf numFmtId="3" fontId="0" fillId="0" borderId="0" xfId="0" applyNumberFormat="1" applyAlignment="1">
      <alignment horizontal="center"/>
    </xf>
    <xf numFmtId="0" fontId="0" fillId="11" borderId="5" xfId="0" applyFill="1" applyBorder="1" applyAlignment="1">
      <alignment horizontal="center" wrapText="1"/>
    </xf>
    <xf numFmtId="0" fontId="0" fillId="12" borderId="5" xfId="0" applyFill="1" applyBorder="1" applyAlignment="1">
      <alignment horizontal="center" wrapText="1"/>
    </xf>
    <xf numFmtId="0" fontId="0" fillId="29" borderId="5" xfId="0" applyFill="1" applyBorder="1" applyAlignment="1">
      <alignment horizontal="center" wrapText="1"/>
    </xf>
    <xf numFmtId="0" fontId="0" fillId="29" borderId="6" xfId="0" applyFill="1" applyBorder="1" applyAlignment="1">
      <alignment horizontal="center" wrapText="1"/>
    </xf>
    <xf numFmtId="0" fontId="25" fillId="0" borderId="0" xfId="0" applyFont="1"/>
    <xf numFmtId="0" fontId="4" fillId="0" borderId="0" xfId="0" applyFont="1" applyAlignment="1">
      <alignment horizontal="center"/>
    </xf>
    <xf numFmtId="0" fontId="4" fillId="0" borderId="5" xfId="0" applyFont="1" applyBorder="1" applyAlignment="1">
      <alignment horizontal="center"/>
    </xf>
    <xf numFmtId="176" fontId="4" fillId="11" borderId="5" xfId="0" applyNumberFormat="1" applyFont="1" applyFill="1" applyBorder="1" applyAlignment="1">
      <alignment horizontal="center" wrapText="1"/>
    </xf>
    <xf numFmtId="176" fontId="4" fillId="12" borderId="5" xfId="0" applyNumberFormat="1" applyFont="1" applyFill="1" applyBorder="1" applyAlignment="1">
      <alignment horizontal="center" wrapText="1"/>
    </xf>
    <xf numFmtId="176" fontId="4" fillId="29" borderId="5" xfId="0" applyNumberFormat="1" applyFont="1" applyFill="1" applyBorder="1" applyAlignment="1">
      <alignment horizontal="center" wrapText="1"/>
    </xf>
    <xf numFmtId="176" fontId="4" fillId="29" borderId="0" xfId="0" applyNumberFormat="1" applyFont="1" applyFill="1" applyAlignment="1">
      <alignment horizontal="center" wrapText="1"/>
    </xf>
    <xf numFmtId="0" fontId="26" fillId="0" borderId="0" xfId="0" applyFont="1"/>
    <xf numFmtId="0" fontId="27" fillId="0" borderId="0" xfId="0" applyFont="1"/>
    <xf numFmtId="3" fontId="28" fillId="19" borderId="0" xfId="2" applyNumberFormat="1" applyFont="1" applyFill="1" applyBorder="1" applyAlignment="1" applyProtection="1">
      <alignment horizontal="center"/>
    </xf>
    <xf numFmtId="3" fontId="28" fillId="19" borderId="0" xfId="1" applyNumberFormat="1" applyFont="1" applyFill="1" applyBorder="1" applyAlignment="1" applyProtection="1">
      <alignment horizontal="center"/>
    </xf>
    <xf numFmtId="0" fontId="4" fillId="0" borderId="6" xfId="0" applyFont="1" applyBorder="1"/>
    <xf numFmtId="0" fontId="4" fillId="0" borderId="5" xfId="0" applyFont="1" applyBorder="1"/>
    <xf numFmtId="0" fontId="26" fillId="0" borderId="5" xfId="0" applyFont="1" applyBorder="1" applyAlignment="1">
      <alignment horizontal="center"/>
    </xf>
    <xf numFmtId="176" fontId="4" fillId="29" borderId="8" xfId="0" applyNumberFormat="1" applyFont="1" applyFill="1" applyBorder="1" applyAlignment="1">
      <alignment horizontal="center" wrapText="1"/>
    </xf>
    <xf numFmtId="176" fontId="4" fillId="29" borderId="7" xfId="0" applyNumberFormat="1" applyFont="1" applyFill="1" applyBorder="1" applyAlignment="1">
      <alignment horizontal="center" wrapText="1"/>
    </xf>
    <xf numFmtId="173" fontId="29" fillId="0" borderId="8" xfId="0" applyNumberFormat="1" applyFont="1" applyBorder="1" applyAlignment="1">
      <alignment vertical="top"/>
    </xf>
    <xf numFmtId="164" fontId="29" fillId="0" borderId="5" xfId="0" applyNumberFormat="1" applyFont="1" applyBorder="1" applyAlignment="1">
      <alignment vertical="top"/>
    </xf>
    <xf numFmtId="0" fontId="28" fillId="30" borderId="5" xfId="0" applyFont="1" applyFill="1" applyBorder="1" applyAlignment="1">
      <alignment horizontal="center" vertical="top" wrapText="1"/>
    </xf>
    <xf numFmtId="0" fontId="20" fillId="18" borderId="5" xfId="0" applyFont="1" applyFill="1" applyBorder="1" applyAlignment="1">
      <alignment horizontal="center" vertical="top" wrapText="1"/>
    </xf>
    <xf numFmtId="0" fontId="20" fillId="19" borderId="5" xfId="0" applyFont="1" applyFill="1" applyBorder="1" applyAlignment="1">
      <alignment horizontal="center" vertical="top" wrapText="1"/>
    </xf>
    <xf numFmtId="0" fontId="20" fillId="15" borderId="5" xfId="0" applyFont="1" applyFill="1" applyBorder="1" applyAlignment="1">
      <alignment horizontal="center" vertical="top" wrapText="1"/>
    </xf>
    <xf numFmtId="170" fontId="20" fillId="15" borderId="5" xfId="2" applyNumberFormat="1" applyFont="1" applyFill="1" applyBorder="1" applyAlignment="1" applyProtection="1">
      <alignment horizontal="center" vertical="top" wrapText="1"/>
    </xf>
    <xf numFmtId="173" fontId="19" fillId="16" borderId="5" xfId="1" applyNumberFormat="1" applyFont="1" applyFill="1" applyBorder="1" applyAlignment="1" applyProtection="1">
      <alignment horizontal="center" vertical="top" wrapText="1"/>
    </xf>
    <xf numFmtId="0" fontId="30" fillId="31" borderId="5" xfId="0" applyFont="1" applyFill="1" applyBorder="1" applyAlignment="1">
      <alignment horizontal="center" vertical="top" wrapText="1"/>
    </xf>
    <xf numFmtId="0" fontId="20" fillId="32" borderId="5" xfId="0" applyFont="1" applyFill="1" applyBorder="1" applyAlignment="1">
      <alignment horizontal="center" vertical="top" wrapText="1"/>
    </xf>
    <xf numFmtId="0" fontId="31" fillId="33" borderId="6" xfId="0" applyFont="1" applyFill="1" applyBorder="1" applyAlignment="1">
      <alignment horizontal="center" vertical="top" wrapText="1"/>
    </xf>
    <xf numFmtId="0" fontId="20" fillId="32" borderId="6" xfId="0" applyFont="1" applyFill="1" applyBorder="1" applyAlignment="1">
      <alignment horizontal="center" vertical="top" wrapText="1"/>
    </xf>
    <xf numFmtId="15" fontId="29" fillId="34" borderId="34" xfId="0" applyNumberFormat="1" applyFont="1" applyFill="1" applyBorder="1" applyAlignment="1">
      <alignment horizontal="center" vertical="top" textRotation="90" wrapText="1"/>
    </xf>
    <xf numFmtId="15" fontId="29" fillId="34" borderId="48" xfId="0" applyNumberFormat="1" applyFont="1" applyFill="1" applyBorder="1" applyAlignment="1">
      <alignment horizontal="center" vertical="top" textRotation="90" wrapText="1"/>
    </xf>
    <xf numFmtId="15" fontId="29" fillId="35" borderId="48" xfId="0" applyNumberFormat="1" applyFont="1" applyFill="1" applyBorder="1" applyAlignment="1">
      <alignment horizontal="center" vertical="top" textRotation="90" wrapText="1"/>
    </xf>
    <xf numFmtId="0" fontId="0" fillId="12" borderId="24" xfId="0" applyFill="1" applyBorder="1" applyAlignment="1">
      <alignment horizontal="center" wrapText="1"/>
    </xf>
    <xf numFmtId="14" fontId="29" fillId="29" borderId="5" xfId="0" applyNumberFormat="1" applyFont="1" applyFill="1" applyBorder="1" applyAlignment="1">
      <alignment horizontal="center" vertical="top" wrapText="1"/>
    </xf>
    <xf numFmtId="14" fontId="29" fillId="29" borderId="6" xfId="0" applyNumberFormat="1" applyFont="1" applyFill="1" applyBorder="1" applyAlignment="1">
      <alignment horizontal="center" vertical="top" wrapText="1"/>
    </xf>
    <xf numFmtId="14" fontId="29" fillId="12" borderId="5" xfId="0" applyNumberFormat="1" applyFont="1" applyFill="1" applyBorder="1" applyAlignment="1">
      <alignment horizontal="center" vertical="top" wrapText="1"/>
    </xf>
    <xf numFmtId="164" fontId="29" fillId="0" borderId="8" xfId="0" applyNumberFormat="1" applyFont="1" applyBorder="1" applyAlignment="1">
      <alignment vertical="top"/>
    </xf>
    <xf numFmtId="0" fontId="28" fillId="0" borderId="0" xfId="0" applyFont="1" applyAlignment="1">
      <alignment vertical="top"/>
    </xf>
    <xf numFmtId="0" fontId="19" fillId="36" borderId="5" xfId="0" applyFont="1" applyFill="1" applyBorder="1" applyAlignment="1">
      <alignment horizontal="right" vertical="center" textRotation="90"/>
    </xf>
    <xf numFmtId="0" fontId="30" fillId="0" borderId="5" xfId="0" applyFont="1" applyBorder="1"/>
    <xf numFmtId="170" fontId="30" fillId="0" borderId="5" xfId="2" applyNumberFormat="1" applyFont="1" applyBorder="1" applyProtection="1"/>
    <xf numFmtId="174" fontId="30" fillId="0" borderId="5" xfId="0" applyNumberFormat="1" applyFont="1" applyBorder="1"/>
    <xf numFmtId="173" fontId="30" fillId="0" borderId="5" xfId="1" applyNumberFormat="1" applyFont="1" applyBorder="1" applyProtection="1"/>
    <xf numFmtId="165" fontId="30" fillId="0" borderId="5" xfId="2" applyFont="1" applyBorder="1" applyProtection="1"/>
    <xf numFmtId="165" fontId="30" fillId="0" borderId="6" xfId="2" applyFont="1" applyBorder="1" applyProtection="1"/>
    <xf numFmtId="174" fontId="30" fillId="0" borderId="6" xfId="13" applyNumberFormat="1" applyFont="1" applyBorder="1" applyAlignment="1" applyProtection="1">
      <alignment horizontal="center"/>
    </xf>
    <xf numFmtId="0" fontId="30" fillId="0" borderId="5" xfId="0" applyFont="1" applyBorder="1" applyAlignment="1">
      <alignment horizontal="center"/>
    </xf>
    <xf numFmtId="173" fontId="30" fillId="12" borderId="24" xfId="1" applyNumberFormat="1" applyFont="1" applyFill="1" applyBorder="1" applyAlignment="1" applyProtection="1">
      <alignment horizontal="center" wrapText="1"/>
    </xf>
    <xf numFmtId="173" fontId="30" fillId="29" borderId="5" xfId="1" applyNumberFormat="1" applyFont="1" applyFill="1" applyBorder="1" applyAlignment="1" applyProtection="1">
      <alignment horizontal="center" wrapText="1"/>
    </xf>
    <xf numFmtId="173" fontId="30" fillId="12" borderId="5" xfId="1" applyNumberFormat="1" applyFont="1" applyFill="1" applyBorder="1" applyAlignment="1" applyProtection="1">
      <alignment horizontal="center" wrapText="1"/>
    </xf>
    <xf numFmtId="173" fontId="30" fillId="29" borderId="6" xfId="1" applyNumberFormat="1" applyFont="1" applyFill="1" applyBorder="1" applyAlignment="1" applyProtection="1">
      <alignment horizontal="center" wrapText="1"/>
    </xf>
    <xf numFmtId="164" fontId="30" fillId="0" borderId="8" xfId="1" applyFont="1" applyBorder="1" applyProtection="1"/>
    <xf numFmtId="164" fontId="30" fillId="0" borderId="5" xfId="0" applyNumberFormat="1" applyFont="1" applyBorder="1"/>
    <xf numFmtId="0" fontId="30" fillId="0" borderId="0" xfId="0" applyFont="1"/>
    <xf numFmtId="0" fontId="31" fillId="36" borderId="5" xfId="0" applyFont="1" applyFill="1" applyBorder="1" applyAlignment="1">
      <alignment horizontal="right" vertical="center" textRotation="90"/>
    </xf>
    <xf numFmtId="0" fontId="30" fillId="3" borderId="5" xfId="0" applyFont="1" applyFill="1" applyBorder="1"/>
    <xf numFmtId="0" fontId="31" fillId="0" borderId="5" xfId="0" applyFont="1" applyBorder="1" applyAlignment="1">
      <alignment horizontal="right" vertical="center" textRotation="90"/>
    </xf>
    <xf numFmtId="173" fontId="30" fillId="0" borderId="5" xfId="1" applyNumberFormat="1" applyFont="1" applyBorder="1" applyAlignment="1" applyProtection="1">
      <alignment horizontal="center" wrapText="1"/>
    </xf>
    <xf numFmtId="173" fontId="30" fillId="0" borderId="6" xfId="1" applyNumberFormat="1" applyFont="1" applyBorder="1" applyAlignment="1" applyProtection="1">
      <alignment horizontal="center" wrapText="1"/>
    </xf>
    <xf numFmtId="0" fontId="30" fillId="29" borderId="5" xfId="0" applyFont="1" applyFill="1" applyBorder="1" applyAlignment="1">
      <alignment horizontal="center"/>
    </xf>
    <xf numFmtId="0" fontId="31" fillId="29" borderId="5" xfId="0" applyFont="1" applyFill="1" applyBorder="1" applyAlignment="1">
      <alignment horizontal="right" vertical="center" textRotation="90"/>
    </xf>
    <xf numFmtId="164" fontId="30" fillId="29" borderId="8" xfId="1" applyFont="1" applyFill="1" applyBorder="1" applyProtection="1"/>
    <xf numFmtId="164" fontId="30" fillId="29" borderId="5" xfId="0" applyNumberFormat="1" applyFont="1" applyFill="1" applyBorder="1"/>
    <xf numFmtId="0" fontId="30" fillId="29" borderId="0" xfId="0" applyFont="1" applyFill="1"/>
    <xf numFmtId="0" fontId="30" fillId="21" borderId="5" xfId="0" applyFont="1" applyFill="1" applyBorder="1" applyAlignment="1">
      <alignment horizontal="center"/>
    </xf>
    <xf numFmtId="0" fontId="31" fillId="21" borderId="5" xfId="0" applyFont="1" applyFill="1" applyBorder="1" applyAlignment="1">
      <alignment horizontal="right" vertical="center" textRotation="90"/>
    </xf>
    <xf numFmtId="173" fontId="30" fillId="21" borderId="5" xfId="1" applyNumberFormat="1" applyFont="1" applyFill="1" applyBorder="1" applyAlignment="1" applyProtection="1">
      <alignment horizontal="center" wrapText="1"/>
    </xf>
    <xf numFmtId="173" fontId="30" fillId="21" borderId="6" xfId="1" applyNumberFormat="1" applyFont="1" applyFill="1" applyBorder="1" applyAlignment="1" applyProtection="1">
      <alignment horizontal="center" wrapText="1"/>
    </xf>
    <xf numFmtId="164" fontId="30" fillId="21" borderId="8" xfId="1" applyFont="1" applyFill="1" applyBorder="1" applyProtection="1"/>
    <xf numFmtId="164" fontId="30" fillId="21" borderId="5" xfId="0" applyNumberFormat="1" applyFont="1" applyFill="1" applyBorder="1"/>
    <xf numFmtId="0" fontId="30" fillId="21" borderId="0" xfId="0" applyFont="1" applyFill="1"/>
    <xf numFmtId="0" fontId="30" fillId="37" borderId="5" xfId="0" applyFont="1" applyFill="1" applyBorder="1" applyAlignment="1">
      <alignment horizontal="center"/>
    </xf>
    <xf numFmtId="0" fontId="30" fillId="37" borderId="5" xfId="0" applyFont="1" applyFill="1" applyBorder="1"/>
    <xf numFmtId="0" fontId="30" fillId="0" borderId="46" xfId="0" applyFont="1" applyBorder="1" applyAlignment="1">
      <alignment horizontal="center"/>
    </xf>
    <xf numFmtId="0" fontId="32" fillId="0" borderId="5" xfId="0" applyFont="1" applyBorder="1" applyAlignment="1">
      <alignment horizontal="center"/>
    </xf>
    <xf numFmtId="0" fontId="30" fillId="0" borderId="8" xfId="0" applyFont="1" applyBorder="1" applyAlignment="1">
      <alignment horizontal="center"/>
    </xf>
    <xf numFmtId="0" fontId="30" fillId="0" borderId="6" xfId="0" applyFont="1" applyBorder="1" applyAlignment="1">
      <alignment horizontal="center"/>
    </xf>
    <xf numFmtId="0" fontId="30" fillId="0" borderId="30" xfId="0" applyFont="1" applyBorder="1" applyAlignment="1">
      <alignment horizontal="center"/>
    </xf>
    <xf numFmtId="0" fontId="30" fillId="0" borderId="48" xfId="0" applyFont="1" applyBorder="1" applyAlignment="1">
      <alignment horizontal="center"/>
    </xf>
    <xf numFmtId="0" fontId="30" fillId="37" borderId="46" xfId="0" applyFont="1" applyFill="1" applyBorder="1" applyAlignment="1">
      <alignment horizontal="center"/>
    </xf>
    <xf numFmtId="0" fontId="32" fillId="0" borderId="47" xfId="0" applyFont="1" applyBorder="1" applyAlignment="1">
      <alignment horizontal="center"/>
    </xf>
    <xf numFmtId="0" fontId="32" fillId="0" borderId="46" xfId="0" applyFont="1" applyBorder="1" applyAlignment="1">
      <alignment horizontal="center"/>
    </xf>
    <xf numFmtId="0" fontId="30" fillId="0" borderId="29" xfId="0" applyFont="1" applyBorder="1" applyAlignment="1">
      <alignment horizontal="center"/>
    </xf>
    <xf numFmtId="0" fontId="30" fillId="0" borderId="47" xfId="0" applyFont="1" applyBorder="1" applyAlignment="1">
      <alignment horizontal="center"/>
    </xf>
    <xf numFmtId="173" fontId="30" fillId="0" borderId="24" xfId="1" applyNumberFormat="1" applyFont="1" applyBorder="1" applyAlignment="1" applyProtection="1">
      <alignment horizontal="center" wrapText="1"/>
    </xf>
    <xf numFmtId="0" fontId="31" fillId="37" borderId="5" xfId="0" applyFont="1" applyFill="1" applyBorder="1" applyAlignment="1">
      <alignment horizontal="right" vertical="center" textRotation="90"/>
    </xf>
    <xf numFmtId="173" fontId="30" fillId="37" borderId="5" xfId="1" applyNumberFormat="1" applyFont="1" applyFill="1" applyBorder="1" applyAlignment="1" applyProtection="1">
      <alignment horizontal="center" wrapText="1"/>
    </xf>
    <xf numFmtId="173" fontId="30" fillId="37" borderId="6" xfId="1" applyNumberFormat="1" applyFont="1" applyFill="1" applyBorder="1" applyAlignment="1" applyProtection="1">
      <alignment horizontal="center" wrapText="1"/>
    </xf>
    <xf numFmtId="164" fontId="30" fillId="37" borderId="8" xfId="1" applyFont="1" applyFill="1" applyBorder="1" applyProtection="1"/>
    <xf numFmtId="164" fontId="30" fillId="37" borderId="5" xfId="0" applyNumberFormat="1" applyFont="1" applyFill="1" applyBorder="1"/>
    <xf numFmtId="0" fontId="30" fillId="37" borderId="0" xfId="0" applyFont="1" applyFill="1"/>
    <xf numFmtId="0" fontId="33" fillId="36" borderId="5" xfId="0" applyFont="1" applyFill="1" applyBorder="1" applyAlignment="1">
      <alignment horizontal="right" vertical="center" textRotation="90"/>
    </xf>
    <xf numFmtId="0" fontId="34" fillId="0" borderId="5" xfId="0" applyFont="1" applyBorder="1"/>
    <xf numFmtId="0" fontId="32" fillId="0" borderId="0" xfId="0" applyFont="1" applyAlignment="1">
      <alignment horizontal="center"/>
    </xf>
    <xf numFmtId="0" fontId="32" fillId="37" borderId="5" xfId="0" applyFont="1" applyFill="1" applyBorder="1" applyAlignment="1">
      <alignment horizontal="center"/>
    </xf>
    <xf numFmtId="0" fontId="5" fillId="37" borderId="5" xfId="0" applyFont="1" applyFill="1" applyBorder="1" applyAlignment="1">
      <alignment horizontal="right" vertical="center" textRotation="90"/>
    </xf>
    <xf numFmtId="0" fontId="34" fillId="0" borderId="5" xfId="0" applyFont="1" applyBorder="1" applyAlignment="1">
      <alignment horizontal="left"/>
    </xf>
    <xf numFmtId="0" fontId="32" fillId="37" borderId="46" xfId="0" applyFont="1" applyFill="1" applyBorder="1" applyAlignment="1">
      <alignment horizontal="center"/>
    </xf>
    <xf numFmtId="173" fontId="51" fillId="37" borderId="5" xfId="1" applyNumberFormat="1" applyFill="1" applyBorder="1" applyAlignment="1" applyProtection="1">
      <alignment horizontal="center" wrapText="1"/>
    </xf>
    <xf numFmtId="173" fontId="51" fillId="37" borderId="6" xfId="1" applyNumberFormat="1" applyFill="1" applyBorder="1" applyAlignment="1" applyProtection="1">
      <alignment horizontal="center" wrapText="1"/>
    </xf>
    <xf numFmtId="164" fontId="51" fillId="37" borderId="8" xfId="1" applyFill="1" applyBorder="1" applyProtection="1"/>
    <xf numFmtId="164" fontId="0" fillId="37" borderId="5" xfId="0" applyNumberFormat="1" applyFill="1" applyBorder="1"/>
    <xf numFmtId="0" fontId="0" fillId="37" borderId="0" xfId="0" applyFill="1"/>
    <xf numFmtId="0" fontId="35" fillId="0" borderId="0" xfId="0" applyFont="1" applyProtection="1">
      <protection locked="0"/>
    </xf>
    <xf numFmtId="170" fontId="35" fillId="0" borderId="0" xfId="2" applyNumberFormat="1" applyFont="1" applyBorder="1" applyProtection="1">
      <protection locked="0"/>
    </xf>
    <xf numFmtId="173" fontId="35" fillId="0" borderId="0" xfId="1" applyNumberFormat="1" applyFont="1" applyBorder="1" applyProtection="1">
      <protection locked="0"/>
    </xf>
    <xf numFmtId="165" fontId="35" fillId="0" borderId="0" xfId="2" applyFont="1" applyBorder="1" applyProtection="1">
      <protection locked="0"/>
    </xf>
    <xf numFmtId="173" fontId="30" fillId="29" borderId="0" xfId="1" applyNumberFormat="1" applyFont="1" applyFill="1" applyBorder="1" applyAlignment="1" applyProtection="1">
      <alignment horizontal="center" wrapText="1"/>
    </xf>
    <xf numFmtId="173" fontId="30" fillId="12" borderId="0" xfId="1" applyNumberFormat="1" applyFont="1" applyFill="1" applyBorder="1" applyAlignment="1" applyProtection="1">
      <alignment horizontal="center" wrapText="1"/>
    </xf>
    <xf numFmtId="164" fontId="30" fillId="0" borderId="0" xfId="1" applyFont="1" applyBorder="1" applyProtection="1"/>
    <xf numFmtId="164" fontId="30" fillId="0" borderId="0" xfId="0" applyNumberFormat="1" applyFont="1"/>
    <xf numFmtId="173" fontId="51" fillId="0" borderId="5" xfId="3" applyNumberFormat="1" applyBorder="1" applyAlignment="1" applyProtection="1">
      <alignment horizontal="center" wrapText="1"/>
    </xf>
    <xf numFmtId="170" fontId="51" fillId="0" borderId="5" xfId="2" applyNumberFormat="1" applyBorder="1" applyAlignment="1" applyProtection="1">
      <alignment horizontal="center" wrapText="1"/>
    </xf>
    <xf numFmtId="170" fontId="51" fillId="0" borderId="5" xfId="2" applyNumberFormat="1" applyBorder="1" applyAlignment="1" applyProtection="1">
      <alignment horizontal="center"/>
    </xf>
    <xf numFmtId="0" fontId="36" fillId="28" borderId="5" xfId="0" applyFont="1" applyFill="1" applyBorder="1"/>
    <xf numFmtId="0" fontId="37" fillId="38" borderId="5" xfId="0" applyFont="1" applyFill="1" applyBorder="1" applyAlignment="1">
      <alignment horizontal="center" vertical="center"/>
    </xf>
    <xf numFmtId="0" fontId="38" fillId="0" borderId="5" xfId="0" applyFont="1" applyBorder="1"/>
    <xf numFmtId="177" fontId="38" fillId="0" borderId="5" xfId="0" applyNumberFormat="1" applyFont="1" applyBorder="1"/>
    <xf numFmtId="0" fontId="4" fillId="0" borderId="53" xfId="0" applyFont="1" applyBorder="1"/>
    <xf numFmtId="0" fontId="4" fillId="0" borderId="0" xfId="0" applyFont="1" applyAlignment="1">
      <alignment horizontal="center" vertical="center"/>
    </xf>
    <xf numFmtId="0" fontId="39" fillId="0" borderId="0" xfId="0" applyFont="1"/>
    <xf numFmtId="0" fontId="40" fillId="0" borderId="0" xfId="0" applyFont="1"/>
    <xf numFmtId="177" fontId="38" fillId="39" borderId="5" xfId="0" applyNumberFormat="1" applyFont="1" applyFill="1" applyBorder="1"/>
    <xf numFmtId="0" fontId="0" fillId="40" borderId="5" xfId="0" applyFill="1" applyBorder="1"/>
    <xf numFmtId="0" fontId="38" fillId="40" borderId="5" xfId="0" applyFont="1" applyFill="1" applyBorder="1"/>
    <xf numFmtId="177" fontId="38" fillId="40" borderId="5" xfId="0" applyNumberFormat="1" applyFont="1" applyFill="1" applyBorder="1"/>
    <xf numFmtId="0" fontId="0" fillId="0" borderId="5" xfId="0" applyBorder="1" applyAlignment="1">
      <alignment horizontal="right"/>
    </xf>
    <xf numFmtId="0" fontId="0" fillId="0" borderId="0" xfId="0" applyAlignment="1">
      <alignment vertical="center"/>
    </xf>
    <xf numFmtId="0" fontId="19" fillId="18" borderId="5" xfId="0" applyFont="1" applyFill="1" applyBorder="1" applyAlignment="1">
      <alignment horizontal="center" vertical="center"/>
    </xf>
    <xf numFmtId="0" fontId="19" fillId="18" borderId="5" xfId="0" applyFont="1" applyFill="1" applyBorder="1" applyAlignment="1">
      <alignment vertical="center"/>
    </xf>
    <xf numFmtId="0" fontId="28" fillId="4" borderId="0" xfId="0" applyFont="1" applyFill="1"/>
    <xf numFmtId="0" fontId="41" fillId="2" borderId="6" xfId="30" applyFont="1" applyFill="1" applyBorder="1" applyAlignment="1">
      <alignment vertical="center"/>
    </xf>
    <xf numFmtId="0" fontId="41" fillId="2" borderId="7" xfId="30" applyFont="1" applyFill="1" applyBorder="1" applyAlignment="1">
      <alignment vertical="center"/>
    </xf>
    <xf numFmtId="0" fontId="41" fillId="2" borderId="8" xfId="30" applyFont="1" applyFill="1" applyBorder="1" applyAlignment="1">
      <alignment vertical="center"/>
    </xf>
    <xf numFmtId="0" fontId="25" fillId="0" borderId="0" xfId="30" applyFont="1" applyAlignment="1">
      <alignment horizontal="left" vertical="center"/>
    </xf>
    <xf numFmtId="0" fontId="41" fillId="9" borderId="0" xfId="0" applyFont="1" applyFill="1" applyAlignment="1">
      <alignment vertical="center"/>
    </xf>
    <xf numFmtId="0" fontId="25" fillId="7" borderId="0" xfId="30" applyFont="1" applyFill="1" applyAlignment="1">
      <alignment horizontal="left" vertical="center"/>
    </xf>
    <xf numFmtId="0" fontId="41" fillId="10" borderId="0" xfId="0" applyFont="1" applyFill="1" applyAlignment="1">
      <alignment vertical="center"/>
    </xf>
    <xf numFmtId="0" fontId="41" fillId="16" borderId="0" xfId="0" applyFont="1" applyFill="1" applyAlignment="1">
      <alignment vertical="center"/>
    </xf>
    <xf numFmtId="0" fontId="0" fillId="0" borderId="5" xfId="0" applyBorder="1" applyAlignment="1">
      <alignment vertical="center"/>
    </xf>
    <xf numFmtId="174" fontId="0" fillId="0" borderId="5" xfId="0" applyNumberFormat="1" applyBorder="1" applyAlignment="1">
      <alignment vertical="center"/>
    </xf>
    <xf numFmtId="14" fontId="0" fillId="0" borderId="5" xfId="0" applyNumberFormat="1" applyBorder="1" applyAlignment="1">
      <alignment horizontal="center" vertical="center"/>
    </xf>
    <xf numFmtId="0" fontId="42" fillId="5" borderId="0" xfId="0" applyFont="1" applyFill="1" applyAlignment="1">
      <alignment vertical="center"/>
    </xf>
    <xf numFmtId="0" fontId="25" fillId="6" borderId="6" xfId="30" applyFont="1" applyFill="1" applyBorder="1" applyAlignment="1">
      <alignment vertical="center"/>
    </xf>
    <xf numFmtId="0" fontId="25" fillId="6" borderId="7" xfId="30" applyFont="1" applyFill="1" applyBorder="1" applyAlignment="1">
      <alignment vertical="center"/>
    </xf>
    <xf numFmtId="0" fontId="25" fillId="7" borderId="7" xfId="30" applyFont="1" applyFill="1" applyBorder="1" applyAlignment="1">
      <alignment horizontal="left" vertical="center"/>
    </xf>
    <xf numFmtId="0" fontId="25" fillId="6" borderId="8" xfId="30" applyFont="1" applyFill="1" applyBorder="1" applyAlignment="1">
      <alignment vertical="center"/>
    </xf>
    <xf numFmtId="0" fontId="42" fillId="8" borderId="0" xfId="0" applyFont="1" applyFill="1" applyAlignment="1">
      <alignment vertical="center"/>
    </xf>
    <xf numFmtId="0" fontId="41" fillId="8" borderId="0" xfId="0" applyFont="1" applyFill="1" applyAlignment="1">
      <alignment vertical="center"/>
    </xf>
    <xf numFmtId="0" fontId="25" fillId="7" borderId="0" xfId="30" applyFont="1" applyFill="1" applyAlignment="1">
      <alignment horizontal="left" vertical="center" wrapText="1"/>
    </xf>
    <xf numFmtId="0" fontId="42" fillId="3" borderId="0" xfId="0" applyFont="1" applyFill="1" applyAlignment="1">
      <alignment vertical="center"/>
    </xf>
    <xf numFmtId="0" fontId="41" fillId="3" borderId="0" xfId="0" applyFont="1" applyFill="1" applyAlignment="1">
      <alignment vertical="center"/>
    </xf>
    <xf numFmtId="169" fontId="29" fillId="30" borderId="48" xfId="0" applyNumberFormat="1" applyFont="1" applyFill="1" applyBorder="1" applyAlignment="1">
      <alignment horizontal="center" vertical="top" textRotation="90" wrapText="1"/>
    </xf>
    <xf numFmtId="169" fontId="29" fillId="5" borderId="48" xfId="0" applyNumberFormat="1" applyFont="1" applyFill="1" applyBorder="1" applyAlignment="1">
      <alignment horizontal="center" vertical="top" textRotation="90" wrapText="1"/>
    </xf>
    <xf numFmtId="0" fontId="0" fillId="11" borderId="5" xfId="0" applyFill="1" applyBorder="1" applyAlignment="1">
      <alignment vertical="center"/>
    </xf>
    <xf numFmtId="0" fontId="5" fillId="11" borderId="5" xfId="0" applyFont="1" applyFill="1" applyBorder="1" applyAlignment="1">
      <alignment vertical="center"/>
    </xf>
    <xf numFmtId="174" fontId="5" fillId="11" borderId="5" xfId="0" applyNumberFormat="1" applyFont="1" applyFill="1" applyBorder="1" applyAlignment="1">
      <alignment vertical="center"/>
    </xf>
    <xf numFmtId="14" fontId="0" fillId="11" borderId="5" xfId="0" applyNumberFormat="1" applyFill="1" applyBorder="1" applyAlignment="1">
      <alignment vertical="center"/>
    </xf>
    <xf numFmtId="0" fontId="19" fillId="18" borderId="5" xfId="0" applyFont="1" applyFill="1" applyBorder="1" applyAlignment="1">
      <alignment horizontal="center" vertical="center" wrapText="1"/>
    </xf>
    <xf numFmtId="0" fontId="19" fillId="24" borderId="5" xfId="0" applyFont="1" applyFill="1" applyBorder="1" applyAlignment="1">
      <alignment horizontal="center" vertical="center" wrapText="1"/>
    </xf>
    <xf numFmtId="0" fontId="19" fillId="16" borderId="5" xfId="0" applyFont="1" applyFill="1" applyBorder="1" applyAlignment="1">
      <alignment horizontal="center" vertical="center" wrapText="1"/>
    </xf>
    <xf numFmtId="0" fontId="0" fillId="0" borderId="0" xfId="0" applyAlignment="1">
      <alignment vertical="center" wrapText="1"/>
    </xf>
    <xf numFmtId="174" fontId="0" fillId="0" borderId="5" xfId="0" applyNumberFormat="1" applyBorder="1" applyAlignment="1">
      <alignment horizontal="center" vertical="center"/>
    </xf>
    <xf numFmtId="171" fontId="43" fillId="0" borderId="5" xfId="0" applyNumberFormat="1" applyFont="1" applyBorder="1" applyAlignment="1">
      <alignment horizontal="center" wrapText="1" readingOrder="1"/>
    </xf>
    <xf numFmtId="0" fontId="0" fillId="0" borderId="5" xfId="0" applyBorder="1" applyAlignment="1">
      <alignment horizontal="center" vertical="center"/>
    </xf>
    <xf numFmtId="0" fontId="5" fillId="30" borderId="5" xfId="0" applyFont="1" applyFill="1" applyBorder="1" applyAlignment="1">
      <alignment vertical="center"/>
    </xf>
    <xf numFmtId="174" fontId="5" fillId="30" borderId="5" xfId="0" applyNumberFormat="1" applyFont="1" applyFill="1" applyBorder="1" applyAlignment="1">
      <alignment horizontal="center" vertical="center"/>
    </xf>
    <xf numFmtId="171" fontId="44" fillId="30" borderId="5" xfId="0" applyNumberFormat="1" applyFont="1" applyFill="1" applyBorder="1" applyAlignment="1">
      <alignment horizontal="center" wrapText="1" readingOrder="1"/>
    </xf>
    <xf numFmtId="174" fontId="0" fillId="41" borderId="5" xfId="0" applyNumberFormat="1" applyFill="1" applyBorder="1" applyAlignment="1">
      <alignment horizontal="center" vertical="center"/>
    </xf>
    <xf numFmtId="171" fontId="43" fillId="37" borderId="5" xfId="0" applyNumberFormat="1" applyFont="1" applyFill="1" applyBorder="1" applyAlignment="1">
      <alignment horizontal="center" wrapText="1" readingOrder="1"/>
    </xf>
    <xf numFmtId="9" fontId="51" fillId="0" borderId="5" xfId="3" applyBorder="1" applyAlignment="1" applyProtection="1">
      <alignment horizontal="center" vertical="center"/>
    </xf>
    <xf numFmtId="0" fontId="5" fillId="0" borderId="5" xfId="0" applyFont="1" applyBorder="1" applyAlignment="1">
      <alignment horizontal="center"/>
    </xf>
    <xf numFmtId="172" fontId="0" fillId="0" borderId="5" xfId="0" applyNumberFormat="1" applyBorder="1" applyAlignment="1">
      <alignment horizontal="center"/>
    </xf>
    <xf numFmtId="0" fontId="5" fillId="0" borderId="0" xfId="0" applyFont="1"/>
    <xf numFmtId="0" fontId="5" fillId="0" borderId="5" xfId="0" applyFont="1" applyBorder="1" applyAlignment="1">
      <alignment horizontal="center" vertical="center"/>
    </xf>
    <xf numFmtId="0" fontId="5" fillId="0" borderId="46" xfId="0" applyFont="1" applyBorder="1" applyAlignment="1">
      <alignment horizontal="center" vertical="center"/>
    </xf>
    <xf numFmtId="9" fontId="0" fillId="0" borderId="5" xfId="0" applyNumberFormat="1" applyBorder="1" applyAlignment="1">
      <alignment horizontal="center" vertical="center"/>
    </xf>
    <xf numFmtId="171" fontId="44" fillId="24" borderId="5" xfId="0" applyNumberFormat="1" applyFont="1" applyFill="1" applyBorder="1" applyAlignment="1">
      <alignment horizontal="center" wrapText="1" readingOrder="1"/>
    </xf>
    <xf numFmtId="171" fontId="44" fillId="37" borderId="5" xfId="0" applyNumberFormat="1" applyFont="1" applyFill="1" applyBorder="1" applyAlignment="1">
      <alignment horizontal="center" wrapText="1" readingOrder="1"/>
    </xf>
    <xf numFmtId="171" fontId="5" fillId="37" borderId="5" xfId="0" applyNumberFormat="1" applyFont="1" applyFill="1" applyBorder="1" applyAlignment="1">
      <alignment horizontal="center" vertical="center"/>
    </xf>
    <xf numFmtId="174" fontId="5" fillId="11" borderId="5" xfId="0" applyNumberFormat="1" applyFont="1" applyFill="1" applyBorder="1" applyAlignment="1">
      <alignment horizontal="center" vertical="center"/>
    </xf>
    <xf numFmtId="0" fontId="45" fillId="0" borderId="5" xfId="0" applyFont="1" applyBorder="1"/>
    <xf numFmtId="0" fontId="46" fillId="0" borderId="5" xfId="0" applyFont="1" applyBorder="1"/>
    <xf numFmtId="177" fontId="46" fillId="0" borderId="5" xfId="0" applyNumberFormat="1" applyFont="1" applyBorder="1"/>
    <xf numFmtId="177" fontId="46" fillId="39" borderId="5" xfId="0" applyNumberFormat="1" applyFont="1" applyFill="1" applyBorder="1"/>
    <xf numFmtId="0" fontId="0" fillId="37" borderId="5" xfId="0" applyFill="1" applyBorder="1"/>
    <xf numFmtId="0" fontId="46" fillId="40" borderId="5" xfId="0" applyFont="1" applyFill="1" applyBorder="1"/>
    <xf numFmtId="177" fontId="46" fillId="40" borderId="5" xfId="0" applyNumberFormat="1" applyFont="1" applyFill="1" applyBorder="1"/>
    <xf numFmtId="0" fontId="0" fillId="0" borderId="36" xfId="0" applyBorder="1"/>
    <xf numFmtId="0" fontId="0" fillId="0" borderId="25" xfId="0" applyBorder="1"/>
    <xf numFmtId="0" fontId="0" fillId="0" borderId="8" xfId="0" applyBorder="1"/>
    <xf numFmtId="0" fontId="0" fillId="0" borderId="6" xfId="0" applyBorder="1"/>
    <xf numFmtId="0" fontId="0" fillId="0" borderId="8" xfId="0" applyBorder="1" applyAlignment="1">
      <alignment wrapText="1"/>
    </xf>
    <xf numFmtId="0" fontId="0" fillId="0" borderId="6" xfId="0" applyBorder="1" applyAlignment="1">
      <alignment wrapText="1"/>
    </xf>
    <xf numFmtId="0" fontId="0" fillId="0" borderId="30" xfId="0" applyBorder="1"/>
    <xf numFmtId="0" fontId="0" fillId="0" borderId="29" xfId="0" applyBorder="1" applyAlignment="1">
      <alignment wrapText="1"/>
    </xf>
    <xf numFmtId="0" fontId="0" fillId="40" borderId="6" xfId="0" applyFill="1" applyBorder="1" applyAlignment="1">
      <alignment wrapText="1"/>
    </xf>
    <xf numFmtId="0" fontId="47" fillId="0" borderId="6" xfId="0" applyFont="1" applyBorder="1" applyAlignment="1">
      <alignment wrapText="1"/>
    </xf>
    <xf numFmtId="0" fontId="48" fillId="0" borderId="0" xfId="0" applyFont="1"/>
    <xf numFmtId="0" fontId="49" fillId="0" borderId="0" xfId="0" applyFont="1"/>
    <xf numFmtId="0" fontId="0" fillId="0" borderId="29" xfId="0" applyBorder="1"/>
    <xf numFmtId="0" fontId="0" fillId="0" borderId="0" xfId="0" applyAlignment="1">
      <alignment horizontal="center" vertical="center"/>
    </xf>
    <xf numFmtId="0" fontId="20" fillId="18" borderId="5" xfId="0" applyFont="1" applyFill="1" applyBorder="1" applyAlignment="1">
      <alignment horizontal="center" vertical="center"/>
    </xf>
    <xf numFmtId="0" fontId="5" fillId="37" borderId="0" xfId="0" applyFont="1" applyFill="1" applyAlignment="1">
      <alignment horizontal="center" vertical="center"/>
    </xf>
    <xf numFmtId="0" fontId="0" fillId="0" borderId="5" xfId="0" applyBorder="1" applyAlignment="1">
      <alignment horizontal="left" vertical="center"/>
    </xf>
    <xf numFmtId="0" fontId="0" fillId="22" borderId="5" xfId="0" applyFill="1" applyBorder="1" applyAlignment="1">
      <alignment horizontal="center" vertical="center"/>
    </xf>
    <xf numFmtId="0" fontId="5" fillId="29" borderId="5" xfId="0" applyFont="1" applyFill="1" applyBorder="1" applyAlignment="1">
      <alignment horizontal="center" vertical="center"/>
    </xf>
    <xf numFmtId="0" fontId="20" fillId="18" borderId="6" xfId="0" applyFont="1" applyFill="1" applyBorder="1" applyAlignment="1">
      <alignment horizontal="center" vertical="center"/>
    </xf>
    <xf numFmtId="0" fontId="0" fillId="37" borderId="5" xfId="0" applyFill="1" applyBorder="1" applyAlignment="1">
      <alignment horizontal="center" vertical="center"/>
    </xf>
    <xf numFmtId="0" fontId="5" fillId="0" borderId="5" xfId="0" applyFont="1" applyBorder="1" applyAlignment="1">
      <alignment horizontal="left" vertical="center"/>
    </xf>
    <xf numFmtId="0" fontId="20" fillId="18" borderId="5" xfId="0" applyFont="1" applyFill="1" applyBorder="1" applyAlignment="1">
      <alignment vertical="center"/>
    </xf>
    <xf numFmtId="0" fontId="50" fillId="0" borderId="0" xfId="0" applyFont="1"/>
    <xf numFmtId="0" fontId="6" fillId="42" borderId="0" xfId="0" applyFont="1" applyFill="1"/>
    <xf numFmtId="0" fontId="6" fillId="43" borderId="0" xfId="0" applyFont="1" applyFill="1" applyAlignment="1">
      <alignment vertical="center"/>
    </xf>
    <xf numFmtId="0" fontId="6" fillId="24" borderId="0" xfId="0" applyFont="1" applyFill="1" applyAlignment="1">
      <alignment vertical="center"/>
    </xf>
    <xf numFmtId="0" fontId="6" fillId="44" borderId="0" xfId="0" applyFont="1" applyFill="1" applyAlignment="1">
      <alignment vertical="center"/>
    </xf>
    <xf numFmtId="0" fontId="6" fillId="3" borderId="0" xfId="0" applyFont="1" applyFill="1" applyAlignment="1">
      <alignment vertical="center"/>
    </xf>
    <xf numFmtId="0" fontId="7" fillId="45" borderId="0" xfId="0" applyFont="1" applyFill="1" applyAlignment="1">
      <alignment vertical="center"/>
    </xf>
    <xf numFmtId="0" fontId="6" fillId="45" borderId="0" xfId="0" applyFont="1" applyFill="1" applyAlignment="1">
      <alignment vertical="center"/>
    </xf>
    <xf numFmtId="0" fontId="7" fillId="10" borderId="0" xfId="0" applyFont="1" applyFill="1" applyAlignment="1">
      <alignment vertical="center"/>
    </xf>
    <xf numFmtId="0" fontId="6" fillId="10" borderId="0" xfId="0" applyFont="1" applyFill="1" applyAlignment="1">
      <alignment vertical="center"/>
    </xf>
    <xf numFmtId="3" fontId="30" fillId="0" borderId="5" xfId="2" applyNumberFormat="1" applyFont="1" applyBorder="1" applyAlignment="1" applyProtection="1">
      <alignment horizontal="center"/>
    </xf>
    <xf numFmtId="3" fontId="21" fillId="0" borderId="5" xfId="2" applyNumberFormat="1" applyFont="1" applyBorder="1" applyAlignment="1" applyProtection="1">
      <alignment horizontal="center"/>
    </xf>
    <xf numFmtId="0" fontId="21" fillId="0" borderId="5" xfId="0" applyFont="1" applyBorder="1"/>
    <xf numFmtId="173" fontId="51" fillId="0" borderId="5" xfId="1" applyNumberFormat="1" applyBorder="1" applyAlignment="1" applyProtection="1">
      <alignment horizontal="right"/>
    </xf>
    <xf numFmtId="178" fontId="51" fillId="0" borderId="5" xfId="1" applyNumberFormat="1" applyBorder="1" applyAlignment="1" applyProtection="1">
      <alignment horizontal="center"/>
    </xf>
    <xf numFmtId="0" fontId="7" fillId="14" borderId="0" xfId="0" applyFont="1" applyFill="1" applyAlignment="1">
      <alignment vertical="center"/>
    </xf>
    <xf numFmtId="0" fontId="20" fillId="16" borderId="5" xfId="0" applyFont="1" applyFill="1" applyBorder="1" applyAlignment="1">
      <alignment horizontal="center" vertical="top" wrapText="1"/>
    </xf>
    <xf numFmtId="0" fontId="30" fillId="30" borderId="5" xfId="0" applyFont="1" applyFill="1" applyBorder="1" applyAlignment="1">
      <alignment horizontal="center" vertical="top" wrapText="1"/>
    </xf>
    <xf numFmtId="169" fontId="29" fillId="30" borderId="34" xfId="0" applyNumberFormat="1" applyFont="1" applyFill="1" applyBorder="1" applyAlignment="1">
      <alignment horizontal="center" vertical="top" textRotation="90" wrapText="1"/>
    </xf>
    <xf numFmtId="14" fontId="28" fillId="0" borderId="5" xfId="0" applyNumberFormat="1" applyFont="1" applyBorder="1" applyAlignment="1">
      <alignment horizontal="center" vertical="top" wrapText="1"/>
    </xf>
    <xf numFmtId="14" fontId="29" fillId="11" borderId="8" xfId="0" applyNumberFormat="1" applyFont="1" applyFill="1" applyBorder="1" applyAlignment="1">
      <alignment horizontal="center" vertical="top" wrapText="1"/>
    </xf>
    <xf numFmtId="174" fontId="30" fillId="0" borderId="5" xfId="2" applyNumberFormat="1" applyFont="1" applyBorder="1" applyAlignment="1" applyProtection="1">
      <alignment horizontal="center"/>
    </xf>
    <xf numFmtId="174" fontId="30" fillId="0" borderId="5" xfId="12" applyNumberFormat="1" applyFont="1" applyBorder="1" applyAlignment="1" applyProtection="1">
      <alignment horizontal="center"/>
    </xf>
    <xf numFmtId="173" fontId="30" fillId="11" borderId="5" xfId="1" applyNumberFormat="1" applyFont="1" applyFill="1" applyBorder="1" applyAlignment="1" applyProtection="1">
      <alignment horizontal="center" wrapText="1"/>
    </xf>
    <xf numFmtId="164" fontId="30" fillId="0" borderId="5" xfId="1" applyFont="1" applyBorder="1" applyProtection="1"/>
    <xf numFmtId="174" fontId="21" fillId="0" borderId="5" xfId="12" applyNumberFormat="1" applyFont="1" applyBorder="1" applyAlignment="1" applyProtection="1">
      <alignment horizontal="center"/>
    </xf>
    <xf numFmtId="3" fontId="30" fillId="46" borderId="5" xfId="2" applyNumberFormat="1" applyFont="1" applyFill="1" applyBorder="1" applyAlignment="1" applyProtection="1">
      <alignment horizontal="center"/>
    </xf>
    <xf numFmtId="9" fontId="51" fillId="0" borderId="0" xfId="3" applyBorder="1" applyAlignment="1" applyProtection="1">
      <alignment horizontal="right"/>
    </xf>
    <xf numFmtId="9" fontId="51" fillId="0" borderId="0" xfId="56" applyBorder="1" applyAlignment="1" applyProtection="1">
      <alignment horizontal="center" wrapText="1"/>
    </xf>
    <xf numFmtId="3" fontId="0" fillId="0" borderId="0" xfId="0" applyNumberFormat="1" applyAlignment="1">
      <alignment horizontal="center" wrapText="1"/>
    </xf>
    <xf numFmtId="9" fontId="0" fillId="0" borderId="0" xfId="0" applyNumberFormat="1" applyAlignment="1">
      <alignment horizontal="center" wrapText="1"/>
    </xf>
    <xf numFmtId="173" fontId="51" fillId="0" borderId="0" xfId="1" applyNumberFormat="1" applyBorder="1" applyAlignment="1" applyProtection="1">
      <alignment horizontal="right"/>
    </xf>
    <xf numFmtId="173" fontId="51" fillId="0" borderId="5" xfId="3" applyNumberFormat="1" applyBorder="1" applyAlignment="1" applyProtection="1">
      <alignment horizontal="center"/>
    </xf>
    <xf numFmtId="170" fontId="51" fillId="0" borderId="0" xfId="2" applyNumberFormat="1" applyBorder="1" applyAlignment="1" applyProtection="1">
      <alignment horizontal="center"/>
    </xf>
    <xf numFmtId="9" fontId="51" fillId="0" borderId="0" xfId="3" applyBorder="1" applyAlignment="1" applyProtection="1">
      <alignment horizontal="center" wrapText="1"/>
    </xf>
    <xf numFmtId="2" fontId="0" fillId="0" borderId="0" xfId="0" applyNumberFormat="1"/>
    <xf numFmtId="170" fontId="51" fillId="0" borderId="0" xfId="2" applyNumberFormat="1" applyBorder="1" applyProtection="1"/>
    <xf numFmtId="0" fontId="26" fillId="21" borderId="0" xfId="0" applyFont="1" applyFill="1" applyAlignment="1">
      <alignment horizontal="center"/>
    </xf>
    <xf numFmtId="167" fontId="7" fillId="2" borderId="1" xfId="7" applyNumberFormat="1" applyFont="1" applyFill="1" applyBorder="1" applyAlignment="1" applyProtection="1">
      <alignment horizontal="center" vertical="center" wrapText="1"/>
    </xf>
    <xf numFmtId="166" fontId="7" fillId="2" borderId="1" xfId="7" applyNumberFormat="1" applyFont="1" applyFill="1" applyBorder="1" applyAlignment="1" applyProtection="1">
      <alignment horizontal="center" vertical="center" wrapText="1"/>
    </xf>
    <xf numFmtId="166" fontId="7" fillId="2" borderId="2" xfId="7" applyNumberFormat="1" applyFont="1" applyFill="1" applyBorder="1" applyAlignment="1" applyProtection="1">
      <alignment horizontal="center" vertical="center" wrapText="1"/>
    </xf>
    <xf numFmtId="0" fontId="7" fillId="2" borderId="10" xfId="0" applyFont="1" applyFill="1" applyBorder="1" applyAlignment="1">
      <alignment horizontal="center"/>
    </xf>
    <xf numFmtId="0" fontId="7" fillId="13" borderId="0" xfId="0" applyFont="1" applyFill="1" applyAlignment="1">
      <alignment horizontal="center" vertical="center"/>
    </xf>
    <xf numFmtId="0" fontId="10" fillId="2" borderId="10" xfId="0" applyFont="1" applyFill="1" applyBorder="1" applyAlignment="1">
      <alignment horizontal="center" vertical="center"/>
    </xf>
    <xf numFmtId="0" fontId="10" fillId="2" borderId="10" xfId="30" applyFont="1" applyFill="1" applyBorder="1" applyAlignment="1">
      <alignment horizontal="center" vertical="center"/>
    </xf>
    <xf numFmtId="0" fontId="10" fillId="28" borderId="10" xfId="30" applyFont="1" applyFill="1" applyBorder="1" applyAlignment="1">
      <alignment horizontal="center" vertical="center"/>
    </xf>
    <xf numFmtId="0" fontId="11" fillId="23" borderId="16" xfId="30" applyFont="1" applyFill="1" applyBorder="1" applyAlignment="1">
      <alignment horizontal="center" vertical="center"/>
    </xf>
    <xf numFmtId="0" fontId="6" fillId="23" borderId="16" xfId="0" applyFont="1" applyFill="1" applyBorder="1" applyAlignment="1">
      <alignment horizontal="center"/>
    </xf>
    <xf numFmtId="0" fontId="6" fillId="8" borderId="10" xfId="0" applyFont="1" applyFill="1" applyBorder="1" applyAlignment="1">
      <alignment horizontal="center"/>
    </xf>
    <xf numFmtId="0" fontId="6" fillId="8" borderId="10" xfId="0" applyFont="1" applyFill="1" applyBorder="1" applyAlignment="1">
      <alignment horizontal="left"/>
    </xf>
    <xf numFmtId="0" fontId="11" fillId="23" borderId="16" xfId="30" applyFont="1" applyFill="1" applyBorder="1" applyAlignment="1">
      <alignment horizontal="center" vertical="center" wrapText="1"/>
    </xf>
    <xf numFmtId="0" fontId="7" fillId="13" borderId="6" xfId="0" applyFont="1" applyFill="1" applyBorder="1" applyAlignment="1">
      <alignment horizontal="center" vertical="center"/>
    </xf>
    <xf numFmtId="0" fontId="7" fillId="13" borderId="18" xfId="0" applyFont="1" applyFill="1" applyBorder="1" applyAlignment="1">
      <alignment horizontal="center" vertical="center"/>
    </xf>
    <xf numFmtId="167" fontId="7" fillId="2" borderId="15" xfId="7" applyNumberFormat="1" applyFont="1" applyFill="1" applyBorder="1" applyAlignment="1" applyProtection="1">
      <alignment horizontal="center" vertical="center" wrapText="1"/>
    </xf>
    <xf numFmtId="167" fontId="7" fillId="6" borderId="1" xfId="7" applyNumberFormat="1" applyFont="1" applyFill="1" applyBorder="1" applyAlignment="1" applyProtection="1">
      <alignment horizontal="center" vertical="center" wrapText="1"/>
    </xf>
    <xf numFmtId="167" fontId="7" fillId="6" borderId="13" xfId="7" applyNumberFormat="1" applyFont="1" applyFill="1" applyBorder="1" applyAlignment="1" applyProtection="1">
      <alignment horizontal="center" vertical="center" wrapText="1"/>
    </xf>
    <xf numFmtId="167" fontId="7" fillId="2" borderId="13" xfId="7" applyNumberFormat="1" applyFont="1" applyFill="1" applyBorder="1" applyAlignment="1" applyProtection="1">
      <alignment horizontal="center" vertical="center" wrapText="1"/>
    </xf>
    <xf numFmtId="166" fontId="7" fillId="2" borderId="12" xfId="7" applyNumberFormat="1" applyFont="1" applyFill="1" applyBorder="1" applyAlignment="1" applyProtection="1">
      <alignment horizontal="center" vertical="center" wrapText="1"/>
    </xf>
    <xf numFmtId="166" fontId="7" fillId="2" borderId="13" xfId="7" applyNumberFormat="1" applyFont="1" applyFill="1" applyBorder="1" applyAlignment="1" applyProtection="1">
      <alignment horizontal="center" vertical="center" wrapText="1"/>
    </xf>
    <xf numFmtId="167" fontId="7" fillId="6" borderId="12" xfId="7" applyNumberFormat="1" applyFont="1" applyFill="1" applyBorder="1" applyAlignment="1" applyProtection="1">
      <alignment horizontal="center" vertical="center" wrapText="1"/>
    </xf>
    <xf numFmtId="0" fontId="20" fillId="18" borderId="5" xfId="0" applyFont="1" applyFill="1" applyBorder="1" applyAlignment="1">
      <alignment horizontal="center" vertical="center"/>
    </xf>
  </cellXfs>
  <cellStyles count="71">
    <cellStyle name="Comma" xfId="1" builtinId="3"/>
    <cellStyle name="Comma 11" xfId="4" xr:uid="{00000000-0005-0000-0000-000006000000}"/>
    <cellStyle name="Comma 11 2" xfId="5" xr:uid="{00000000-0005-0000-0000-000007000000}"/>
    <cellStyle name="Comma 2" xfId="6" xr:uid="{00000000-0005-0000-0000-000008000000}"/>
    <cellStyle name="Comma 2 2" xfId="7" xr:uid="{00000000-0005-0000-0000-000009000000}"/>
    <cellStyle name="Comma 2 3" xfId="8" xr:uid="{00000000-0005-0000-0000-00000A000000}"/>
    <cellStyle name="Comma 8" xfId="9" xr:uid="{00000000-0005-0000-0000-00000B000000}"/>
    <cellStyle name="Comma 9" xfId="10" xr:uid="{00000000-0005-0000-0000-00000C000000}"/>
    <cellStyle name="Currency" xfId="2" builtinId="4"/>
    <cellStyle name="Currency 11" xfId="11" xr:uid="{00000000-0005-0000-0000-00000D000000}"/>
    <cellStyle name="Currency 2" xfId="12" xr:uid="{00000000-0005-0000-0000-00000E000000}"/>
    <cellStyle name="Currency 2 2" xfId="13" xr:uid="{00000000-0005-0000-0000-00000F000000}"/>
    <cellStyle name="Currency 2 3" xfId="14" xr:uid="{00000000-0005-0000-0000-000010000000}"/>
    <cellStyle name="Currency 2 4" xfId="15" xr:uid="{00000000-0005-0000-0000-000011000000}"/>
    <cellStyle name="Currency 2 5" xfId="16" xr:uid="{00000000-0005-0000-0000-000012000000}"/>
    <cellStyle name="Currency 2 6" xfId="17" xr:uid="{00000000-0005-0000-0000-000013000000}"/>
    <cellStyle name="Currency 2 7" xfId="18" xr:uid="{00000000-0005-0000-0000-000014000000}"/>
    <cellStyle name="Currency 2 8" xfId="19" xr:uid="{00000000-0005-0000-0000-000015000000}"/>
    <cellStyle name="Currency 8" xfId="20" xr:uid="{00000000-0005-0000-0000-000016000000}"/>
    <cellStyle name="Currency 9" xfId="21" xr:uid="{00000000-0005-0000-0000-000017000000}"/>
    <cellStyle name="Hyperlink 2" xfId="22" xr:uid="{00000000-0005-0000-0000-000018000000}"/>
    <cellStyle name="Hyperlink 3" xfId="23" xr:uid="{00000000-0005-0000-0000-000019000000}"/>
    <cellStyle name="Hyperlink 3 2" xfId="24" xr:uid="{00000000-0005-0000-0000-00001A000000}"/>
    <cellStyle name="Hyperlink 4" xfId="25" xr:uid="{00000000-0005-0000-0000-00001B000000}"/>
    <cellStyle name="Normal" xfId="0" builtinId="0"/>
    <cellStyle name="Normal 10" xfId="26" xr:uid="{00000000-0005-0000-0000-00001C000000}"/>
    <cellStyle name="Normal 11" xfId="27" xr:uid="{00000000-0005-0000-0000-00001D000000}"/>
    <cellStyle name="Normal 12" xfId="28" xr:uid="{00000000-0005-0000-0000-00001E000000}"/>
    <cellStyle name="Normal 13" xfId="29" xr:uid="{00000000-0005-0000-0000-00001F000000}"/>
    <cellStyle name="Normal 2" xfId="30" xr:uid="{00000000-0005-0000-0000-000020000000}"/>
    <cellStyle name="Normal 2 2" xfId="31" xr:uid="{00000000-0005-0000-0000-000021000000}"/>
    <cellStyle name="Normal 2 2 2" xfId="32" xr:uid="{00000000-0005-0000-0000-000022000000}"/>
    <cellStyle name="Normal 2 2 3" xfId="33" xr:uid="{00000000-0005-0000-0000-000023000000}"/>
    <cellStyle name="Normal 2 2 4" xfId="34" xr:uid="{00000000-0005-0000-0000-000024000000}"/>
    <cellStyle name="Normal 2 2 5" xfId="35" xr:uid="{00000000-0005-0000-0000-000025000000}"/>
    <cellStyle name="Normal 2 2 6" xfId="36" xr:uid="{00000000-0005-0000-0000-000026000000}"/>
    <cellStyle name="Normal 2 2 7" xfId="37" xr:uid="{00000000-0005-0000-0000-000027000000}"/>
    <cellStyle name="Normal 2 3" xfId="38" xr:uid="{00000000-0005-0000-0000-000028000000}"/>
    <cellStyle name="Normal 2 4" xfId="39" xr:uid="{00000000-0005-0000-0000-000029000000}"/>
    <cellStyle name="Normal 2 5" xfId="40" xr:uid="{00000000-0005-0000-0000-00002A000000}"/>
    <cellStyle name="Normal 2 6" xfId="41" xr:uid="{00000000-0005-0000-0000-00002B000000}"/>
    <cellStyle name="Normal 2 7" xfId="42" xr:uid="{00000000-0005-0000-0000-00002C000000}"/>
    <cellStyle name="Normal 3" xfId="43" xr:uid="{00000000-0005-0000-0000-00002D000000}"/>
    <cellStyle name="Normal 3 2" xfId="44" xr:uid="{00000000-0005-0000-0000-00002E000000}"/>
    <cellStyle name="Normal 3 3" xfId="45" xr:uid="{00000000-0005-0000-0000-00002F000000}"/>
    <cellStyle name="Normal 3 4" xfId="46" xr:uid="{00000000-0005-0000-0000-000030000000}"/>
    <cellStyle name="Normal 3 5" xfId="47" xr:uid="{00000000-0005-0000-0000-000031000000}"/>
    <cellStyle name="Normal 3 6" xfId="48" xr:uid="{00000000-0005-0000-0000-000032000000}"/>
    <cellStyle name="Normal 3 7" xfId="49" xr:uid="{00000000-0005-0000-0000-000033000000}"/>
    <cellStyle name="Normal 3 8" xfId="50" xr:uid="{00000000-0005-0000-0000-000034000000}"/>
    <cellStyle name="Normal 5" xfId="51" xr:uid="{00000000-0005-0000-0000-000035000000}"/>
    <cellStyle name="Normal 6" xfId="52" xr:uid="{00000000-0005-0000-0000-000036000000}"/>
    <cellStyle name="Normal 8" xfId="53" xr:uid="{00000000-0005-0000-0000-000037000000}"/>
    <cellStyle name="Normal 9" xfId="54" xr:uid="{00000000-0005-0000-0000-000038000000}"/>
    <cellStyle name="Percent" xfId="3" builtinId="5"/>
    <cellStyle name="Percent 11" xfId="55" xr:uid="{00000000-0005-0000-0000-000039000000}"/>
    <cellStyle name="Percent 2" xfId="56" xr:uid="{00000000-0005-0000-0000-00003A000000}"/>
    <cellStyle name="Percent 2 2" xfId="57" xr:uid="{00000000-0005-0000-0000-00003B000000}"/>
    <cellStyle name="Percent 2 3" xfId="58" xr:uid="{00000000-0005-0000-0000-00003C000000}"/>
    <cellStyle name="Percent 2 4" xfId="59" xr:uid="{00000000-0005-0000-0000-00003D000000}"/>
    <cellStyle name="Percent 2 5" xfId="60" xr:uid="{00000000-0005-0000-0000-00003E000000}"/>
    <cellStyle name="Percent 2 6" xfId="61" xr:uid="{00000000-0005-0000-0000-00003F000000}"/>
    <cellStyle name="Percent 2 7" xfId="62" xr:uid="{00000000-0005-0000-0000-000040000000}"/>
    <cellStyle name="Percent 8" xfId="63" xr:uid="{00000000-0005-0000-0000-000041000000}"/>
    <cellStyle name="Percent 9" xfId="64" xr:uid="{00000000-0005-0000-0000-000042000000}"/>
    <cellStyle name="Pivot Table Category" xfId="65" xr:uid="{00000000-0005-0000-0000-000043000000}"/>
    <cellStyle name="Pivot Table Corner" xfId="66" xr:uid="{00000000-0005-0000-0000-000044000000}"/>
    <cellStyle name="Pivot Table Field" xfId="67" xr:uid="{00000000-0005-0000-0000-000045000000}"/>
    <cellStyle name="Pivot Table Result" xfId="68" xr:uid="{00000000-0005-0000-0000-000046000000}"/>
    <cellStyle name="Pivot Table Title" xfId="69" xr:uid="{00000000-0005-0000-0000-000047000000}"/>
    <cellStyle name="Pivot Table Value" xfId="70" xr:uid="{00000000-0005-0000-0000-000048000000}"/>
  </cellStyles>
  <dxfs count="50">
    <dxf>
      <font>
        <b/>
        <i val="0"/>
      </font>
      <fill>
        <patternFill>
          <bgColor theme="5" tint="0.79989013336588644"/>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
      <font>
        <color rgb="FF000000"/>
      </font>
      <fill>
        <patternFill>
          <bgColor rgb="FF92D050"/>
        </patternFill>
      </fill>
    </dxf>
  </dxfs>
  <tableStyles count="0" defaultTableStyle="TableStyleMedium2" defaultPivotStyle="PivotStyleLight16"/>
  <colors>
    <indexedColors>
      <rgbColor rgb="FF000000"/>
      <rgbColor rgb="FFFFFFFF"/>
      <rgbColor rgb="FFFF0000"/>
      <rgbColor rgb="FF7AAC21"/>
      <rgbColor rgb="FF0000FF"/>
      <rgbColor rgb="FFFFFF00"/>
      <rgbColor rgb="FFD0CECE"/>
      <rgbColor rgb="FFC5E0B4"/>
      <rgbColor rgb="FF800000"/>
      <rgbColor rgb="FF70AD47"/>
      <rgbColor rgb="FF140F4B"/>
      <rgbColor rgb="FF548235"/>
      <rgbColor rgb="FFE7E6E6"/>
      <rgbColor rgb="FF0070C0"/>
      <rgbColor rgb="FFC9C9C9"/>
      <rgbColor rgb="FF7F7F7F"/>
      <rgbColor rgb="FF8FAADC"/>
      <rgbColor rgb="FF7030A0"/>
      <rgbColor rgb="FFFFF2CC"/>
      <rgbColor rgb="FFDEEBF7"/>
      <rgbColor rgb="FF660066"/>
      <rgbColor rgb="FFAEAAAA"/>
      <rgbColor rgb="FF0563C1"/>
      <rgbColor rgb="FFBDD7EE"/>
      <rgbColor rgb="FF000080"/>
      <rgbColor rgb="FFFBE5D6"/>
      <rgbColor rgb="FFC6E0B4"/>
      <rgbColor rgb="FFD6DCE5"/>
      <rgbColor rgb="FF800080"/>
      <rgbColor rgb="FF800000"/>
      <rgbColor rgb="FF44546A"/>
      <rgbColor rgb="FF0000FF"/>
      <rgbColor rgb="FF00B0F0"/>
      <rgbColor rgb="FFDAE3F3"/>
      <rgbColor rgb="FFE2F0D9"/>
      <rgbColor rgb="FFFFE699"/>
      <rgbColor rgb="FFB4C7E7"/>
      <rgbColor rgb="FFAFABAB"/>
      <rgbColor rgb="FFADB9CA"/>
      <rgbColor rgb="FFF8CBAD"/>
      <rgbColor rgb="FF4472C4"/>
      <rgbColor rgb="FF5B9BD5"/>
      <rgbColor rgb="FF92D050"/>
      <rgbColor rgb="FFFFC000"/>
      <rgbColor rgb="FFA6A6A6"/>
      <rgbColor rgb="FFED7D31"/>
      <rgbColor rgb="FF767171"/>
      <rgbColor rgb="FFA5A5A5"/>
      <rgbColor rgb="FF002060"/>
      <rgbColor rgb="FF00B050"/>
      <rgbColor rgb="FF003300"/>
      <rgbColor rgb="FF385623"/>
      <rgbColor rgb="FF7C7C7C"/>
      <rgbColor rgb="FF535353"/>
      <rgbColor rgb="FF2F5597"/>
      <rgbColor rgb="FF20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69</xdr:col>
      <xdr:colOff>92160</xdr:colOff>
      <xdr:row>1</xdr:row>
      <xdr:rowOff>252360</xdr:rowOff>
    </xdr:from>
    <xdr:to>
      <xdr:col>70</xdr:col>
      <xdr:colOff>68760</xdr:colOff>
      <xdr:row>1</xdr:row>
      <xdr:rowOff>282240</xdr:rowOff>
    </xdr:to>
    <xdr:sp macro="" textlink="">
      <xdr:nvSpPr>
        <xdr:cNvPr id="2" name="Star: 5 Points 4">
          <a:extLst>
            <a:ext uri="{FF2B5EF4-FFF2-40B4-BE49-F238E27FC236}">
              <a16:creationId xmlns:a16="http://schemas.microsoft.com/office/drawing/2014/main" id="{00000000-0008-0000-0000-000002000000}"/>
            </a:ext>
          </a:extLst>
        </xdr:cNvPr>
        <xdr:cNvSpPr/>
      </xdr:nvSpPr>
      <xdr:spPr>
        <a:xfrm>
          <a:off x="8399880" y="404640"/>
          <a:ext cx="9864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108</xdr:col>
      <xdr:colOff>23760</xdr:colOff>
      <xdr:row>35</xdr:row>
      <xdr:rowOff>136080</xdr:rowOff>
    </xdr:from>
    <xdr:to>
      <xdr:col>109</xdr:col>
      <xdr:colOff>83880</xdr:colOff>
      <xdr:row>37</xdr:row>
      <xdr:rowOff>13320</xdr:rowOff>
    </xdr:to>
    <xdr:sp macro="" textlink="">
      <xdr:nvSpPr>
        <xdr:cNvPr id="3" name="Star: 5 Points 3">
          <a:extLst>
            <a:ext uri="{FF2B5EF4-FFF2-40B4-BE49-F238E27FC236}">
              <a16:creationId xmlns:a16="http://schemas.microsoft.com/office/drawing/2014/main" id="{00000000-0008-0000-0000-000003000000}"/>
            </a:ext>
          </a:extLst>
        </xdr:cNvPr>
        <xdr:cNvSpPr/>
      </xdr:nvSpPr>
      <xdr:spPr>
        <a:xfrm>
          <a:off x="13086360" y="3162960"/>
          <a:ext cx="182160" cy="18216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117</xdr:col>
      <xdr:colOff>92160</xdr:colOff>
      <xdr:row>4</xdr:row>
      <xdr:rowOff>120960</xdr:rowOff>
    </xdr:from>
    <xdr:to>
      <xdr:col>118</xdr:col>
      <xdr:colOff>68760</xdr:colOff>
      <xdr:row>4</xdr:row>
      <xdr:rowOff>150840</xdr:rowOff>
    </xdr:to>
    <xdr:sp macro="" textlink="">
      <xdr:nvSpPr>
        <xdr:cNvPr id="2" name="Star: 5 Points 4">
          <a:extLst>
            <a:ext uri="{FF2B5EF4-FFF2-40B4-BE49-F238E27FC236}">
              <a16:creationId xmlns:a16="http://schemas.microsoft.com/office/drawing/2014/main" id="{00000000-0008-0000-0100-000002000000}"/>
            </a:ext>
          </a:extLst>
        </xdr:cNvPr>
        <xdr:cNvSpPr/>
      </xdr:nvSpPr>
      <xdr:spPr>
        <a:xfrm>
          <a:off x="21459960" y="861840"/>
          <a:ext cx="18792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134</xdr:col>
      <xdr:colOff>92160</xdr:colOff>
      <xdr:row>4</xdr:row>
      <xdr:rowOff>120960</xdr:rowOff>
    </xdr:from>
    <xdr:to>
      <xdr:col>135</xdr:col>
      <xdr:colOff>68760</xdr:colOff>
      <xdr:row>4</xdr:row>
      <xdr:rowOff>150840</xdr:rowOff>
    </xdr:to>
    <xdr:sp macro="" textlink="">
      <xdr:nvSpPr>
        <xdr:cNvPr id="3" name="Star: 5 Points 9">
          <a:extLst>
            <a:ext uri="{FF2B5EF4-FFF2-40B4-BE49-F238E27FC236}">
              <a16:creationId xmlns:a16="http://schemas.microsoft.com/office/drawing/2014/main" id="{00000000-0008-0000-0100-000003000000}"/>
            </a:ext>
          </a:extLst>
        </xdr:cNvPr>
        <xdr:cNvSpPr/>
      </xdr:nvSpPr>
      <xdr:spPr>
        <a:xfrm>
          <a:off x="25054560" y="861840"/>
          <a:ext cx="18828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121</xdr:col>
      <xdr:colOff>92160</xdr:colOff>
      <xdr:row>26</xdr:row>
      <xdr:rowOff>120600</xdr:rowOff>
    </xdr:from>
    <xdr:to>
      <xdr:col>122</xdr:col>
      <xdr:colOff>68760</xdr:colOff>
      <xdr:row>27</xdr:row>
      <xdr:rowOff>150840</xdr:rowOff>
    </xdr:to>
    <xdr:sp macro="" textlink="">
      <xdr:nvSpPr>
        <xdr:cNvPr id="4" name="Star: 5 Points 11">
          <a:extLst>
            <a:ext uri="{FF2B5EF4-FFF2-40B4-BE49-F238E27FC236}">
              <a16:creationId xmlns:a16="http://schemas.microsoft.com/office/drawing/2014/main" id="{00000000-0008-0000-0100-000004000000}"/>
            </a:ext>
          </a:extLst>
        </xdr:cNvPr>
        <xdr:cNvSpPr/>
      </xdr:nvSpPr>
      <xdr:spPr>
        <a:xfrm>
          <a:off x="22305600" y="1166400"/>
          <a:ext cx="188280" cy="18252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134</xdr:col>
      <xdr:colOff>92160</xdr:colOff>
      <xdr:row>4</xdr:row>
      <xdr:rowOff>120960</xdr:rowOff>
    </xdr:from>
    <xdr:to>
      <xdr:col>135</xdr:col>
      <xdr:colOff>68760</xdr:colOff>
      <xdr:row>4</xdr:row>
      <xdr:rowOff>150840</xdr:rowOff>
    </xdr:to>
    <xdr:sp macro="" textlink="">
      <xdr:nvSpPr>
        <xdr:cNvPr id="5" name="Star: 5 Points 1">
          <a:extLst>
            <a:ext uri="{FF2B5EF4-FFF2-40B4-BE49-F238E27FC236}">
              <a16:creationId xmlns:a16="http://schemas.microsoft.com/office/drawing/2014/main" id="{00000000-0008-0000-0100-000005000000}"/>
            </a:ext>
          </a:extLst>
        </xdr:cNvPr>
        <xdr:cNvSpPr/>
      </xdr:nvSpPr>
      <xdr:spPr>
        <a:xfrm>
          <a:off x="25054560" y="861840"/>
          <a:ext cx="18828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121</xdr:col>
      <xdr:colOff>92160</xdr:colOff>
      <xdr:row>26</xdr:row>
      <xdr:rowOff>120600</xdr:rowOff>
    </xdr:from>
    <xdr:to>
      <xdr:col>122</xdr:col>
      <xdr:colOff>68760</xdr:colOff>
      <xdr:row>27</xdr:row>
      <xdr:rowOff>150840</xdr:rowOff>
    </xdr:to>
    <xdr:sp macro="" textlink="">
      <xdr:nvSpPr>
        <xdr:cNvPr id="6" name="Star: 5 Points 2">
          <a:extLst>
            <a:ext uri="{FF2B5EF4-FFF2-40B4-BE49-F238E27FC236}">
              <a16:creationId xmlns:a16="http://schemas.microsoft.com/office/drawing/2014/main" id="{00000000-0008-0000-0100-000006000000}"/>
            </a:ext>
          </a:extLst>
        </xdr:cNvPr>
        <xdr:cNvSpPr/>
      </xdr:nvSpPr>
      <xdr:spPr>
        <a:xfrm>
          <a:off x="22305600" y="1166400"/>
          <a:ext cx="188280" cy="18252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24</xdr:col>
      <xdr:colOff>175320</xdr:colOff>
      <xdr:row>4</xdr:row>
      <xdr:rowOff>135720</xdr:rowOff>
    </xdr:from>
    <xdr:to>
      <xdr:col>24</xdr:col>
      <xdr:colOff>175680</xdr:colOff>
      <xdr:row>25</xdr:row>
      <xdr:rowOff>12960</xdr:rowOff>
    </xdr:to>
    <xdr:sp macro="" textlink="">
      <xdr:nvSpPr>
        <xdr:cNvPr id="7" name="Star: 5 Points 5">
          <a:extLst>
            <a:ext uri="{FF2B5EF4-FFF2-40B4-BE49-F238E27FC236}">
              <a16:creationId xmlns:a16="http://schemas.microsoft.com/office/drawing/2014/main" id="{00000000-0008-0000-0100-000007000000}"/>
            </a:ext>
          </a:extLst>
        </xdr:cNvPr>
        <xdr:cNvSpPr/>
      </xdr:nvSpPr>
      <xdr:spPr>
        <a:xfrm>
          <a:off x="1655640" y="876600"/>
          <a:ext cx="36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40</xdr:col>
      <xdr:colOff>0</xdr:colOff>
      <xdr:row>4</xdr:row>
      <xdr:rowOff>21240</xdr:rowOff>
    </xdr:from>
    <xdr:to>
      <xdr:col>40</xdr:col>
      <xdr:colOff>198000</xdr:colOff>
      <xdr:row>4</xdr:row>
      <xdr:rowOff>51120</xdr:rowOff>
    </xdr:to>
    <xdr:sp macro="" textlink="">
      <xdr:nvSpPr>
        <xdr:cNvPr id="8" name="Star: 5 Points 6">
          <a:extLst>
            <a:ext uri="{FF2B5EF4-FFF2-40B4-BE49-F238E27FC236}">
              <a16:creationId xmlns:a16="http://schemas.microsoft.com/office/drawing/2014/main" id="{00000000-0008-0000-0100-000008000000}"/>
            </a:ext>
          </a:extLst>
        </xdr:cNvPr>
        <xdr:cNvSpPr/>
      </xdr:nvSpPr>
      <xdr:spPr>
        <a:xfrm>
          <a:off x="4558680" y="762120"/>
          <a:ext cx="19800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xdr:from>
      <xdr:col>74</xdr:col>
      <xdr:colOff>7560</xdr:colOff>
      <xdr:row>4</xdr:row>
      <xdr:rowOff>127800</xdr:rowOff>
    </xdr:from>
    <xdr:to>
      <xdr:col>74</xdr:col>
      <xdr:colOff>189720</xdr:colOff>
      <xdr:row>25</xdr:row>
      <xdr:rowOff>5040</xdr:rowOff>
    </xdr:to>
    <xdr:sp macro="" textlink="">
      <xdr:nvSpPr>
        <xdr:cNvPr id="9" name="Star: 5 Points 10">
          <a:extLst>
            <a:ext uri="{FF2B5EF4-FFF2-40B4-BE49-F238E27FC236}">
              <a16:creationId xmlns:a16="http://schemas.microsoft.com/office/drawing/2014/main" id="{00000000-0008-0000-0100-000009000000}"/>
            </a:ext>
          </a:extLst>
        </xdr:cNvPr>
        <xdr:cNvSpPr/>
      </xdr:nvSpPr>
      <xdr:spPr>
        <a:xfrm>
          <a:off x="11840760" y="868680"/>
          <a:ext cx="182160" cy="2988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oneCell">
    <xdr:from>
      <xdr:col>51</xdr:col>
      <xdr:colOff>111240</xdr:colOff>
      <xdr:row>37</xdr:row>
      <xdr:rowOff>22680</xdr:rowOff>
    </xdr:from>
    <xdr:to>
      <xdr:col>52</xdr:col>
      <xdr:colOff>113760</xdr:colOff>
      <xdr:row>38</xdr:row>
      <xdr:rowOff>42480</xdr:rowOff>
    </xdr:to>
    <xdr:pic>
      <xdr:nvPicPr>
        <xdr:cNvPr id="10" name="Graphic 167" descr="Server">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xdr:blipFill>
      <xdr:spPr>
        <a:xfrm>
          <a:off x="7060680" y="2773440"/>
          <a:ext cx="194760" cy="1724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143</xdr:col>
      <xdr:colOff>119880</xdr:colOff>
      <xdr:row>2</xdr:row>
      <xdr:rowOff>0</xdr:rowOff>
    </xdr:from>
    <xdr:to>
      <xdr:col>144</xdr:col>
      <xdr:colOff>90720</xdr:colOff>
      <xdr:row>3</xdr:row>
      <xdr:rowOff>56160</xdr:rowOff>
    </xdr:to>
    <xdr:sp macro="" textlink="">
      <xdr:nvSpPr>
        <xdr:cNvPr id="11" name="Star: 5 Points 3">
          <a:extLst>
            <a:ext uri="{FF2B5EF4-FFF2-40B4-BE49-F238E27FC236}">
              <a16:creationId xmlns:a16="http://schemas.microsoft.com/office/drawing/2014/main" id="{00000000-0008-0000-0400-00000B000000}"/>
            </a:ext>
          </a:extLst>
        </xdr:cNvPr>
        <xdr:cNvSpPr/>
      </xdr:nvSpPr>
      <xdr:spPr>
        <a:xfrm>
          <a:off x="67529520" y="380880"/>
          <a:ext cx="220320" cy="24696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110</xdr:col>
      <xdr:colOff>119880</xdr:colOff>
      <xdr:row>0</xdr:row>
      <xdr:rowOff>0</xdr:rowOff>
    </xdr:from>
    <xdr:to>
      <xdr:col>111</xdr:col>
      <xdr:colOff>90720</xdr:colOff>
      <xdr:row>1</xdr:row>
      <xdr:rowOff>37440</xdr:rowOff>
    </xdr:to>
    <xdr:sp macro="" textlink="">
      <xdr:nvSpPr>
        <xdr:cNvPr id="12" name="Star: 5 Points 1">
          <a:extLst>
            <a:ext uri="{FF2B5EF4-FFF2-40B4-BE49-F238E27FC236}">
              <a16:creationId xmlns:a16="http://schemas.microsoft.com/office/drawing/2014/main" id="{00000000-0008-0000-0500-00000C000000}"/>
            </a:ext>
          </a:extLst>
        </xdr:cNvPr>
        <xdr:cNvSpPr/>
      </xdr:nvSpPr>
      <xdr:spPr>
        <a:xfrm>
          <a:off x="36712440" y="0"/>
          <a:ext cx="143640" cy="218520"/>
        </a:xfrm>
        <a:prstGeom prst="star5">
          <a:avLst>
            <a:gd name="adj" fmla="val 19098"/>
            <a:gd name="hf" fmla="val 105146"/>
            <a:gd name="vf" fmla="val 110557"/>
          </a:avLst>
        </a:prstGeom>
        <a:solidFill>
          <a:srgbClr val="FFFF00"/>
        </a:solidFill>
        <a:ln w="9525">
          <a:solidFill>
            <a:srgbClr val="1D3155"/>
          </a:solidFill>
          <a:miter/>
        </a:ln>
      </xdr:spPr>
      <xdr:style>
        <a:lnRef idx="2">
          <a:schemeClr val="accent1">
            <a:shade val="15000"/>
          </a:schemeClr>
        </a:lnRef>
        <a:fillRef idx="1">
          <a:schemeClr val="accent1"/>
        </a:fillRef>
        <a:effectRef idx="0">
          <a:schemeClr val="accent1"/>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ternalBook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ing"/>
    </sheetNames>
    <sheetDataSet>
      <sheetData sheetId="0">
        <row r="17">
          <cell r="QD17">
            <v>402.16037037037</v>
          </cell>
        </row>
        <row r="18">
          <cell r="QD18">
            <v>403.10062773722598</v>
          </cell>
        </row>
        <row r="19">
          <cell r="QD19">
            <v>380.11731843575399</v>
          </cell>
        </row>
        <row r="20">
          <cell r="QD20">
            <v>264.547356321839</v>
          </cell>
        </row>
        <row r="21">
          <cell r="QD21">
            <v>179.31318181818199</v>
          </cell>
        </row>
        <row r="22">
          <cell r="QD22">
            <v>126.96173913043501</v>
          </cell>
        </row>
        <row r="23">
          <cell r="QD23">
            <v>53.073913043478299</v>
          </cell>
        </row>
        <row r="24">
          <cell r="QD24">
            <v>0</v>
          </cell>
        </row>
        <row r="25">
          <cell r="QD25">
            <v>380.11731843575399</v>
          </cell>
        </row>
        <row r="26">
          <cell r="QD26">
            <v>85.177241379310402</v>
          </cell>
        </row>
        <row r="27">
          <cell r="QD27">
            <v>0</v>
          </cell>
        </row>
        <row r="28">
          <cell r="QD28">
            <v>381.29599999999999</v>
          </cell>
        </row>
        <row r="29">
          <cell r="QD29">
            <v>322.53493150684898</v>
          </cell>
        </row>
        <row r="30">
          <cell r="QD30">
            <v>85.409333333333294</v>
          </cell>
        </row>
        <row r="31">
          <cell r="QD31">
            <v>62.688205128205098</v>
          </cell>
        </row>
        <row r="32">
          <cell r="QD32">
            <v>62.672857142857097</v>
          </cell>
        </row>
        <row r="33">
          <cell r="QD33">
            <v>62.270769230769197</v>
          </cell>
        </row>
        <row r="34">
          <cell r="QD34">
            <v>62.688205128205098</v>
          </cell>
        </row>
        <row r="35">
          <cell r="QD35">
            <v>53.12</v>
          </cell>
        </row>
        <row r="36">
          <cell r="QD36">
            <v>53.384999999999998</v>
          </cell>
        </row>
        <row r="37">
          <cell r="QD37">
            <v>53.477922077922102</v>
          </cell>
        </row>
        <row r="38">
          <cell r="QD38">
            <v>53.384999999999998</v>
          </cell>
        </row>
        <row r="39">
          <cell r="QD39">
            <v>53.384999999999998</v>
          </cell>
        </row>
        <row r="40">
          <cell r="QD40">
            <v>43.160845070422504</v>
          </cell>
        </row>
        <row r="41">
          <cell r="QD41">
            <v>42.987164179104496</v>
          </cell>
        </row>
        <row r="42">
          <cell r="QD42">
            <v>0</v>
          </cell>
        </row>
        <row r="43">
          <cell r="QD43">
            <v>358.68297872340401</v>
          </cell>
        </row>
        <row r="44">
          <cell r="QD44">
            <v>321.753260869565</v>
          </cell>
        </row>
        <row r="45">
          <cell r="QD45">
            <v>98.242470192601601</v>
          </cell>
        </row>
        <row r="46">
          <cell r="QD46">
            <v>77.842219959266799</v>
          </cell>
        </row>
        <row r="47">
          <cell r="QD47">
            <v>122.89603960396001</v>
          </cell>
        </row>
        <row r="48">
          <cell r="QD48">
            <v>77.842219959266799</v>
          </cell>
        </row>
        <row r="49">
          <cell r="QD49">
            <v>227.016759259259</v>
          </cell>
        </row>
        <row r="50">
          <cell r="QD50">
            <v>0</v>
          </cell>
        </row>
        <row r="51">
          <cell r="QD51">
            <v>358.79277777777799</v>
          </cell>
        </row>
        <row r="52">
          <cell r="QD52">
            <v>285.11764705882399</v>
          </cell>
        </row>
        <row r="53">
          <cell r="QD53">
            <v>85.256363636363602</v>
          </cell>
        </row>
        <row r="54">
          <cell r="QD54">
            <v>62.8065</v>
          </cell>
        </row>
        <row r="55">
          <cell r="QD55">
            <v>53.5098591549296</v>
          </cell>
        </row>
        <row r="56">
          <cell r="QD56">
            <v>43.1016438356164</v>
          </cell>
        </row>
        <row r="57">
          <cell r="QD57">
            <v>53.220967741935503</v>
          </cell>
        </row>
        <row r="58">
          <cell r="QD58">
            <v>320.32894736842098</v>
          </cell>
        </row>
        <row r="59">
          <cell r="QD59">
            <v>62.551363636363597</v>
          </cell>
        </row>
        <row r="60">
          <cell r="QD60">
            <v>43.018028169014102</v>
          </cell>
        </row>
        <row r="61">
          <cell r="QD61">
            <v>53.613698630137002</v>
          </cell>
        </row>
        <row r="62">
          <cell r="QD62">
            <v>0</v>
          </cell>
        </row>
        <row r="63">
          <cell r="QD63">
            <v>358.79277777777799</v>
          </cell>
        </row>
        <row r="64">
          <cell r="QD64">
            <v>62.412222222222198</v>
          </cell>
        </row>
        <row r="65">
          <cell r="QD65">
            <v>62.412222222222198</v>
          </cell>
        </row>
        <row r="66">
          <cell r="QD66">
            <v>53.05</v>
          </cell>
        </row>
        <row r="67">
          <cell r="QD67">
            <v>62.584523809523802</v>
          </cell>
        </row>
        <row r="68">
          <cell r="QD68">
            <v>42.823835616438402</v>
          </cell>
        </row>
        <row r="69">
          <cell r="QD69">
            <v>42.783499999999997</v>
          </cell>
        </row>
        <row r="70">
          <cell r="QD70">
            <v>43.46</v>
          </cell>
        </row>
        <row r="71">
          <cell r="QD71">
            <v>0</v>
          </cell>
        </row>
        <row r="72">
          <cell r="QD72">
            <v>358.95478260869601</v>
          </cell>
        </row>
        <row r="73">
          <cell r="QD73">
            <v>85.335217391304298</v>
          </cell>
        </row>
        <row r="74">
          <cell r="QD74">
            <v>53.1438202247191</v>
          </cell>
        </row>
        <row r="75">
          <cell r="QD75">
            <v>53.163103448275898</v>
          </cell>
        </row>
        <row r="76">
          <cell r="QD76">
            <v>54.18</v>
          </cell>
        </row>
        <row r="77">
          <cell r="QD77">
            <v>43.1308333333333</v>
          </cell>
        </row>
        <row r="78">
          <cell r="QD78">
            <v>62.522696629213499</v>
          </cell>
        </row>
        <row r="79">
          <cell r="QD79">
            <v>54.18</v>
          </cell>
        </row>
        <row r="80">
          <cell r="QD80">
            <v>43.46</v>
          </cell>
        </row>
        <row r="81">
          <cell r="QD81">
            <v>63.7032432432432</v>
          </cell>
        </row>
        <row r="82">
          <cell r="QD82">
            <v>63.7032432432432</v>
          </cell>
        </row>
        <row r="83">
          <cell r="QD83">
            <v>63.7032432432432</v>
          </cell>
        </row>
        <row r="84">
          <cell r="QD84">
            <v>0</v>
          </cell>
        </row>
        <row r="85">
          <cell r="QD85">
            <v>358.95478260869601</v>
          </cell>
        </row>
        <row r="86">
          <cell r="QD86">
            <v>85.741951219512202</v>
          </cell>
        </row>
        <row r="87">
          <cell r="QD87">
            <v>63.118333333333297</v>
          </cell>
        </row>
        <row r="88">
          <cell r="QD88">
            <v>62.440434782608698</v>
          </cell>
        </row>
        <row r="89">
          <cell r="QD89">
            <v>54.407142857142901</v>
          </cell>
        </row>
        <row r="90">
          <cell r="QD90">
            <v>54.06</v>
          </cell>
        </row>
        <row r="91">
          <cell r="QD91">
            <v>63.301764705882398</v>
          </cell>
        </row>
        <row r="92">
          <cell r="QD92">
            <v>54.433846153846197</v>
          </cell>
        </row>
        <row r="93">
          <cell r="QD93">
            <v>43.46</v>
          </cell>
        </row>
        <row r="94">
          <cell r="QD94">
            <v>54.143076923076897</v>
          </cell>
        </row>
        <row r="95">
          <cell r="QD95">
            <v>43.46</v>
          </cell>
        </row>
        <row r="96">
          <cell r="QD96">
            <v>62.440434782608698</v>
          </cell>
        </row>
        <row r="97">
          <cell r="QD97">
            <v>43.557000000000002</v>
          </cell>
        </row>
        <row r="98">
          <cell r="QD98">
            <v>0</v>
          </cell>
        </row>
        <row r="99">
          <cell r="QD99">
            <v>0</v>
          </cell>
        </row>
        <row r="100">
          <cell r="QD100">
            <v>0</v>
          </cell>
        </row>
        <row r="101">
          <cell r="QD101">
            <v>53.65</v>
          </cell>
        </row>
        <row r="102">
          <cell r="QD102">
            <v>43.526923076923097</v>
          </cell>
        </row>
        <row r="103">
          <cell r="QD103">
            <v>62.440434782608698</v>
          </cell>
        </row>
        <row r="104">
          <cell r="QD104">
            <v>43.1308333333333</v>
          </cell>
        </row>
        <row r="105">
          <cell r="QD105">
            <v>0</v>
          </cell>
        </row>
        <row r="106">
          <cell r="QD106">
            <v>378.90956521739099</v>
          </cell>
        </row>
        <row r="107">
          <cell r="QD107">
            <v>359.59227272727298</v>
          </cell>
        </row>
        <row r="108">
          <cell r="QD108">
            <v>881.16088235294103</v>
          </cell>
        </row>
        <row r="109">
          <cell r="QD109">
            <v>324.83461538461501</v>
          </cell>
        </row>
        <row r="110">
          <cell r="QD110">
            <v>359.59227272727298</v>
          </cell>
        </row>
        <row r="111">
          <cell r="QD111">
            <v>62.440434782608698</v>
          </cell>
        </row>
        <row r="112">
          <cell r="QD112">
            <v>86.524000000000001</v>
          </cell>
        </row>
        <row r="113">
          <cell r="QD113">
            <v>63.310285714285698</v>
          </cell>
        </row>
        <row r="114">
          <cell r="QD114">
            <v>53.8131428571429</v>
          </cell>
        </row>
        <row r="115">
          <cell r="QD115">
            <v>43.262</v>
          </cell>
        </row>
        <row r="116">
          <cell r="QD116">
            <v>86.524000000000001</v>
          </cell>
        </row>
        <row r="117">
          <cell r="QD117">
            <v>63.310285714285698</v>
          </cell>
        </row>
        <row r="118">
          <cell r="QD118">
            <v>53.8131428571429</v>
          </cell>
        </row>
        <row r="119">
          <cell r="QD119">
            <v>43.262</v>
          </cell>
        </row>
        <row r="120">
          <cell r="QD120">
            <v>85.652857142857101</v>
          </cell>
        </row>
        <row r="121">
          <cell r="QD121">
            <v>62.8065</v>
          </cell>
        </row>
        <row r="122">
          <cell r="QD122">
            <v>358.95478260869601</v>
          </cell>
        </row>
        <row r="123">
          <cell r="QD123">
            <v>62.440434782608698</v>
          </cell>
        </row>
        <row r="124">
          <cell r="QD124">
            <v>53.326829268292698</v>
          </cell>
        </row>
        <row r="125">
          <cell r="QD125">
            <v>344.93</v>
          </cell>
        </row>
        <row r="126">
          <cell r="QD126">
            <v>62.494666666666703</v>
          </cell>
        </row>
        <row r="127">
          <cell r="QD127">
            <v>53.1438202247191</v>
          </cell>
        </row>
        <row r="128">
          <cell r="QD128">
            <v>53.528571428571396</v>
          </cell>
        </row>
        <row r="129">
          <cell r="QD129">
            <v>53.34</v>
          </cell>
        </row>
        <row r="130">
          <cell r="QD130">
            <v>42.616571428571397</v>
          </cell>
        </row>
        <row r="131">
          <cell r="QD131">
            <v>0</v>
          </cell>
        </row>
        <row r="132">
          <cell r="QD132">
            <v>364.92571428571398</v>
          </cell>
        </row>
        <row r="133">
          <cell r="QD133">
            <v>0</v>
          </cell>
        </row>
        <row r="134">
          <cell r="QD134">
            <v>64.0407692307692</v>
          </cell>
        </row>
        <row r="135">
          <cell r="QD135">
            <v>54.06</v>
          </cell>
        </row>
        <row r="136">
          <cell r="QD136">
            <v>43.808</v>
          </cell>
        </row>
        <row r="137">
          <cell r="QD137">
            <v>0</v>
          </cell>
        </row>
        <row r="138">
          <cell r="QD138">
            <v>0</v>
          </cell>
        </row>
        <row r="139">
          <cell r="QD139">
            <v>417.38688888888902</v>
          </cell>
        </row>
        <row r="140">
          <cell r="QD140">
            <v>390.94799999999998</v>
          </cell>
        </row>
        <row r="141">
          <cell r="QD141">
            <v>288.37179487179498</v>
          </cell>
        </row>
        <row r="142">
          <cell r="QD142">
            <v>156</v>
          </cell>
        </row>
        <row r="143">
          <cell r="QD143">
            <v>279.06923076923101</v>
          </cell>
        </row>
        <row r="144">
          <cell r="QD144">
            <v>156.72</v>
          </cell>
        </row>
        <row r="145">
          <cell r="QD145">
            <v>216.25954545454499</v>
          </cell>
        </row>
        <row r="146">
          <cell r="QD146">
            <v>163.68</v>
          </cell>
        </row>
        <row r="147">
          <cell r="QD147">
            <v>139.911666666667</v>
          </cell>
        </row>
        <row r="148">
          <cell r="QD148">
            <v>247.498536585366</v>
          </cell>
        </row>
        <row r="149">
          <cell r="QD149">
            <v>278</v>
          </cell>
        </row>
        <row r="150">
          <cell r="QD150">
            <v>0</v>
          </cell>
        </row>
        <row r="151">
          <cell r="QD151">
            <v>403.692045454545</v>
          </cell>
        </row>
        <row r="152">
          <cell r="QD152">
            <v>381.97292069632499</v>
          </cell>
        </row>
        <row r="153">
          <cell r="QD153">
            <v>359.59227272727298</v>
          </cell>
        </row>
        <row r="154">
          <cell r="QD154">
            <v>325.89444444444399</v>
          </cell>
        </row>
        <row r="155">
          <cell r="QD155">
            <v>325.89444444444399</v>
          </cell>
        </row>
        <row r="156">
          <cell r="QD156">
            <v>140.717959183673</v>
          </cell>
        </row>
        <row r="157">
          <cell r="QD157">
            <v>81.007901234567896</v>
          </cell>
        </row>
        <row r="158">
          <cell r="QD158">
            <v>83.120888888888899</v>
          </cell>
        </row>
        <row r="159">
          <cell r="QD159">
            <v>384.90285714285699</v>
          </cell>
        </row>
        <row r="160">
          <cell r="QD160">
            <v>365.62</v>
          </cell>
        </row>
        <row r="161">
          <cell r="QD161">
            <v>328.65</v>
          </cell>
        </row>
        <row r="162">
          <cell r="QD162">
            <v>63.6</v>
          </cell>
        </row>
        <row r="163">
          <cell r="QD163">
            <v>129.32</v>
          </cell>
        </row>
        <row r="164">
          <cell r="QD164">
            <v>86.92</v>
          </cell>
        </row>
        <row r="165">
          <cell r="QD165">
            <v>63.6</v>
          </cell>
        </row>
        <row r="166">
          <cell r="QD166">
            <v>54.06</v>
          </cell>
        </row>
        <row r="167">
          <cell r="QD167">
            <v>54.06</v>
          </cell>
        </row>
        <row r="168">
          <cell r="QD168">
            <v>54.06</v>
          </cell>
        </row>
        <row r="169">
          <cell r="QD169">
            <v>54.06</v>
          </cell>
        </row>
        <row r="170">
          <cell r="QD170">
            <v>54.06</v>
          </cell>
        </row>
        <row r="171">
          <cell r="QD171">
            <v>43.46</v>
          </cell>
        </row>
        <row r="172">
          <cell r="QD172">
            <v>43.46</v>
          </cell>
        </row>
        <row r="173">
          <cell r="QD173">
            <v>43.46</v>
          </cell>
        </row>
        <row r="174">
          <cell r="QD174">
            <v>0</v>
          </cell>
        </row>
        <row r="175">
          <cell r="QD175">
            <v>0</v>
          </cell>
        </row>
        <row r="176">
          <cell r="QD176">
            <v>0</v>
          </cell>
        </row>
        <row r="177">
          <cell r="QD177">
            <v>0</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20" totalsRowShown="0">
  <autoFilter ref="A1:B20" xr:uid="{00000000-0009-0000-0100-000001000000}"/>
  <tableColumns count="2">
    <tableColumn id="1" xr3:uid="{00000000-0010-0000-0000-000001000000}" name="Team"/>
    <tableColumn id="2" xr3:uid="{00000000-0010-0000-0000-000002000000}" name="Assumptio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EW38"/>
  <sheetViews>
    <sheetView zoomScaleNormal="100" workbookViewId="0">
      <selection activeCell="U42" sqref="U42"/>
    </sheetView>
  </sheetViews>
  <sheetFormatPr defaultColWidth="8.81640625" defaultRowHeight="12"/>
  <cols>
    <col min="1" max="1" width="2.7265625" style="3" customWidth="1"/>
    <col min="2" max="2" width="18.26953125" style="3" customWidth="1"/>
    <col min="3" max="12" width="2.7265625" style="3" hidden="1" customWidth="1"/>
    <col min="13" max="13" width="1.453125" style="3" hidden="1" customWidth="1"/>
    <col min="14" max="143" width="1.7265625" style="3" customWidth="1"/>
    <col min="144" max="172" width="3" style="3" customWidth="1"/>
    <col min="173" max="16384" width="8.81640625" style="3"/>
  </cols>
  <sheetData>
    <row r="1" spans="2:153" ht="12" customHeight="1">
      <c r="B1" s="503"/>
      <c r="C1" s="4"/>
      <c r="D1" s="4"/>
      <c r="E1" s="503">
        <v>46023</v>
      </c>
      <c r="F1" s="503"/>
      <c r="G1" s="503"/>
      <c r="H1" s="503"/>
      <c r="I1" s="503"/>
      <c r="J1" s="503"/>
      <c r="K1" s="503"/>
      <c r="L1" s="503"/>
      <c r="M1" s="503"/>
      <c r="N1" s="503"/>
      <c r="O1" s="503"/>
      <c r="P1" s="503"/>
      <c r="Q1" s="503"/>
      <c r="R1" s="503"/>
      <c r="S1" s="503"/>
      <c r="T1" s="503"/>
      <c r="U1" s="503"/>
      <c r="V1" s="503"/>
      <c r="W1" s="503"/>
      <c r="X1" s="503"/>
      <c r="Y1" s="503"/>
      <c r="Z1" s="503"/>
      <c r="AA1" s="503"/>
      <c r="AB1" s="503"/>
      <c r="AC1" s="503"/>
      <c r="AD1" s="503"/>
      <c r="AE1" s="503"/>
      <c r="AF1" s="503"/>
      <c r="AG1" s="503"/>
      <c r="AH1" s="503"/>
      <c r="AI1" s="503"/>
      <c r="AJ1" s="503"/>
      <c r="AK1" s="503"/>
      <c r="AL1" s="503"/>
      <c r="AM1" s="503"/>
      <c r="AN1" s="503">
        <v>46388</v>
      </c>
      <c r="AO1" s="503"/>
      <c r="AP1" s="503"/>
      <c r="AQ1" s="503"/>
      <c r="AR1" s="503"/>
      <c r="AS1" s="503"/>
      <c r="AT1" s="503"/>
      <c r="AU1" s="503"/>
      <c r="AV1" s="503"/>
      <c r="AW1" s="503"/>
      <c r="AX1" s="503"/>
      <c r="AY1" s="503"/>
      <c r="AZ1" s="503"/>
      <c r="BA1" s="503"/>
      <c r="BB1" s="503"/>
      <c r="BC1" s="503"/>
      <c r="BD1" s="503"/>
      <c r="BE1" s="503"/>
      <c r="BF1" s="503"/>
      <c r="BG1" s="503"/>
      <c r="BH1" s="503"/>
      <c r="BI1" s="503"/>
      <c r="BJ1" s="503"/>
      <c r="BK1" s="503"/>
      <c r="BL1" s="503"/>
      <c r="BM1" s="503"/>
      <c r="BN1" s="503"/>
      <c r="BO1" s="503"/>
      <c r="BP1" s="503"/>
      <c r="BQ1" s="503"/>
      <c r="BR1" s="503"/>
      <c r="BS1" s="503"/>
      <c r="BT1" s="503"/>
      <c r="BU1" s="503"/>
      <c r="BV1" s="503"/>
      <c r="BW1" s="503"/>
      <c r="BX1" s="503"/>
      <c r="BY1" s="503"/>
      <c r="BZ1" s="503"/>
      <c r="CA1" s="503"/>
      <c r="CB1" s="503"/>
      <c r="CC1" s="503"/>
      <c r="CD1" s="503"/>
      <c r="CE1" s="503"/>
      <c r="CF1" s="503"/>
      <c r="CG1" s="503"/>
      <c r="CH1" s="503"/>
      <c r="CI1" s="503"/>
      <c r="CJ1" s="503"/>
      <c r="CK1" s="503"/>
      <c r="CL1" s="503"/>
      <c r="CM1" s="503"/>
      <c r="CN1" s="504">
        <v>46753</v>
      </c>
      <c r="CO1" s="504"/>
      <c r="CP1" s="504"/>
      <c r="CQ1" s="504"/>
      <c r="CR1" s="504"/>
      <c r="CS1" s="504"/>
      <c r="CT1" s="504"/>
      <c r="CU1" s="504"/>
      <c r="CV1" s="504"/>
      <c r="CW1" s="504"/>
      <c r="CX1" s="504"/>
      <c r="CY1" s="504"/>
      <c r="CZ1" s="504"/>
      <c r="DA1" s="504"/>
      <c r="DB1" s="504"/>
      <c r="DC1" s="504"/>
      <c r="DD1" s="504"/>
      <c r="DE1" s="504"/>
      <c r="DF1" s="504"/>
      <c r="DG1" s="504"/>
      <c r="DH1" s="504"/>
      <c r="DI1" s="504"/>
      <c r="DJ1" s="504"/>
      <c r="DK1" s="504"/>
      <c r="DL1" s="504"/>
      <c r="DM1" s="504"/>
      <c r="DN1" s="5"/>
      <c r="DO1" s="5"/>
      <c r="DP1" s="5"/>
      <c r="DQ1" s="5"/>
      <c r="DR1" s="5"/>
      <c r="DS1" s="5"/>
      <c r="DT1" s="5"/>
      <c r="DU1" s="5"/>
      <c r="DV1" s="5"/>
      <c r="DW1" s="5"/>
      <c r="DX1" s="5"/>
      <c r="DY1" s="5"/>
      <c r="DZ1" s="5"/>
      <c r="EA1" s="5"/>
      <c r="EB1" s="5"/>
      <c r="EC1" s="5"/>
      <c r="ED1" s="5"/>
      <c r="EE1" s="5"/>
      <c r="EF1" s="5"/>
      <c r="EG1" s="5"/>
      <c r="EH1" s="5"/>
      <c r="EI1" s="5"/>
      <c r="EJ1" s="5"/>
      <c r="EK1" s="5"/>
      <c r="EL1" s="5"/>
      <c r="EM1" s="6"/>
    </row>
    <row r="2" spans="2:153">
      <c r="B2" s="503"/>
      <c r="C2" s="4"/>
      <c r="D2" s="4"/>
      <c r="E2" s="502">
        <v>46148</v>
      </c>
      <c r="F2" s="502"/>
      <c r="G2" s="502"/>
      <c r="H2" s="502"/>
      <c r="I2" s="502">
        <v>46174</v>
      </c>
      <c r="J2" s="502"/>
      <c r="K2" s="502"/>
      <c r="L2" s="502"/>
      <c r="M2" s="502"/>
      <c r="N2" s="502">
        <v>46209</v>
      </c>
      <c r="O2" s="502"/>
      <c r="P2" s="502"/>
      <c r="Q2" s="502"/>
      <c r="R2" s="502">
        <v>46237</v>
      </c>
      <c r="S2" s="502"/>
      <c r="T2" s="502"/>
      <c r="U2" s="502"/>
      <c r="V2" s="502"/>
      <c r="W2" s="502">
        <v>46272</v>
      </c>
      <c r="X2" s="502"/>
      <c r="Y2" s="502"/>
      <c r="Z2" s="502"/>
      <c r="AA2" s="502">
        <v>46300</v>
      </c>
      <c r="AB2" s="502"/>
      <c r="AC2" s="502"/>
      <c r="AD2" s="502"/>
      <c r="AE2" s="502">
        <v>46328</v>
      </c>
      <c r="AF2" s="502"/>
      <c r="AG2" s="502"/>
      <c r="AH2" s="502"/>
      <c r="AI2" s="502"/>
      <c r="AJ2" s="502">
        <v>46363</v>
      </c>
      <c r="AK2" s="502"/>
      <c r="AL2" s="502"/>
      <c r="AM2" s="502"/>
      <c r="AN2" s="502">
        <v>46391</v>
      </c>
      <c r="AO2" s="502"/>
      <c r="AP2" s="502"/>
      <c r="AQ2" s="502"/>
      <c r="AR2" s="502">
        <v>46419</v>
      </c>
      <c r="AS2" s="502"/>
      <c r="AT2" s="502"/>
      <c r="AU2" s="502"/>
      <c r="AV2" s="502">
        <v>46447</v>
      </c>
      <c r="AW2" s="502"/>
      <c r="AX2" s="502"/>
      <c r="AY2" s="502"/>
      <c r="AZ2" s="502"/>
      <c r="BA2" s="502">
        <v>46482</v>
      </c>
      <c r="BB2" s="502"/>
      <c r="BC2" s="502"/>
      <c r="BD2" s="502"/>
      <c r="BE2" s="502">
        <v>46510</v>
      </c>
      <c r="BF2" s="502"/>
      <c r="BG2" s="502"/>
      <c r="BH2" s="502"/>
      <c r="BI2" s="502"/>
      <c r="BJ2" s="502">
        <v>46543</v>
      </c>
      <c r="BK2" s="502"/>
      <c r="BL2" s="502"/>
      <c r="BM2" s="502"/>
      <c r="BN2" s="502">
        <v>46573</v>
      </c>
      <c r="BO2" s="502"/>
      <c r="BP2" s="502"/>
      <c r="BQ2" s="502"/>
      <c r="BR2" s="502">
        <v>46602</v>
      </c>
      <c r="BS2" s="502"/>
      <c r="BT2" s="502"/>
      <c r="BU2" s="502"/>
      <c r="BV2" s="502"/>
      <c r="BW2" s="502">
        <v>46635</v>
      </c>
      <c r="BX2" s="502"/>
      <c r="BY2" s="502"/>
      <c r="BZ2" s="502"/>
      <c r="CA2" s="502">
        <v>46665</v>
      </c>
      <c r="CB2" s="502"/>
      <c r="CC2" s="502"/>
      <c r="CD2" s="502"/>
      <c r="CE2" s="502">
        <v>46694</v>
      </c>
      <c r="CF2" s="502"/>
      <c r="CG2" s="502"/>
      <c r="CH2" s="502"/>
      <c r="CI2" s="502"/>
      <c r="CJ2" s="502">
        <v>46726</v>
      </c>
      <c r="CK2" s="502"/>
      <c r="CL2" s="502"/>
      <c r="CM2" s="502"/>
      <c r="CN2" s="502">
        <v>46755</v>
      </c>
      <c r="CO2" s="502"/>
      <c r="CP2" s="502"/>
      <c r="CQ2" s="502"/>
      <c r="CR2" s="502"/>
      <c r="CS2" s="502">
        <v>46788</v>
      </c>
      <c r="CT2" s="502"/>
      <c r="CU2" s="502"/>
      <c r="CV2" s="502"/>
      <c r="CW2" s="502">
        <v>46817</v>
      </c>
      <c r="CX2" s="502"/>
      <c r="CY2" s="502"/>
      <c r="CZ2" s="502"/>
      <c r="DA2" s="502">
        <v>46848</v>
      </c>
      <c r="DB2" s="502"/>
      <c r="DC2" s="502"/>
      <c r="DD2" s="502"/>
      <c r="DE2" s="502">
        <v>46876</v>
      </c>
      <c r="DF2" s="502"/>
      <c r="DG2" s="502"/>
      <c r="DH2" s="502"/>
      <c r="DI2" s="502"/>
      <c r="DJ2" s="502">
        <v>46909</v>
      </c>
      <c r="DK2" s="502"/>
      <c r="DL2" s="502"/>
      <c r="DM2" s="502"/>
      <c r="DN2" s="502">
        <v>46937</v>
      </c>
      <c r="DO2" s="502"/>
      <c r="DP2" s="502"/>
      <c r="DQ2" s="502"/>
      <c r="DR2" s="502"/>
      <c r="DS2" s="502">
        <v>46970</v>
      </c>
      <c r="DT2" s="502"/>
      <c r="DU2" s="502"/>
      <c r="DV2" s="502"/>
      <c r="DW2" s="502">
        <v>47001</v>
      </c>
      <c r="DX2" s="502"/>
      <c r="DY2" s="502"/>
      <c r="DZ2" s="502"/>
      <c r="EA2" s="502">
        <v>47029</v>
      </c>
      <c r="EB2" s="502"/>
      <c r="EC2" s="502"/>
      <c r="ED2" s="502"/>
      <c r="EE2" s="502"/>
      <c r="EF2" s="502">
        <v>47062</v>
      </c>
      <c r="EG2" s="502"/>
      <c r="EH2" s="502"/>
      <c r="EI2" s="502"/>
      <c r="EJ2" s="502">
        <v>47092</v>
      </c>
      <c r="EK2" s="502"/>
      <c r="EL2" s="502"/>
      <c r="EM2" s="502"/>
      <c r="EN2" s="502">
        <v>47121</v>
      </c>
      <c r="EO2" s="502"/>
      <c r="EP2" s="502"/>
      <c r="EQ2" s="502"/>
      <c r="ER2" s="502"/>
    </row>
    <row r="3" spans="2:153" hidden="1">
      <c r="B3" s="503"/>
      <c r="C3" s="4"/>
      <c r="D3" s="4"/>
      <c r="E3" s="7">
        <f>F3-7</f>
        <v>46146</v>
      </c>
      <c r="F3" s="7">
        <f>G3-7</f>
        <v>46153</v>
      </c>
      <c r="G3" s="7">
        <f>H3-7</f>
        <v>46160</v>
      </c>
      <c r="H3" s="7">
        <f>I3-7</f>
        <v>46167</v>
      </c>
      <c r="I3" s="7">
        <v>46174</v>
      </c>
      <c r="J3" s="7">
        <f t="shared" ref="J3:AO3" si="0">I3+7</f>
        <v>46181</v>
      </c>
      <c r="K3" s="7">
        <f t="shared" si="0"/>
        <v>46188</v>
      </c>
      <c r="L3" s="7">
        <f t="shared" si="0"/>
        <v>46195</v>
      </c>
      <c r="M3" s="7">
        <f t="shared" si="0"/>
        <v>46202</v>
      </c>
      <c r="N3" s="7">
        <f t="shared" si="0"/>
        <v>46209</v>
      </c>
      <c r="O3" s="7">
        <f t="shared" si="0"/>
        <v>46216</v>
      </c>
      <c r="P3" s="7">
        <f t="shared" si="0"/>
        <v>46223</v>
      </c>
      <c r="Q3" s="7">
        <f t="shared" si="0"/>
        <v>46230</v>
      </c>
      <c r="R3" s="7">
        <f t="shared" si="0"/>
        <v>46237</v>
      </c>
      <c r="S3" s="7">
        <f t="shared" si="0"/>
        <v>46244</v>
      </c>
      <c r="T3" s="7">
        <f t="shared" si="0"/>
        <v>46251</v>
      </c>
      <c r="U3" s="7">
        <f t="shared" si="0"/>
        <v>46258</v>
      </c>
      <c r="V3" s="7">
        <f t="shared" si="0"/>
        <v>46265</v>
      </c>
      <c r="W3" s="7">
        <f t="shared" si="0"/>
        <v>46272</v>
      </c>
      <c r="X3" s="7">
        <f t="shared" si="0"/>
        <v>46279</v>
      </c>
      <c r="Y3" s="7">
        <f t="shared" si="0"/>
        <v>46286</v>
      </c>
      <c r="Z3" s="7">
        <f t="shared" si="0"/>
        <v>46293</v>
      </c>
      <c r="AA3" s="7">
        <f t="shared" si="0"/>
        <v>46300</v>
      </c>
      <c r="AB3" s="7">
        <f t="shared" si="0"/>
        <v>46307</v>
      </c>
      <c r="AC3" s="7">
        <f t="shared" si="0"/>
        <v>46314</v>
      </c>
      <c r="AD3" s="7">
        <f t="shared" si="0"/>
        <v>46321</v>
      </c>
      <c r="AE3" s="7">
        <f t="shared" si="0"/>
        <v>46328</v>
      </c>
      <c r="AF3" s="7">
        <f t="shared" si="0"/>
        <v>46335</v>
      </c>
      <c r="AG3" s="7">
        <f t="shared" si="0"/>
        <v>46342</v>
      </c>
      <c r="AH3" s="7">
        <f t="shared" si="0"/>
        <v>46349</v>
      </c>
      <c r="AI3" s="7">
        <f t="shared" si="0"/>
        <v>46356</v>
      </c>
      <c r="AJ3" s="7">
        <f t="shared" si="0"/>
        <v>46363</v>
      </c>
      <c r="AK3" s="7">
        <f t="shared" si="0"/>
        <v>46370</v>
      </c>
      <c r="AL3" s="7">
        <f t="shared" si="0"/>
        <v>46377</v>
      </c>
      <c r="AM3" s="7">
        <f t="shared" si="0"/>
        <v>46384</v>
      </c>
      <c r="AN3" s="7">
        <f t="shared" si="0"/>
        <v>46391</v>
      </c>
      <c r="AO3" s="7">
        <f t="shared" si="0"/>
        <v>46398</v>
      </c>
      <c r="AP3" s="7">
        <f t="shared" ref="AP3:BU3" si="1">AO3+7</f>
        <v>46405</v>
      </c>
      <c r="AQ3" s="7">
        <f t="shared" si="1"/>
        <v>46412</v>
      </c>
      <c r="AR3" s="7">
        <f t="shared" si="1"/>
        <v>46419</v>
      </c>
      <c r="AS3" s="7">
        <f t="shared" si="1"/>
        <v>46426</v>
      </c>
      <c r="AT3" s="7">
        <f t="shared" si="1"/>
        <v>46433</v>
      </c>
      <c r="AU3" s="7">
        <f t="shared" si="1"/>
        <v>46440</v>
      </c>
      <c r="AV3" s="7">
        <f t="shared" si="1"/>
        <v>46447</v>
      </c>
      <c r="AW3" s="7">
        <f t="shared" si="1"/>
        <v>46454</v>
      </c>
      <c r="AX3" s="7">
        <f t="shared" si="1"/>
        <v>46461</v>
      </c>
      <c r="AY3" s="7">
        <f t="shared" si="1"/>
        <v>46468</v>
      </c>
      <c r="AZ3" s="7">
        <f t="shared" si="1"/>
        <v>46475</v>
      </c>
      <c r="BA3" s="7">
        <f t="shared" si="1"/>
        <v>46482</v>
      </c>
      <c r="BB3" s="7">
        <f t="shared" si="1"/>
        <v>46489</v>
      </c>
      <c r="BC3" s="7">
        <f t="shared" si="1"/>
        <v>46496</v>
      </c>
      <c r="BD3" s="7">
        <f t="shared" si="1"/>
        <v>46503</v>
      </c>
      <c r="BE3" s="7">
        <f t="shared" si="1"/>
        <v>46510</v>
      </c>
      <c r="BF3" s="7">
        <f t="shared" si="1"/>
        <v>46517</v>
      </c>
      <c r="BG3" s="7">
        <f t="shared" si="1"/>
        <v>46524</v>
      </c>
      <c r="BH3" s="7">
        <f t="shared" si="1"/>
        <v>46531</v>
      </c>
      <c r="BI3" s="7">
        <f t="shared" si="1"/>
        <v>46538</v>
      </c>
      <c r="BJ3" s="7">
        <f t="shared" si="1"/>
        <v>46545</v>
      </c>
      <c r="BK3" s="7">
        <f t="shared" si="1"/>
        <v>46552</v>
      </c>
      <c r="BL3" s="7">
        <f t="shared" si="1"/>
        <v>46559</v>
      </c>
      <c r="BM3" s="7">
        <f t="shared" si="1"/>
        <v>46566</v>
      </c>
      <c r="BN3" s="7">
        <f t="shared" si="1"/>
        <v>46573</v>
      </c>
      <c r="BO3" s="7">
        <f t="shared" si="1"/>
        <v>46580</v>
      </c>
      <c r="BP3" s="7">
        <f t="shared" si="1"/>
        <v>46587</v>
      </c>
      <c r="BQ3" s="7">
        <f t="shared" si="1"/>
        <v>46594</v>
      </c>
      <c r="BR3" s="7">
        <f t="shared" si="1"/>
        <v>46601</v>
      </c>
      <c r="BS3" s="7">
        <f t="shared" si="1"/>
        <v>46608</v>
      </c>
      <c r="BT3" s="7">
        <f t="shared" si="1"/>
        <v>46615</v>
      </c>
      <c r="BU3" s="7">
        <f t="shared" si="1"/>
        <v>46622</v>
      </c>
      <c r="BV3" s="7">
        <f t="shared" ref="BV3:DA3" si="2">BU3+7</f>
        <v>46629</v>
      </c>
      <c r="BW3" s="7">
        <f t="shared" si="2"/>
        <v>46636</v>
      </c>
      <c r="BX3" s="7">
        <f t="shared" si="2"/>
        <v>46643</v>
      </c>
      <c r="BY3" s="7">
        <f t="shared" si="2"/>
        <v>46650</v>
      </c>
      <c r="BZ3" s="7">
        <f t="shared" si="2"/>
        <v>46657</v>
      </c>
      <c r="CA3" s="7">
        <f t="shared" si="2"/>
        <v>46664</v>
      </c>
      <c r="CB3" s="7">
        <f t="shared" si="2"/>
        <v>46671</v>
      </c>
      <c r="CC3" s="7">
        <f t="shared" si="2"/>
        <v>46678</v>
      </c>
      <c r="CD3" s="7">
        <f t="shared" si="2"/>
        <v>46685</v>
      </c>
      <c r="CE3" s="7">
        <f t="shared" si="2"/>
        <v>46692</v>
      </c>
      <c r="CF3" s="7">
        <f t="shared" si="2"/>
        <v>46699</v>
      </c>
      <c r="CG3" s="7">
        <f t="shared" si="2"/>
        <v>46706</v>
      </c>
      <c r="CH3" s="7">
        <f t="shared" si="2"/>
        <v>46713</v>
      </c>
      <c r="CI3" s="7">
        <f t="shared" si="2"/>
        <v>46720</v>
      </c>
      <c r="CJ3" s="7">
        <f t="shared" si="2"/>
        <v>46727</v>
      </c>
      <c r="CK3" s="7">
        <f t="shared" si="2"/>
        <v>46734</v>
      </c>
      <c r="CL3" s="7">
        <f t="shared" si="2"/>
        <v>46741</v>
      </c>
      <c r="CM3" s="7">
        <f t="shared" si="2"/>
        <v>46748</v>
      </c>
      <c r="CN3" s="7">
        <f t="shared" si="2"/>
        <v>46755</v>
      </c>
      <c r="CO3" s="7">
        <f t="shared" si="2"/>
        <v>46762</v>
      </c>
      <c r="CP3" s="7">
        <f t="shared" si="2"/>
        <v>46769</v>
      </c>
      <c r="CQ3" s="7">
        <f t="shared" si="2"/>
        <v>46776</v>
      </c>
      <c r="CR3" s="7">
        <f t="shared" si="2"/>
        <v>46783</v>
      </c>
      <c r="CS3" s="7">
        <f t="shared" si="2"/>
        <v>46790</v>
      </c>
      <c r="CT3" s="7">
        <f t="shared" si="2"/>
        <v>46797</v>
      </c>
      <c r="CU3" s="7">
        <f t="shared" si="2"/>
        <v>46804</v>
      </c>
      <c r="CV3" s="7">
        <f t="shared" si="2"/>
        <v>46811</v>
      </c>
      <c r="CW3" s="7">
        <f t="shared" si="2"/>
        <v>46818</v>
      </c>
      <c r="CX3" s="7">
        <f t="shared" si="2"/>
        <v>46825</v>
      </c>
      <c r="CY3" s="7">
        <f t="shared" si="2"/>
        <v>46832</v>
      </c>
      <c r="CZ3" s="7">
        <f t="shared" si="2"/>
        <v>46839</v>
      </c>
      <c r="DA3" s="7">
        <f t="shared" si="2"/>
        <v>46846</v>
      </c>
      <c r="DB3" s="7">
        <f t="shared" ref="DB3:EG3" si="3">DA3+7</f>
        <v>46853</v>
      </c>
      <c r="DC3" s="7">
        <f t="shared" si="3"/>
        <v>46860</v>
      </c>
      <c r="DD3" s="7">
        <f t="shared" si="3"/>
        <v>46867</v>
      </c>
      <c r="DE3" s="7">
        <f t="shared" si="3"/>
        <v>46874</v>
      </c>
      <c r="DF3" s="7">
        <f t="shared" si="3"/>
        <v>46881</v>
      </c>
      <c r="DG3" s="7">
        <f t="shared" si="3"/>
        <v>46888</v>
      </c>
      <c r="DH3" s="7">
        <f t="shared" si="3"/>
        <v>46895</v>
      </c>
      <c r="DI3" s="7">
        <f t="shared" si="3"/>
        <v>46902</v>
      </c>
      <c r="DJ3" s="7">
        <f t="shared" si="3"/>
        <v>46909</v>
      </c>
      <c r="DK3" s="7">
        <f t="shared" si="3"/>
        <v>46916</v>
      </c>
      <c r="DL3" s="7">
        <f t="shared" si="3"/>
        <v>46923</v>
      </c>
      <c r="DM3" s="7">
        <f t="shared" si="3"/>
        <v>46930</v>
      </c>
      <c r="DN3" s="7">
        <f t="shared" si="3"/>
        <v>46937</v>
      </c>
      <c r="DO3" s="7">
        <f t="shared" si="3"/>
        <v>46944</v>
      </c>
      <c r="DP3" s="7">
        <f t="shared" si="3"/>
        <v>46951</v>
      </c>
      <c r="DQ3" s="7">
        <f t="shared" si="3"/>
        <v>46958</v>
      </c>
      <c r="DR3" s="7">
        <f t="shared" si="3"/>
        <v>46965</v>
      </c>
      <c r="DS3" s="7">
        <f t="shared" si="3"/>
        <v>46972</v>
      </c>
      <c r="DT3" s="7">
        <f t="shared" si="3"/>
        <v>46979</v>
      </c>
      <c r="DU3" s="7">
        <f t="shared" si="3"/>
        <v>46986</v>
      </c>
      <c r="DV3" s="7">
        <f t="shared" si="3"/>
        <v>46993</v>
      </c>
      <c r="DW3" s="7">
        <f t="shared" si="3"/>
        <v>47000</v>
      </c>
      <c r="DX3" s="7">
        <f t="shared" si="3"/>
        <v>47007</v>
      </c>
      <c r="DY3" s="7">
        <f t="shared" si="3"/>
        <v>47014</v>
      </c>
      <c r="DZ3" s="7">
        <f t="shared" si="3"/>
        <v>47021</v>
      </c>
      <c r="EA3" s="7">
        <f t="shared" si="3"/>
        <v>47028</v>
      </c>
      <c r="EB3" s="7">
        <f t="shared" si="3"/>
        <v>47035</v>
      </c>
      <c r="EC3" s="7">
        <f t="shared" si="3"/>
        <v>47042</v>
      </c>
      <c r="ED3" s="7">
        <f t="shared" si="3"/>
        <v>47049</v>
      </c>
      <c r="EE3" s="7">
        <f t="shared" si="3"/>
        <v>47056</v>
      </c>
      <c r="EF3" s="7">
        <f t="shared" si="3"/>
        <v>47063</v>
      </c>
      <c r="EG3" s="7">
        <f t="shared" si="3"/>
        <v>47070</v>
      </c>
      <c r="EH3" s="7">
        <f t="shared" ref="EH3:EW3" si="4">EG3+7</f>
        <v>47077</v>
      </c>
      <c r="EI3" s="7">
        <f t="shared" si="4"/>
        <v>47084</v>
      </c>
      <c r="EJ3" s="7">
        <f t="shared" si="4"/>
        <v>47091</v>
      </c>
      <c r="EK3" s="7">
        <f t="shared" si="4"/>
        <v>47098</v>
      </c>
      <c r="EL3" s="7">
        <f t="shared" si="4"/>
        <v>47105</v>
      </c>
      <c r="EM3" s="7">
        <f t="shared" si="4"/>
        <v>47112</v>
      </c>
      <c r="EN3" s="7">
        <f t="shared" si="4"/>
        <v>47119</v>
      </c>
      <c r="EO3" s="7">
        <f t="shared" si="4"/>
        <v>47126</v>
      </c>
      <c r="EP3" s="7">
        <f t="shared" si="4"/>
        <v>47133</v>
      </c>
      <c r="EQ3" s="7">
        <f t="shared" si="4"/>
        <v>47140</v>
      </c>
      <c r="ER3" s="7">
        <f t="shared" si="4"/>
        <v>47147</v>
      </c>
      <c r="ES3" s="7">
        <f t="shared" si="4"/>
        <v>47154</v>
      </c>
      <c r="ET3" s="7">
        <f t="shared" si="4"/>
        <v>47161</v>
      </c>
      <c r="EU3" s="7">
        <f t="shared" si="4"/>
        <v>47168</v>
      </c>
      <c r="EV3" s="7">
        <f t="shared" si="4"/>
        <v>47175</v>
      </c>
      <c r="EW3" s="7">
        <f t="shared" si="4"/>
        <v>47182</v>
      </c>
    </row>
    <row r="4" spans="2:153" hidden="1">
      <c r="B4" s="2" t="s">
        <v>0</v>
      </c>
      <c r="C4" s="4"/>
      <c r="D4" s="4"/>
      <c r="E4" s="7"/>
      <c r="F4" s="7"/>
      <c r="G4" s="7">
        <f t="shared" ref="G4:AL4" si="5">G3+4</f>
        <v>46164</v>
      </c>
      <c r="H4" s="7">
        <f t="shared" si="5"/>
        <v>46171</v>
      </c>
      <c r="I4" s="7">
        <f t="shared" si="5"/>
        <v>46178</v>
      </c>
      <c r="J4" s="7">
        <f t="shared" si="5"/>
        <v>46185</v>
      </c>
      <c r="K4" s="7">
        <f t="shared" si="5"/>
        <v>46192</v>
      </c>
      <c r="L4" s="7">
        <f t="shared" si="5"/>
        <v>46199</v>
      </c>
      <c r="M4" s="7">
        <f t="shared" si="5"/>
        <v>46206</v>
      </c>
      <c r="N4" s="7">
        <f t="shared" si="5"/>
        <v>46213</v>
      </c>
      <c r="O4" s="7">
        <f t="shared" si="5"/>
        <v>46220</v>
      </c>
      <c r="P4" s="7">
        <f t="shared" si="5"/>
        <v>46227</v>
      </c>
      <c r="Q4" s="7">
        <f t="shared" si="5"/>
        <v>46234</v>
      </c>
      <c r="R4" s="7">
        <f t="shared" si="5"/>
        <v>46241</v>
      </c>
      <c r="S4" s="7">
        <f t="shared" si="5"/>
        <v>46248</v>
      </c>
      <c r="T4" s="7">
        <f t="shared" si="5"/>
        <v>46255</v>
      </c>
      <c r="U4" s="7">
        <f t="shared" si="5"/>
        <v>46262</v>
      </c>
      <c r="V4" s="7">
        <f t="shared" si="5"/>
        <v>46269</v>
      </c>
      <c r="W4" s="7">
        <f t="shared" si="5"/>
        <v>46276</v>
      </c>
      <c r="X4" s="7">
        <f t="shared" si="5"/>
        <v>46283</v>
      </c>
      <c r="Y4" s="7">
        <f t="shared" si="5"/>
        <v>46290</v>
      </c>
      <c r="Z4" s="7">
        <f t="shared" si="5"/>
        <v>46297</v>
      </c>
      <c r="AA4" s="7">
        <f t="shared" si="5"/>
        <v>46304</v>
      </c>
      <c r="AB4" s="7">
        <f t="shared" si="5"/>
        <v>46311</v>
      </c>
      <c r="AC4" s="7">
        <f t="shared" si="5"/>
        <v>46318</v>
      </c>
      <c r="AD4" s="7">
        <f t="shared" si="5"/>
        <v>46325</v>
      </c>
      <c r="AE4" s="7">
        <f t="shared" si="5"/>
        <v>46332</v>
      </c>
      <c r="AF4" s="7">
        <f t="shared" si="5"/>
        <v>46339</v>
      </c>
      <c r="AG4" s="7">
        <f t="shared" si="5"/>
        <v>46346</v>
      </c>
      <c r="AH4" s="7">
        <f t="shared" si="5"/>
        <v>46353</v>
      </c>
      <c r="AI4" s="7">
        <f t="shared" si="5"/>
        <v>46360</v>
      </c>
      <c r="AJ4" s="7">
        <f t="shared" si="5"/>
        <v>46367</v>
      </c>
      <c r="AK4" s="7">
        <f t="shared" si="5"/>
        <v>46374</v>
      </c>
      <c r="AL4" s="7">
        <f t="shared" si="5"/>
        <v>46381</v>
      </c>
      <c r="AM4" s="7">
        <f t="shared" ref="AM4:BR4" si="6">AM3+4</f>
        <v>46388</v>
      </c>
      <c r="AN4" s="7">
        <f t="shared" si="6"/>
        <v>46395</v>
      </c>
      <c r="AO4" s="7">
        <f t="shared" si="6"/>
        <v>46402</v>
      </c>
      <c r="AP4" s="7">
        <f t="shared" si="6"/>
        <v>46409</v>
      </c>
      <c r="AQ4" s="7">
        <f t="shared" si="6"/>
        <v>46416</v>
      </c>
      <c r="AR4" s="7">
        <f t="shared" si="6"/>
        <v>46423</v>
      </c>
      <c r="AS4" s="7">
        <f t="shared" si="6"/>
        <v>46430</v>
      </c>
      <c r="AT4" s="7">
        <f t="shared" si="6"/>
        <v>46437</v>
      </c>
      <c r="AU4" s="7">
        <f t="shared" si="6"/>
        <v>46444</v>
      </c>
      <c r="AV4" s="7">
        <f t="shared" si="6"/>
        <v>46451</v>
      </c>
      <c r="AW4" s="7">
        <f t="shared" si="6"/>
        <v>46458</v>
      </c>
      <c r="AX4" s="7">
        <f t="shared" si="6"/>
        <v>46465</v>
      </c>
      <c r="AY4" s="7">
        <f t="shared" si="6"/>
        <v>46472</v>
      </c>
      <c r="AZ4" s="7">
        <f t="shared" si="6"/>
        <v>46479</v>
      </c>
      <c r="BA4" s="7">
        <f t="shared" si="6"/>
        <v>46486</v>
      </c>
      <c r="BB4" s="7">
        <f t="shared" si="6"/>
        <v>46493</v>
      </c>
      <c r="BC4" s="7">
        <f t="shared" si="6"/>
        <v>46500</v>
      </c>
      <c r="BD4" s="7">
        <f t="shared" si="6"/>
        <v>46507</v>
      </c>
      <c r="BE4" s="7">
        <f t="shared" si="6"/>
        <v>46514</v>
      </c>
      <c r="BF4" s="7">
        <f t="shared" si="6"/>
        <v>46521</v>
      </c>
      <c r="BG4" s="7">
        <f t="shared" si="6"/>
        <v>46528</v>
      </c>
      <c r="BH4" s="7">
        <f t="shared" si="6"/>
        <v>46535</v>
      </c>
      <c r="BI4" s="7">
        <f t="shared" si="6"/>
        <v>46542</v>
      </c>
      <c r="BJ4" s="7">
        <f t="shared" si="6"/>
        <v>46549</v>
      </c>
      <c r="BK4" s="7">
        <f t="shared" si="6"/>
        <v>46556</v>
      </c>
      <c r="BL4" s="7">
        <f t="shared" si="6"/>
        <v>46563</v>
      </c>
      <c r="BM4" s="7">
        <f t="shared" si="6"/>
        <v>46570</v>
      </c>
      <c r="BN4" s="7">
        <f t="shared" si="6"/>
        <v>46577</v>
      </c>
      <c r="BO4" s="7">
        <f t="shared" si="6"/>
        <v>46584</v>
      </c>
      <c r="BP4" s="7">
        <f t="shared" si="6"/>
        <v>46591</v>
      </c>
      <c r="BQ4" s="7">
        <f t="shared" si="6"/>
        <v>46598</v>
      </c>
      <c r="BR4" s="7">
        <f t="shared" si="6"/>
        <v>46605</v>
      </c>
      <c r="BS4" s="7">
        <f t="shared" ref="BS4:CM4" si="7">BS3+4</f>
        <v>46612</v>
      </c>
      <c r="BT4" s="7">
        <f t="shared" si="7"/>
        <v>46619</v>
      </c>
      <c r="BU4" s="7">
        <f t="shared" si="7"/>
        <v>46626</v>
      </c>
      <c r="BV4" s="7">
        <f t="shared" si="7"/>
        <v>46633</v>
      </c>
      <c r="BW4" s="7">
        <f t="shared" si="7"/>
        <v>46640</v>
      </c>
      <c r="BX4" s="7">
        <f t="shared" si="7"/>
        <v>46647</v>
      </c>
      <c r="BY4" s="7">
        <f t="shared" si="7"/>
        <v>46654</v>
      </c>
      <c r="BZ4" s="7">
        <f t="shared" si="7"/>
        <v>46661</v>
      </c>
      <c r="CA4" s="7">
        <f t="shared" si="7"/>
        <v>46668</v>
      </c>
      <c r="CB4" s="7">
        <f t="shared" si="7"/>
        <v>46675</v>
      </c>
      <c r="CC4" s="7">
        <f t="shared" si="7"/>
        <v>46682</v>
      </c>
      <c r="CD4" s="7">
        <f t="shared" si="7"/>
        <v>46689</v>
      </c>
      <c r="CE4" s="7">
        <f t="shared" si="7"/>
        <v>46696</v>
      </c>
      <c r="CF4" s="7">
        <f t="shared" si="7"/>
        <v>46703</v>
      </c>
      <c r="CG4" s="7">
        <f t="shared" si="7"/>
        <v>46710</v>
      </c>
      <c r="CH4" s="7">
        <f t="shared" si="7"/>
        <v>46717</v>
      </c>
      <c r="CI4" s="7">
        <f t="shared" si="7"/>
        <v>46724</v>
      </c>
      <c r="CJ4" s="7">
        <f t="shared" si="7"/>
        <v>46731</v>
      </c>
      <c r="CK4" s="7">
        <f t="shared" si="7"/>
        <v>46738</v>
      </c>
      <c r="CL4" s="7">
        <f t="shared" si="7"/>
        <v>46745</v>
      </c>
      <c r="CM4" s="7">
        <f t="shared" si="7"/>
        <v>46752</v>
      </c>
    </row>
    <row r="5" spans="2:153" hidden="1">
      <c r="B5" s="4" t="s">
        <v>1</v>
      </c>
      <c r="C5" s="4"/>
      <c r="D5" s="4"/>
      <c r="E5" s="4"/>
      <c r="F5" s="4"/>
      <c r="G5" s="4">
        <v>1</v>
      </c>
      <c r="H5" s="4">
        <v>2</v>
      </c>
      <c r="I5" s="4">
        <v>3</v>
      </c>
      <c r="J5" s="4">
        <v>4</v>
      </c>
      <c r="K5" s="4">
        <v>5</v>
      </c>
      <c r="L5" s="4">
        <v>6</v>
      </c>
      <c r="M5" s="4">
        <v>7</v>
      </c>
      <c r="N5" s="4"/>
      <c r="O5" s="4"/>
      <c r="P5" s="4">
        <v>1</v>
      </c>
      <c r="Q5" s="4">
        <f t="shared" ref="Q5:AV5" si="8">P5+1</f>
        <v>2</v>
      </c>
      <c r="R5" s="4">
        <f t="shared" si="8"/>
        <v>3</v>
      </c>
      <c r="S5" s="4">
        <f t="shared" si="8"/>
        <v>4</v>
      </c>
      <c r="T5" s="4">
        <f t="shared" si="8"/>
        <v>5</v>
      </c>
      <c r="U5" s="4">
        <f t="shared" si="8"/>
        <v>6</v>
      </c>
      <c r="V5" s="4">
        <f t="shared" si="8"/>
        <v>7</v>
      </c>
      <c r="W5" s="4">
        <f t="shared" si="8"/>
        <v>8</v>
      </c>
      <c r="X5" s="4">
        <f t="shared" si="8"/>
        <v>9</v>
      </c>
      <c r="Y5" s="4">
        <f t="shared" si="8"/>
        <v>10</v>
      </c>
      <c r="Z5" s="4">
        <f t="shared" si="8"/>
        <v>11</v>
      </c>
      <c r="AA5" s="4">
        <f t="shared" si="8"/>
        <v>12</v>
      </c>
      <c r="AB5" s="4">
        <f t="shared" si="8"/>
        <v>13</v>
      </c>
      <c r="AC5" s="4">
        <f t="shared" si="8"/>
        <v>14</v>
      </c>
      <c r="AD5" s="4">
        <f t="shared" si="8"/>
        <v>15</v>
      </c>
      <c r="AE5" s="4">
        <f t="shared" si="8"/>
        <v>16</v>
      </c>
      <c r="AF5" s="4">
        <f t="shared" si="8"/>
        <v>17</v>
      </c>
      <c r="AG5" s="4">
        <f t="shared" si="8"/>
        <v>18</v>
      </c>
      <c r="AH5" s="4">
        <f t="shared" si="8"/>
        <v>19</v>
      </c>
      <c r="AI5" s="4">
        <f t="shared" si="8"/>
        <v>20</v>
      </c>
      <c r="AJ5" s="4">
        <f t="shared" si="8"/>
        <v>21</v>
      </c>
      <c r="AK5" s="4">
        <f t="shared" si="8"/>
        <v>22</v>
      </c>
      <c r="AL5" s="4">
        <f t="shared" si="8"/>
        <v>23</v>
      </c>
      <c r="AM5" s="4">
        <f t="shared" si="8"/>
        <v>24</v>
      </c>
      <c r="AN5" s="4">
        <f t="shared" si="8"/>
        <v>25</v>
      </c>
      <c r="AO5" s="4">
        <f t="shared" si="8"/>
        <v>26</v>
      </c>
      <c r="AP5" s="4">
        <f t="shared" si="8"/>
        <v>27</v>
      </c>
      <c r="AQ5" s="4">
        <f t="shared" si="8"/>
        <v>28</v>
      </c>
      <c r="AR5" s="4">
        <f t="shared" si="8"/>
        <v>29</v>
      </c>
      <c r="AS5" s="4">
        <f t="shared" si="8"/>
        <v>30</v>
      </c>
      <c r="AT5" s="4">
        <f t="shared" si="8"/>
        <v>31</v>
      </c>
      <c r="AU5" s="4">
        <f t="shared" si="8"/>
        <v>32</v>
      </c>
      <c r="AV5" s="4">
        <f t="shared" si="8"/>
        <v>33</v>
      </c>
      <c r="AW5" s="4">
        <f t="shared" ref="AW5:CD5" si="9">AV5+1</f>
        <v>34</v>
      </c>
      <c r="AX5" s="4">
        <f t="shared" si="9"/>
        <v>35</v>
      </c>
      <c r="AY5" s="4">
        <f t="shared" si="9"/>
        <v>36</v>
      </c>
      <c r="AZ5" s="4">
        <f t="shared" si="9"/>
        <v>37</v>
      </c>
      <c r="BA5" s="4">
        <f t="shared" si="9"/>
        <v>38</v>
      </c>
      <c r="BB5" s="4">
        <f t="shared" si="9"/>
        <v>39</v>
      </c>
      <c r="BC5" s="4">
        <f t="shared" si="9"/>
        <v>40</v>
      </c>
      <c r="BD5" s="4">
        <f t="shared" si="9"/>
        <v>41</v>
      </c>
      <c r="BE5" s="4">
        <f t="shared" si="9"/>
        <v>42</v>
      </c>
      <c r="BF5" s="4">
        <f t="shared" si="9"/>
        <v>43</v>
      </c>
      <c r="BG5" s="4">
        <f t="shared" si="9"/>
        <v>44</v>
      </c>
      <c r="BH5" s="4">
        <f t="shared" si="9"/>
        <v>45</v>
      </c>
      <c r="BI5" s="4">
        <f t="shared" si="9"/>
        <v>46</v>
      </c>
      <c r="BJ5" s="4">
        <f t="shared" si="9"/>
        <v>47</v>
      </c>
      <c r="BK5" s="4">
        <f t="shared" si="9"/>
        <v>48</v>
      </c>
      <c r="BL5" s="4">
        <f t="shared" si="9"/>
        <v>49</v>
      </c>
      <c r="BM5" s="4">
        <f t="shared" si="9"/>
        <v>50</v>
      </c>
      <c r="BN5" s="4">
        <f t="shared" si="9"/>
        <v>51</v>
      </c>
      <c r="BO5" s="4">
        <f t="shared" si="9"/>
        <v>52</v>
      </c>
      <c r="BP5" s="4">
        <f t="shared" si="9"/>
        <v>53</v>
      </c>
      <c r="BQ5" s="4">
        <f t="shared" si="9"/>
        <v>54</v>
      </c>
      <c r="BR5" s="4">
        <f t="shared" si="9"/>
        <v>55</v>
      </c>
      <c r="BS5" s="4">
        <f t="shared" si="9"/>
        <v>56</v>
      </c>
      <c r="BT5" s="4">
        <f t="shared" si="9"/>
        <v>57</v>
      </c>
      <c r="BU5" s="4">
        <f t="shared" si="9"/>
        <v>58</v>
      </c>
      <c r="BV5" s="4">
        <f t="shared" si="9"/>
        <v>59</v>
      </c>
      <c r="BW5" s="4">
        <f t="shared" si="9"/>
        <v>60</v>
      </c>
      <c r="BX5" s="4">
        <f t="shared" si="9"/>
        <v>61</v>
      </c>
      <c r="BY5" s="4">
        <f t="shared" si="9"/>
        <v>62</v>
      </c>
      <c r="BZ5" s="4">
        <f t="shared" si="9"/>
        <v>63</v>
      </c>
      <c r="CA5" s="4">
        <f t="shared" si="9"/>
        <v>64</v>
      </c>
      <c r="CB5" s="4">
        <f t="shared" si="9"/>
        <v>65</v>
      </c>
      <c r="CC5" s="4">
        <f t="shared" si="9"/>
        <v>66</v>
      </c>
      <c r="CD5" s="8">
        <f t="shared" si="9"/>
        <v>67</v>
      </c>
      <c r="CE5" s="4"/>
      <c r="CF5" s="4"/>
      <c r="CG5" s="4"/>
      <c r="CH5" s="4"/>
      <c r="CI5" s="4"/>
      <c r="CJ5" s="4"/>
      <c r="CK5" s="4"/>
      <c r="CL5" s="4"/>
      <c r="CM5" s="4"/>
    </row>
    <row r="6" spans="2:153" hidden="1">
      <c r="B6" s="9"/>
    </row>
    <row r="7" spans="2:153" hidden="1">
      <c r="B7" s="9" t="s">
        <v>2</v>
      </c>
      <c r="G7" s="10" t="s">
        <v>2</v>
      </c>
      <c r="H7" s="10"/>
      <c r="I7" s="10"/>
      <c r="J7" s="10"/>
      <c r="K7" s="10"/>
      <c r="L7" s="10"/>
      <c r="M7" s="10"/>
    </row>
    <row r="8" spans="2:153" hidden="1">
      <c r="B8" s="9"/>
      <c r="N8" s="3" t="s">
        <v>3</v>
      </c>
    </row>
    <row r="9" spans="2:153" hidden="1">
      <c r="B9" s="9"/>
    </row>
    <row r="10" spans="2:153" hidden="1">
      <c r="B10" s="9" t="s">
        <v>4</v>
      </c>
      <c r="I10" s="11" t="s">
        <v>4</v>
      </c>
      <c r="J10" s="11"/>
      <c r="K10" s="11"/>
      <c r="L10" s="11"/>
      <c r="M10" s="11"/>
      <c r="N10" s="11"/>
      <c r="O10" s="11"/>
      <c r="P10" s="11"/>
      <c r="Q10" s="11"/>
      <c r="R10" s="11"/>
      <c r="S10" s="11"/>
      <c r="T10" s="11"/>
      <c r="U10" s="11"/>
      <c r="V10" s="11"/>
      <c r="Y10" s="3" t="s">
        <v>5</v>
      </c>
      <c r="AG10" s="3" t="s">
        <v>6</v>
      </c>
    </row>
    <row r="11" spans="2:153" hidden="1">
      <c r="B11" s="9"/>
    </row>
    <row r="12" spans="2:153" hidden="1">
      <c r="B12" s="9"/>
    </row>
    <row r="13" spans="2:153" hidden="1">
      <c r="B13" s="9" t="s">
        <v>7</v>
      </c>
      <c r="L13" s="3" t="s">
        <v>8</v>
      </c>
      <c r="U13" s="12" t="s">
        <v>9</v>
      </c>
      <c r="V13" s="12"/>
      <c r="W13" s="13">
        <v>1</v>
      </c>
      <c r="X13" s="13"/>
      <c r="Y13" s="13"/>
      <c r="Z13" s="13"/>
      <c r="AA13" s="13">
        <v>2</v>
      </c>
      <c r="AB13" s="13"/>
      <c r="AC13" s="13"/>
      <c r="AD13" s="13"/>
      <c r="AE13" s="13">
        <v>3</v>
      </c>
      <c r="AF13" s="13"/>
      <c r="AG13" s="13"/>
      <c r="AH13" s="13"/>
      <c r="AI13" s="13">
        <v>4</v>
      </c>
      <c r="AJ13" s="13"/>
      <c r="AK13" s="13"/>
      <c r="AL13" s="14"/>
      <c r="AM13" s="15"/>
      <c r="AN13" s="13"/>
      <c r="AO13" s="16"/>
      <c r="AP13" s="16"/>
      <c r="AQ13" s="16"/>
      <c r="AR13" s="17"/>
      <c r="AS13" s="17"/>
      <c r="AT13" s="17"/>
      <c r="AU13" s="17"/>
      <c r="AV13" s="18" t="s">
        <v>10</v>
      </c>
      <c r="AW13" s="19"/>
      <c r="AX13" s="17"/>
      <c r="AY13" s="17"/>
      <c r="AZ13" s="16"/>
      <c r="BA13" s="16"/>
      <c r="BB13" s="18" t="s">
        <v>11</v>
      </c>
      <c r="BC13" s="19"/>
      <c r="BD13" s="16"/>
      <c r="BE13" s="16"/>
      <c r="BF13" s="16"/>
      <c r="BG13" s="17"/>
      <c r="BH13" s="18" t="s">
        <v>12</v>
      </c>
      <c r="BI13" s="19"/>
      <c r="BJ13" s="19"/>
      <c r="BK13" s="16"/>
      <c r="BL13" s="16"/>
      <c r="BM13" s="16"/>
      <c r="BN13" s="16"/>
      <c r="BO13" s="17"/>
      <c r="BP13" s="20" t="s">
        <v>13</v>
      </c>
      <c r="BQ13" s="20"/>
      <c r="BR13" s="20"/>
      <c r="BS13" s="21" t="s">
        <v>14</v>
      </c>
      <c r="BT13" s="22"/>
      <c r="BU13" s="22"/>
      <c r="BV13" s="22"/>
      <c r="BW13" s="22"/>
    </row>
    <row r="14" spans="2:153" hidden="1">
      <c r="B14" s="9"/>
      <c r="AI14" s="23"/>
      <c r="AJ14" s="23">
        <v>1</v>
      </c>
      <c r="AK14" s="23"/>
      <c r="AL14" s="14"/>
      <c r="AM14" s="15"/>
      <c r="AN14" s="23"/>
      <c r="AO14" s="23"/>
      <c r="AP14" s="23">
        <v>2</v>
      </c>
      <c r="AQ14" s="23"/>
      <c r="AR14" s="23"/>
      <c r="AS14" s="23">
        <v>3</v>
      </c>
      <c r="AT14" s="23"/>
      <c r="AU14" s="23"/>
      <c r="AV14" s="23"/>
      <c r="AW14" s="17"/>
      <c r="AX14" s="24" t="s">
        <v>15</v>
      </c>
      <c r="AY14" s="24"/>
      <c r="AZ14" s="24"/>
      <c r="BA14" s="24"/>
      <c r="BB14" s="17"/>
      <c r="BC14" s="17"/>
      <c r="BD14" s="24" t="s">
        <v>16</v>
      </c>
      <c r="BE14" s="24"/>
      <c r="BF14" s="24"/>
      <c r="BG14" s="24"/>
      <c r="BH14" s="16"/>
      <c r="BI14" s="16"/>
      <c r="BJ14" s="17"/>
      <c r="BK14" s="25" t="s">
        <v>17</v>
      </c>
      <c r="BL14" s="25"/>
      <c r="BM14" s="25"/>
      <c r="BN14" s="25"/>
      <c r="BO14" s="25"/>
      <c r="BP14" s="26"/>
      <c r="BQ14" s="16"/>
      <c r="BR14" s="16"/>
      <c r="BS14" s="16"/>
      <c r="BT14" s="16"/>
      <c r="BU14" s="27"/>
      <c r="BV14" s="27"/>
      <c r="BW14" s="28"/>
    </row>
    <row r="15" spans="2:153" hidden="1">
      <c r="B15" s="9"/>
    </row>
    <row r="16" spans="2:153" hidden="1">
      <c r="B16" s="9"/>
    </row>
    <row r="17" spans="1:108" hidden="1">
      <c r="A17" s="29"/>
      <c r="B17" s="30"/>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row>
    <row r="18" spans="1:108" hidden="1">
      <c r="B18" s="9"/>
    </row>
    <row r="19" spans="1:108">
      <c r="B19" s="9"/>
    </row>
    <row r="20" spans="1:108">
      <c r="B20" s="9"/>
    </row>
    <row r="21" spans="1:108">
      <c r="B21" s="31" t="s">
        <v>18</v>
      </c>
    </row>
    <row r="22" spans="1:108">
      <c r="B22" s="9"/>
    </row>
    <row r="23" spans="1:108">
      <c r="B23" s="9"/>
    </row>
    <row r="24" spans="1:108">
      <c r="B24" s="32" t="s">
        <v>19</v>
      </c>
    </row>
    <row r="25" spans="1:108">
      <c r="B25" s="9"/>
    </row>
    <row r="26" spans="1:108">
      <c r="B26" s="9"/>
    </row>
    <row r="34" spans="18:114">
      <c r="R34" s="11" t="s">
        <v>20</v>
      </c>
      <c r="S34" s="11"/>
      <c r="T34" s="11"/>
      <c r="U34" s="11"/>
      <c r="V34" s="11"/>
      <c r="W34" s="11"/>
      <c r="X34" s="11"/>
      <c r="Y34" s="11"/>
    </row>
    <row r="37" spans="18:114">
      <c r="X37" s="12" t="s">
        <v>9</v>
      </c>
      <c r="Y37" s="12"/>
      <c r="Z37" s="33">
        <v>1</v>
      </c>
      <c r="AA37" s="34"/>
      <c r="AB37" s="34"/>
      <c r="AC37" s="34"/>
      <c r="AD37" s="34"/>
      <c r="AE37" s="35"/>
      <c r="AF37" s="33">
        <v>2</v>
      </c>
      <c r="AG37" s="34"/>
      <c r="AH37" s="34"/>
      <c r="AI37" s="34"/>
      <c r="AJ37" s="34"/>
      <c r="AK37" s="15"/>
      <c r="AL37" s="15"/>
      <c r="AM37" s="35"/>
      <c r="AN37" s="33">
        <v>3</v>
      </c>
      <c r="AO37" s="34"/>
      <c r="AP37" s="34"/>
      <c r="AQ37" s="34"/>
      <c r="AR37" s="34"/>
      <c r="AS37" s="35"/>
      <c r="AT37" s="33">
        <v>4</v>
      </c>
      <c r="AU37" s="34"/>
      <c r="AV37" s="34"/>
      <c r="AW37" s="34"/>
      <c r="AX37" s="34"/>
      <c r="AY37" s="35"/>
      <c r="AZ37" s="33">
        <v>5</v>
      </c>
      <c r="BA37" s="34"/>
      <c r="BB37" s="34"/>
      <c r="BC37" s="34"/>
      <c r="BD37" s="34"/>
      <c r="BE37" s="35"/>
      <c r="BX37" s="18" t="s">
        <v>10</v>
      </c>
      <c r="BY37" s="19"/>
      <c r="BZ37" s="19"/>
      <c r="CA37" s="19"/>
      <c r="CG37" s="18" t="s">
        <v>11</v>
      </c>
      <c r="CH37" s="19"/>
      <c r="CI37" s="19"/>
      <c r="CJ37" s="19"/>
      <c r="CL37" s="15"/>
      <c r="CM37" s="15"/>
      <c r="CR37" s="18" t="s">
        <v>12</v>
      </c>
      <c r="CS37" s="19"/>
      <c r="CT37" s="19"/>
      <c r="CU37" s="19"/>
      <c r="DB37" s="18" t="s">
        <v>21</v>
      </c>
      <c r="DC37" s="19"/>
      <c r="DD37" s="19"/>
      <c r="DE37" s="19"/>
      <c r="DF37" s="21" t="s">
        <v>14</v>
      </c>
      <c r="DG37" s="22"/>
      <c r="DH37" s="22"/>
      <c r="DI37" s="22"/>
      <c r="DJ37" s="22"/>
    </row>
    <row r="38" spans="18:114">
      <c r="Z38" s="36"/>
      <c r="AA38" s="36"/>
      <c r="AB38" s="36"/>
      <c r="AC38" s="37">
        <v>1</v>
      </c>
      <c r="AD38" s="38"/>
      <c r="AE38" s="38"/>
      <c r="AF38" s="38"/>
      <c r="AG38" s="38"/>
      <c r="AH38" s="38"/>
      <c r="AI38" s="38"/>
      <c r="AJ38" s="38"/>
      <c r="AK38" s="14"/>
      <c r="AL38" s="15"/>
      <c r="AZ38" s="39">
        <v>1</v>
      </c>
      <c r="BA38" s="40"/>
      <c r="BB38" s="40"/>
      <c r="BC38" s="40"/>
      <c r="BD38" s="40"/>
      <c r="BE38" s="41"/>
      <c r="BF38" s="39">
        <v>2</v>
      </c>
      <c r="BG38" s="40"/>
      <c r="BH38" s="40"/>
      <c r="BI38" s="40"/>
      <c r="BJ38" s="40"/>
      <c r="BK38" s="41"/>
      <c r="BL38" s="39">
        <v>3</v>
      </c>
      <c r="BM38" s="40"/>
      <c r="BN38" s="40"/>
      <c r="BO38" s="40"/>
      <c r="BP38" s="40"/>
      <c r="BQ38" s="41"/>
      <c r="BR38" s="39">
        <v>4</v>
      </c>
      <c r="BS38" s="40"/>
      <c r="BT38" s="40"/>
      <c r="BU38" s="40"/>
      <c r="BV38" s="40"/>
      <c r="BW38" s="41"/>
      <c r="CB38" s="24" t="s">
        <v>15</v>
      </c>
      <c r="CC38" s="24"/>
      <c r="CD38" s="24"/>
      <c r="CE38" s="24"/>
      <c r="CF38" s="24"/>
      <c r="CK38" s="24" t="s">
        <v>16</v>
      </c>
      <c r="CL38" s="14"/>
      <c r="CM38" s="15"/>
      <c r="CN38" s="24" t="s">
        <v>16</v>
      </c>
      <c r="CO38" s="24"/>
      <c r="CP38" s="24"/>
      <c r="CQ38" s="24"/>
      <c r="CV38" s="25" t="s">
        <v>17</v>
      </c>
      <c r="CW38" s="25"/>
      <c r="CX38" s="25"/>
      <c r="CY38" s="25"/>
      <c r="CZ38" s="25"/>
      <c r="DA38" s="25"/>
    </row>
  </sheetData>
  <mergeCells count="37">
    <mergeCell ref="B1:B3"/>
    <mergeCell ref="E1:AM1"/>
    <mergeCell ref="AN1:CM1"/>
    <mergeCell ref="CN1:DM1"/>
    <mergeCell ref="E2:H2"/>
    <mergeCell ref="I2:M2"/>
    <mergeCell ref="N2:Q2"/>
    <mergeCell ref="R2:V2"/>
    <mergeCell ref="W2:Z2"/>
    <mergeCell ref="AA2:AD2"/>
    <mergeCell ref="AE2:AI2"/>
    <mergeCell ref="AJ2:AM2"/>
    <mergeCell ref="AN2:AQ2"/>
    <mergeCell ref="AR2:AU2"/>
    <mergeCell ref="AV2:AZ2"/>
    <mergeCell ref="BA2:BD2"/>
    <mergeCell ref="BE2:BI2"/>
    <mergeCell ref="BJ2:BM2"/>
    <mergeCell ref="BN2:BQ2"/>
    <mergeCell ref="BR2:BV2"/>
    <mergeCell ref="BW2:BZ2"/>
    <mergeCell ref="CA2:CD2"/>
    <mergeCell ref="CE2:CI2"/>
    <mergeCell ref="CJ2:CM2"/>
    <mergeCell ref="CN2:CR2"/>
    <mergeCell ref="CS2:CV2"/>
    <mergeCell ref="CW2:CZ2"/>
    <mergeCell ref="DA2:DD2"/>
    <mergeCell ref="DE2:DI2"/>
    <mergeCell ref="DJ2:DM2"/>
    <mergeCell ref="DN2:DR2"/>
    <mergeCell ref="EN2:ER2"/>
    <mergeCell ref="DS2:DV2"/>
    <mergeCell ref="DW2:DZ2"/>
    <mergeCell ref="EA2:EE2"/>
    <mergeCell ref="EF2:EI2"/>
    <mergeCell ref="EJ2:EM2"/>
  </mergeCells>
  <conditionalFormatting sqref="B1">
    <cfRule type="expression" dxfId="49" priority="16">
      <formula>(#REF!&lt;=#REF!)</formula>
    </cfRule>
  </conditionalFormatting>
  <conditionalFormatting sqref="E1:E2">
    <cfRule type="expression" dxfId="48" priority="17">
      <formula>(#REF!&lt;=#REF!)</formula>
    </cfRule>
  </conditionalFormatting>
  <conditionalFormatting sqref="I2 N2 R2 W2 AA2 AE2 AJ2 AN2 AR2 AV2 BA2 BE2 CN3:EW3 E3:CM4">
    <cfRule type="expression" dxfId="47" priority="25">
      <formula>(#REF!&lt;=#REF!)</formula>
    </cfRule>
  </conditionalFormatting>
  <conditionalFormatting sqref="BJ2">
    <cfRule type="expression" dxfId="46" priority="24">
      <formula>(#REF!&lt;=#REF!)</formula>
    </cfRule>
  </conditionalFormatting>
  <conditionalFormatting sqref="BN2">
    <cfRule type="expression" dxfId="45" priority="23">
      <formula>(#REF!&lt;=#REF!)</formula>
    </cfRule>
  </conditionalFormatting>
  <conditionalFormatting sqref="BR2">
    <cfRule type="expression" dxfId="44" priority="22">
      <formula>(#REF!&lt;=#REF!)</formula>
    </cfRule>
  </conditionalFormatting>
  <conditionalFormatting sqref="BW2">
    <cfRule type="expression" dxfId="43" priority="21">
      <formula>(#REF!&lt;=#REF!)</formula>
    </cfRule>
  </conditionalFormatting>
  <conditionalFormatting sqref="CA2">
    <cfRule type="expression" dxfId="42" priority="20">
      <formula>(#REF!&lt;=#REF!)</formula>
    </cfRule>
  </conditionalFormatting>
  <conditionalFormatting sqref="CD5">
    <cfRule type="expression" dxfId="41" priority="15">
      <formula>(#REF!&lt;=#REF!)</formula>
    </cfRule>
  </conditionalFormatting>
  <conditionalFormatting sqref="CE2">
    <cfRule type="expression" dxfId="40" priority="19">
      <formula>(#REF!&lt;=#REF!)</formula>
    </cfRule>
  </conditionalFormatting>
  <conditionalFormatting sqref="CJ2">
    <cfRule type="expression" dxfId="39" priority="18">
      <formula>(#REF!&lt;=#REF!)</formula>
    </cfRule>
  </conditionalFormatting>
  <conditionalFormatting sqref="CN2">
    <cfRule type="expression" dxfId="38" priority="14">
      <formula>(#REF!&lt;=#REF!)</formula>
    </cfRule>
  </conditionalFormatting>
  <conditionalFormatting sqref="CS2">
    <cfRule type="expression" dxfId="37" priority="13">
      <formula>(#REF!&lt;=#REF!)</formula>
    </cfRule>
  </conditionalFormatting>
  <conditionalFormatting sqref="CW2">
    <cfRule type="expression" dxfId="36" priority="11">
      <formula>(#REF!&lt;=#REF!)</formula>
    </cfRule>
  </conditionalFormatting>
  <conditionalFormatting sqref="DA2">
    <cfRule type="expression" dxfId="35" priority="12">
      <formula>(#REF!&lt;=#REF!)</formula>
    </cfRule>
  </conditionalFormatting>
  <conditionalFormatting sqref="DE2">
    <cfRule type="expression" dxfId="34" priority="10">
      <formula>(#REF!&lt;=#REF!)</formula>
    </cfRule>
  </conditionalFormatting>
  <conditionalFormatting sqref="DJ2">
    <cfRule type="expression" dxfId="33" priority="9">
      <formula>(#REF!&lt;=#REF!)</formula>
    </cfRule>
  </conditionalFormatting>
  <conditionalFormatting sqref="DN2">
    <cfRule type="expression" dxfId="32" priority="7">
      <formula>(#REF!&lt;=#REF!)</formula>
    </cfRule>
  </conditionalFormatting>
  <conditionalFormatting sqref="DS2">
    <cfRule type="expression" dxfId="31" priority="8">
      <formula>(#REF!&lt;=#REF!)</formula>
    </cfRule>
  </conditionalFormatting>
  <conditionalFormatting sqref="DW2">
    <cfRule type="expression" dxfId="30" priority="6">
      <formula>(#REF!&lt;=#REF!)</formula>
    </cfRule>
  </conditionalFormatting>
  <conditionalFormatting sqref="EA2">
    <cfRule type="expression" dxfId="29" priority="5">
      <formula>(#REF!&lt;=#REF!)</formula>
    </cfRule>
  </conditionalFormatting>
  <conditionalFormatting sqref="EF2">
    <cfRule type="expression" dxfId="28" priority="4">
      <formula>(#REF!&lt;=#REF!)</formula>
    </cfRule>
  </conditionalFormatting>
  <conditionalFormatting sqref="EJ2">
    <cfRule type="expression" dxfId="27" priority="3">
      <formula>(#REF!&lt;=#REF!)</formula>
    </cfRule>
  </conditionalFormatting>
  <conditionalFormatting sqref="EN2">
    <cfRule type="expression" dxfId="26" priority="2">
      <formula>(#REF!&lt;=#REF!)</formula>
    </cfRule>
  </conditionalFormatting>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F74"/>
  <sheetViews>
    <sheetView zoomScale="72" zoomScaleNormal="72" workbookViewId="0">
      <pane xSplit="24" ySplit="30" topLeftCell="BH31" activePane="bottomRight" state="frozen"/>
      <selection pane="topRight" activeCell="BH1" sqref="BH1"/>
      <selection pane="bottomLeft" activeCell="A31" sqref="A31"/>
      <selection pane="bottomRight" activeCell="CV37" sqref="CV37"/>
    </sheetView>
  </sheetViews>
  <sheetFormatPr defaultColWidth="8.81640625" defaultRowHeight="12"/>
  <cols>
    <col min="1" max="1" width="2.7265625" style="3" customWidth="1"/>
    <col min="2" max="2" width="18.26953125" style="3" customWidth="1"/>
    <col min="3" max="3" width="2.7265625" style="42" hidden="1" customWidth="1"/>
    <col min="4" max="24" width="2.7265625" style="43" hidden="1" customWidth="1"/>
    <col min="25" max="40" width="2.7265625" style="43" customWidth="1"/>
    <col min="41" max="41" width="2.81640625" style="43" customWidth="1"/>
    <col min="42" max="42" width="3.7265625" style="43" customWidth="1"/>
    <col min="43" max="43" width="2.7265625" style="43" customWidth="1"/>
    <col min="44" max="44" width="3.453125" style="43" customWidth="1"/>
    <col min="45" max="45" width="2.7265625" style="43" customWidth="1"/>
    <col min="46" max="46" width="4.26953125" style="43" customWidth="1"/>
    <col min="47" max="47" width="3.26953125" style="43" customWidth="1"/>
    <col min="48" max="55" width="2.7265625" style="43" customWidth="1"/>
    <col min="56" max="56" width="3.1796875" style="43" customWidth="1"/>
    <col min="57" max="59" width="2.7265625" style="43" customWidth="1"/>
    <col min="60" max="60" width="3.54296875" style="43" customWidth="1"/>
    <col min="61" max="62" width="2.7265625" style="43" customWidth="1"/>
    <col min="63" max="63" width="3.7265625" style="43" customWidth="1"/>
    <col min="64" max="66" width="2.7265625" style="43" customWidth="1"/>
    <col min="67" max="67" width="3.54296875" style="43" customWidth="1"/>
    <col min="68" max="71" width="3" style="43" customWidth="1"/>
    <col min="72" max="72" width="4.54296875" style="43" customWidth="1"/>
    <col min="73" max="80" width="3" style="43" customWidth="1"/>
    <col min="81" max="81" width="7.7265625" style="43" customWidth="1"/>
    <col min="82" max="84" width="3" style="43" customWidth="1"/>
    <col min="85" max="85" width="4.54296875" style="43" customWidth="1"/>
    <col min="86" max="130" width="3" style="43" customWidth="1"/>
    <col min="131" max="131" width="3" style="44" customWidth="1"/>
    <col min="132" max="181" width="3" style="3" customWidth="1"/>
    <col min="182" max="16384" width="8.81640625" style="3"/>
  </cols>
  <sheetData>
    <row r="1" spans="1:162" ht="12" customHeight="1">
      <c r="B1" s="45" t="s">
        <v>22</v>
      </c>
      <c r="C1" s="521">
        <v>46023</v>
      </c>
      <c r="D1" s="521"/>
      <c r="E1" s="521"/>
      <c r="F1" s="521"/>
      <c r="G1" s="521"/>
      <c r="H1" s="521"/>
      <c r="I1" s="521"/>
      <c r="J1" s="521"/>
      <c r="K1" s="521"/>
      <c r="L1" s="521"/>
      <c r="M1" s="521"/>
      <c r="N1" s="521"/>
      <c r="O1" s="521"/>
      <c r="P1" s="521"/>
      <c r="Q1" s="521"/>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Q1" s="521"/>
      <c r="AR1" s="521"/>
      <c r="AS1" s="521"/>
      <c r="AT1" s="521"/>
      <c r="AU1" s="522">
        <v>46388</v>
      </c>
      <c r="AV1" s="522"/>
      <c r="AW1" s="522"/>
      <c r="AX1" s="522"/>
      <c r="AY1" s="522"/>
      <c r="AZ1" s="522"/>
      <c r="BA1" s="522"/>
      <c r="BB1" s="522"/>
      <c r="BC1" s="522"/>
      <c r="BD1" s="522"/>
      <c r="BE1" s="522"/>
      <c r="BF1" s="522"/>
      <c r="BG1" s="522"/>
      <c r="BH1" s="522"/>
      <c r="BI1" s="522"/>
      <c r="BJ1" s="522"/>
      <c r="BK1" s="522"/>
      <c r="BL1" s="522"/>
      <c r="BM1" s="522"/>
      <c r="BN1" s="522"/>
      <c r="BO1" s="522"/>
      <c r="BP1" s="522"/>
      <c r="BQ1" s="522"/>
      <c r="BR1" s="522"/>
      <c r="BS1" s="522"/>
      <c r="BT1" s="522"/>
      <c r="BU1" s="522"/>
      <c r="BV1" s="522"/>
      <c r="BW1" s="522"/>
      <c r="BX1" s="522"/>
      <c r="BY1" s="522"/>
      <c r="BZ1" s="522"/>
      <c r="CA1" s="522"/>
      <c r="CB1" s="522"/>
      <c r="CC1" s="522"/>
      <c r="CD1" s="522"/>
      <c r="CE1" s="522"/>
      <c r="CF1" s="522"/>
      <c r="CG1" s="522"/>
      <c r="CH1" s="522"/>
      <c r="CI1" s="522"/>
      <c r="CJ1" s="522"/>
      <c r="CK1" s="522"/>
      <c r="CL1" s="522"/>
      <c r="CM1" s="522"/>
      <c r="CN1" s="522"/>
      <c r="CO1" s="522"/>
      <c r="CP1" s="522"/>
      <c r="CQ1" s="522"/>
      <c r="CR1" s="522"/>
      <c r="CS1" s="522"/>
      <c r="CT1" s="522"/>
      <c r="CU1" s="522"/>
      <c r="CV1" s="522"/>
      <c r="CW1" s="522">
        <v>46753</v>
      </c>
      <c r="CX1" s="522"/>
      <c r="CY1" s="522"/>
      <c r="CZ1" s="522"/>
      <c r="DA1" s="522"/>
      <c r="DB1" s="522"/>
      <c r="DC1" s="522"/>
      <c r="DD1" s="522"/>
      <c r="DE1" s="522"/>
      <c r="DF1" s="522"/>
      <c r="DG1" s="522"/>
      <c r="DH1" s="522"/>
      <c r="DI1" s="522"/>
      <c r="DJ1" s="522"/>
      <c r="DK1" s="522"/>
      <c r="DL1" s="522"/>
      <c r="DM1" s="522"/>
      <c r="DN1" s="522"/>
      <c r="DO1" s="522"/>
      <c r="DP1" s="522"/>
      <c r="DQ1" s="522"/>
      <c r="DR1" s="522"/>
      <c r="DS1" s="522"/>
      <c r="DT1" s="522"/>
      <c r="DU1" s="522"/>
      <c r="DV1" s="522"/>
      <c r="DW1" s="46"/>
      <c r="DX1" s="46"/>
      <c r="DY1" s="46"/>
      <c r="DZ1" s="46"/>
      <c r="EA1" s="47"/>
      <c r="EB1" s="5"/>
      <c r="EC1" s="5"/>
      <c r="ED1" s="5"/>
      <c r="EE1" s="5"/>
      <c r="EF1" s="5"/>
      <c r="EG1" s="5"/>
      <c r="EH1" s="5"/>
      <c r="EI1" s="5"/>
      <c r="EJ1" s="5"/>
      <c r="EK1" s="5"/>
      <c r="EL1" s="5"/>
      <c r="EM1" s="5"/>
      <c r="EN1" s="5"/>
      <c r="EO1" s="5"/>
      <c r="EP1" s="5"/>
      <c r="EQ1" s="5"/>
      <c r="ER1" s="5"/>
      <c r="ES1" s="5"/>
      <c r="ET1" s="5"/>
      <c r="EU1" s="5"/>
      <c r="EV1" s="6"/>
    </row>
    <row r="2" spans="1:162">
      <c r="B2" s="45" t="s">
        <v>23</v>
      </c>
      <c r="C2" s="523">
        <v>46082</v>
      </c>
      <c r="D2" s="523"/>
      <c r="E2" s="523"/>
      <c r="F2" s="523"/>
      <c r="G2" s="523"/>
      <c r="H2" s="519">
        <v>46118</v>
      </c>
      <c r="I2" s="519"/>
      <c r="J2" s="519"/>
      <c r="K2" s="519"/>
      <c r="L2" s="520">
        <v>46148</v>
      </c>
      <c r="M2" s="520"/>
      <c r="N2" s="520"/>
      <c r="O2" s="520"/>
      <c r="P2" s="520">
        <v>46174</v>
      </c>
      <c r="Q2" s="520"/>
      <c r="R2" s="520"/>
      <c r="S2" s="520"/>
      <c r="T2" s="520"/>
      <c r="U2" s="520">
        <v>46209</v>
      </c>
      <c r="V2" s="520"/>
      <c r="W2" s="520"/>
      <c r="X2" s="520"/>
      <c r="Y2" s="519">
        <v>46237</v>
      </c>
      <c r="Z2" s="519"/>
      <c r="AA2" s="519"/>
      <c r="AB2" s="519"/>
      <c r="AC2" s="519"/>
      <c r="AD2" s="519">
        <v>46272</v>
      </c>
      <c r="AE2" s="519"/>
      <c r="AF2" s="519"/>
      <c r="AG2" s="519"/>
      <c r="AH2" s="519">
        <v>46300</v>
      </c>
      <c r="AI2" s="519"/>
      <c r="AJ2" s="519"/>
      <c r="AK2" s="519"/>
      <c r="AL2" s="520">
        <v>46328</v>
      </c>
      <c r="AM2" s="520"/>
      <c r="AN2" s="520"/>
      <c r="AO2" s="520"/>
      <c r="AP2" s="520"/>
      <c r="AQ2" s="520">
        <v>46363</v>
      </c>
      <c r="AR2" s="520"/>
      <c r="AS2" s="520"/>
      <c r="AT2" s="520"/>
      <c r="AU2" s="520">
        <v>46391</v>
      </c>
      <c r="AV2" s="520"/>
      <c r="AW2" s="520"/>
      <c r="AX2" s="520"/>
      <c r="AY2" s="519">
        <v>46419</v>
      </c>
      <c r="AZ2" s="519"/>
      <c r="BA2" s="519"/>
      <c r="BB2" s="519"/>
      <c r="BC2" s="519">
        <v>46447</v>
      </c>
      <c r="BD2" s="519"/>
      <c r="BE2" s="519"/>
      <c r="BF2" s="519"/>
      <c r="BG2" s="519"/>
      <c r="BH2" s="519">
        <v>46482</v>
      </c>
      <c r="BI2" s="519"/>
      <c r="BJ2" s="519"/>
      <c r="BK2" s="519"/>
      <c r="BL2" s="520">
        <v>46510</v>
      </c>
      <c r="BM2" s="520"/>
      <c r="BN2" s="520"/>
      <c r="BO2" s="520"/>
      <c r="BP2" s="520"/>
      <c r="BQ2" s="520">
        <v>46543</v>
      </c>
      <c r="BR2" s="520"/>
      <c r="BS2" s="520"/>
      <c r="BT2" s="520"/>
      <c r="BU2" s="520">
        <v>46573</v>
      </c>
      <c r="BV2" s="520"/>
      <c r="BW2" s="520"/>
      <c r="BX2" s="520"/>
      <c r="BY2" s="520"/>
      <c r="BZ2" s="519">
        <v>46602</v>
      </c>
      <c r="CA2" s="519"/>
      <c r="CB2" s="519"/>
      <c r="CC2" s="519"/>
      <c r="CD2" s="519"/>
      <c r="CE2" s="519"/>
      <c r="CF2" s="519">
        <v>46635</v>
      </c>
      <c r="CG2" s="519"/>
      <c r="CH2" s="519"/>
      <c r="CI2" s="519"/>
      <c r="CJ2" s="519">
        <v>46665</v>
      </c>
      <c r="CK2" s="519"/>
      <c r="CL2" s="519"/>
      <c r="CM2" s="519"/>
      <c r="CN2" s="520">
        <v>46694</v>
      </c>
      <c r="CO2" s="520"/>
      <c r="CP2" s="520"/>
      <c r="CQ2" s="520"/>
      <c r="CR2" s="520"/>
      <c r="CS2" s="520">
        <v>46726</v>
      </c>
      <c r="CT2" s="520"/>
      <c r="CU2" s="520"/>
      <c r="CV2" s="520"/>
      <c r="CW2" s="520">
        <v>46755</v>
      </c>
      <c r="CX2" s="520"/>
      <c r="CY2" s="520"/>
      <c r="CZ2" s="520"/>
      <c r="DA2" s="520"/>
      <c r="DB2" s="519">
        <v>46788</v>
      </c>
      <c r="DC2" s="519"/>
      <c r="DD2" s="519"/>
      <c r="DE2" s="519"/>
      <c r="DF2" s="519">
        <v>46817</v>
      </c>
      <c r="DG2" s="519"/>
      <c r="DH2" s="519"/>
      <c r="DI2" s="519"/>
      <c r="DJ2" s="519">
        <v>46848</v>
      </c>
      <c r="DK2" s="519"/>
      <c r="DL2" s="519"/>
      <c r="DM2" s="519"/>
      <c r="DN2" s="520">
        <v>46876</v>
      </c>
      <c r="DO2" s="520"/>
      <c r="DP2" s="520"/>
      <c r="DQ2" s="520"/>
      <c r="DR2" s="520"/>
      <c r="DS2" s="520">
        <v>46909</v>
      </c>
      <c r="DT2" s="520"/>
      <c r="DU2" s="520"/>
      <c r="DV2" s="520"/>
      <c r="DW2" s="517">
        <v>46937</v>
      </c>
      <c r="DX2" s="517"/>
      <c r="DY2" s="517"/>
      <c r="DZ2" s="517"/>
      <c r="EA2" s="517"/>
      <c r="EB2" s="518">
        <v>46970</v>
      </c>
      <c r="EC2" s="518"/>
      <c r="ED2" s="518"/>
      <c r="EE2" s="518"/>
      <c r="EF2" s="518">
        <v>47001</v>
      </c>
      <c r="EG2" s="518"/>
      <c r="EH2" s="518"/>
      <c r="EI2" s="518"/>
      <c r="EJ2" s="518">
        <v>47029</v>
      </c>
      <c r="EK2" s="518"/>
      <c r="EL2" s="518"/>
      <c r="EM2" s="518"/>
      <c r="EN2" s="518"/>
      <c r="EO2" s="502">
        <v>47062</v>
      </c>
      <c r="EP2" s="502"/>
      <c r="EQ2" s="502"/>
      <c r="ER2" s="502"/>
      <c r="ES2" s="502">
        <v>47092</v>
      </c>
      <c r="ET2" s="502"/>
      <c r="EU2" s="502"/>
      <c r="EV2" s="502"/>
      <c r="EW2" s="502">
        <v>47121</v>
      </c>
      <c r="EX2" s="502"/>
      <c r="EY2" s="502"/>
      <c r="EZ2" s="502"/>
      <c r="FA2" s="502"/>
    </row>
    <row r="3" spans="1:162">
      <c r="B3" s="45" t="s">
        <v>24</v>
      </c>
      <c r="C3" s="48">
        <f t="shared" ref="C3:O3" si="0">D3-7</f>
        <v>46083</v>
      </c>
      <c r="D3" s="49">
        <f t="shared" si="0"/>
        <v>46090</v>
      </c>
      <c r="E3" s="49">
        <f t="shared" si="0"/>
        <v>46097</v>
      </c>
      <c r="F3" s="49">
        <f t="shared" si="0"/>
        <v>46104</v>
      </c>
      <c r="G3" s="49">
        <f t="shared" si="0"/>
        <v>46111</v>
      </c>
      <c r="H3" s="49">
        <f t="shared" si="0"/>
        <v>46118</v>
      </c>
      <c r="I3" s="49">
        <f t="shared" si="0"/>
        <v>46125</v>
      </c>
      <c r="J3" s="49">
        <f t="shared" si="0"/>
        <v>46132</v>
      </c>
      <c r="K3" s="49">
        <f t="shared" si="0"/>
        <v>46139</v>
      </c>
      <c r="L3" s="49">
        <f t="shared" si="0"/>
        <v>46146</v>
      </c>
      <c r="M3" s="49">
        <f t="shared" si="0"/>
        <v>46153</v>
      </c>
      <c r="N3" s="49">
        <f t="shared" si="0"/>
        <v>46160</v>
      </c>
      <c r="O3" s="49">
        <f t="shared" si="0"/>
        <v>46167</v>
      </c>
      <c r="P3" s="49">
        <v>46174</v>
      </c>
      <c r="Q3" s="49">
        <f t="shared" ref="Q3:AV3" si="1">P3+7</f>
        <v>46181</v>
      </c>
      <c r="R3" s="49">
        <f t="shared" si="1"/>
        <v>46188</v>
      </c>
      <c r="S3" s="49">
        <f t="shared" si="1"/>
        <v>46195</v>
      </c>
      <c r="T3" s="49">
        <f t="shared" si="1"/>
        <v>46202</v>
      </c>
      <c r="U3" s="49">
        <f t="shared" si="1"/>
        <v>46209</v>
      </c>
      <c r="V3" s="49">
        <f t="shared" si="1"/>
        <v>46216</v>
      </c>
      <c r="W3" s="49">
        <f t="shared" si="1"/>
        <v>46223</v>
      </c>
      <c r="X3" s="49">
        <f t="shared" si="1"/>
        <v>46230</v>
      </c>
      <c r="Y3" s="49">
        <f t="shared" si="1"/>
        <v>46237</v>
      </c>
      <c r="Z3" s="49">
        <f t="shared" si="1"/>
        <v>46244</v>
      </c>
      <c r="AA3" s="49">
        <f t="shared" si="1"/>
        <v>46251</v>
      </c>
      <c r="AB3" s="49">
        <f t="shared" si="1"/>
        <v>46258</v>
      </c>
      <c r="AC3" s="49">
        <f t="shared" si="1"/>
        <v>46265</v>
      </c>
      <c r="AD3" s="49">
        <f t="shared" si="1"/>
        <v>46272</v>
      </c>
      <c r="AE3" s="49">
        <f t="shared" si="1"/>
        <v>46279</v>
      </c>
      <c r="AF3" s="49">
        <f t="shared" si="1"/>
        <v>46286</v>
      </c>
      <c r="AG3" s="49">
        <f t="shared" si="1"/>
        <v>46293</v>
      </c>
      <c r="AH3" s="49">
        <f t="shared" si="1"/>
        <v>46300</v>
      </c>
      <c r="AI3" s="49">
        <f t="shared" si="1"/>
        <v>46307</v>
      </c>
      <c r="AJ3" s="49">
        <f t="shared" si="1"/>
        <v>46314</v>
      </c>
      <c r="AK3" s="49">
        <f t="shared" si="1"/>
        <v>46321</v>
      </c>
      <c r="AL3" s="49">
        <f t="shared" si="1"/>
        <v>46328</v>
      </c>
      <c r="AM3" s="49">
        <f t="shared" si="1"/>
        <v>46335</v>
      </c>
      <c r="AN3" s="49">
        <f t="shared" si="1"/>
        <v>46342</v>
      </c>
      <c r="AO3" s="49">
        <f t="shared" si="1"/>
        <v>46349</v>
      </c>
      <c r="AP3" s="49">
        <f t="shared" si="1"/>
        <v>46356</v>
      </c>
      <c r="AQ3" s="49">
        <f t="shared" si="1"/>
        <v>46363</v>
      </c>
      <c r="AR3" s="49">
        <f t="shared" si="1"/>
        <v>46370</v>
      </c>
      <c r="AS3" s="50">
        <f t="shared" si="1"/>
        <v>46377</v>
      </c>
      <c r="AT3" s="50">
        <f t="shared" si="1"/>
        <v>46384</v>
      </c>
      <c r="AU3" s="49">
        <f t="shared" si="1"/>
        <v>46391</v>
      </c>
      <c r="AV3" s="49">
        <f t="shared" si="1"/>
        <v>46398</v>
      </c>
      <c r="AW3" s="49">
        <f t="shared" ref="AW3:BU3" si="2">AV3+7</f>
        <v>46405</v>
      </c>
      <c r="AX3" s="49">
        <f t="shared" si="2"/>
        <v>46412</v>
      </c>
      <c r="AY3" s="49">
        <f t="shared" si="2"/>
        <v>46419</v>
      </c>
      <c r="AZ3" s="49">
        <f t="shared" si="2"/>
        <v>46426</v>
      </c>
      <c r="BA3" s="49">
        <f t="shared" si="2"/>
        <v>46433</v>
      </c>
      <c r="BB3" s="49">
        <f t="shared" si="2"/>
        <v>46440</v>
      </c>
      <c r="BC3" s="49">
        <f t="shared" si="2"/>
        <v>46447</v>
      </c>
      <c r="BD3" s="49">
        <f t="shared" si="2"/>
        <v>46454</v>
      </c>
      <c r="BE3" s="49">
        <f t="shared" si="2"/>
        <v>46461</v>
      </c>
      <c r="BF3" s="49">
        <f t="shared" si="2"/>
        <v>46468</v>
      </c>
      <c r="BG3" s="49">
        <f t="shared" si="2"/>
        <v>46475</v>
      </c>
      <c r="BH3" s="49">
        <f t="shared" si="2"/>
        <v>46482</v>
      </c>
      <c r="BI3" s="49">
        <f t="shared" si="2"/>
        <v>46489</v>
      </c>
      <c r="BJ3" s="49">
        <f t="shared" si="2"/>
        <v>46496</v>
      </c>
      <c r="BK3" s="49">
        <f t="shared" si="2"/>
        <v>46503</v>
      </c>
      <c r="BL3" s="49">
        <f t="shared" si="2"/>
        <v>46510</v>
      </c>
      <c r="BM3" s="49">
        <f t="shared" si="2"/>
        <v>46517</v>
      </c>
      <c r="BN3" s="49">
        <f t="shared" si="2"/>
        <v>46524</v>
      </c>
      <c r="BO3" s="49">
        <f t="shared" si="2"/>
        <v>46531</v>
      </c>
      <c r="BP3" s="49">
        <f t="shared" si="2"/>
        <v>46538</v>
      </c>
      <c r="BQ3" s="49">
        <f t="shared" si="2"/>
        <v>46545</v>
      </c>
      <c r="BR3" s="49">
        <f t="shared" si="2"/>
        <v>46552</v>
      </c>
      <c r="BS3" s="49">
        <f t="shared" si="2"/>
        <v>46559</v>
      </c>
      <c r="BT3" s="49">
        <f t="shared" si="2"/>
        <v>46566</v>
      </c>
      <c r="BU3" s="49">
        <f t="shared" si="2"/>
        <v>46573</v>
      </c>
      <c r="BV3" s="49"/>
      <c r="BW3" s="49">
        <f>BU3+7</f>
        <v>46580</v>
      </c>
      <c r="BX3" s="49">
        <f t="shared" ref="BX3:CC3" si="3">BW3+7</f>
        <v>46587</v>
      </c>
      <c r="BY3" s="49">
        <f t="shared" si="3"/>
        <v>46594</v>
      </c>
      <c r="BZ3" s="49">
        <f t="shared" si="3"/>
        <v>46601</v>
      </c>
      <c r="CA3" s="49">
        <f t="shared" si="3"/>
        <v>46608</v>
      </c>
      <c r="CB3" s="49">
        <f t="shared" si="3"/>
        <v>46615</v>
      </c>
      <c r="CC3" s="49">
        <f t="shared" si="3"/>
        <v>46622</v>
      </c>
      <c r="CD3" s="49"/>
      <c r="CE3" s="49">
        <f>CC3+7</f>
        <v>46629</v>
      </c>
      <c r="CF3" s="49">
        <f t="shared" ref="CF3:DK3" si="4">CE3+7</f>
        <v>46636</v>
      </c>
      <c r="CG3" s="49">
        <f t="shared" si="4"/>
        <v>46643</v>
      </c>
      <c r="CH3" s="49">
        <f t="shared" si="4"/>
        <v>46650</v>
      </c>
      <c r="CI3" s="49">
        <f t="shared" si="4"/>
        <v>46657</v>
      </c>
      <c r="CJ3" s="49">
        <f t="shared" si="4"/>
        <v>46664</v>
      </c>
      <c r="CK3" s="49">
        <f t="shared" si="4"/>
        <v>46671</v>
      </c>
      <c r="CL3" s="49">
        <f t="shared" si="4"/>
        <v>46678</v>
      </c>
      <c r="CM3" s="49">
        <f t="shared" si="4"/>
        <v>46685</v>
      </c>
      <c r="CN3" s="49">
        <f t="shared" si="4"/>
        <v>46692</v>
      </c>
      <c r="CO3" s="49">
        <f t="shared" si="4"/>
        <v>46699</v>
      </c>
      <c r="CP3" s="49">
        <f t="shared" si="4"/>
        <v>46706</v>
      </c>
      <c r="CQ3" s="49">
        <f t="shared" si="4"/>
        <v>46713</v>
      </c>
      <c r="CR3" s="49">
        <f t="shared" si="4"/>
        <v>46720</v>
      </c>
      <c r="CS3" s="49">
        <f t="shared" si="4"/>
        <v>46727</v>
      </c>
      <c r="CT3" s="49">
        <f t="shared" si="4"/>
        <v>46734</v>
      </c>
      <c r="CU3" s="50">
        <f t="shared" si="4"/>
        <v>46741</v>
      </c>
      <c r="CV3" s="50">
        <f t="shared" si="4"/>
        <v>46748</v>
      </c>
      <c r="CW3" s="49">
        <f t="shared" si="4"/>
        <v>46755</v>
      </c>
      <c r="CX3" s="49">
        <f t="shared" si="4"/>
        <v>46762</v>
      </c>
      <c r="CY3" s="49">
        <f t="shared" si="4"/>
        <v>46769</v>
      </c>
      <c r="CZ3" s="49">
        <f t="shared" si="4"/>
        <v>46776</v>
      </c>
      <c r="DA3" s="49">
        <f t="shared" si="4"/>
        <v>46783</v>
      </c>
      <c r="DB3" s="49">
        <f t="shared" si="4"/>
        <v>46790</v>
      </c>
      <c r="DC3" s="49">
        <f t="shared" si="4"/>
        <v>46797</v>
      </c>
      <c r="DD3" s="49">
        <f t="shared" si="4"/>
        <v>46804</v>
      </c>
      <c r="DE3" s="49">
        <f t="shared" si="4"/>
        <v>46811</v>
      </c>
      <c r="DF3" s="49">
        <f t="shared" si="4"/>
        <v>46818</v>
      </c>
      <c r="DG3" s="49">
        <f t="shared" si="4"/>
        <v>46825</v>
      </c>
      <c r="DH3" s="49">
        <f t="shared" si="4"/>
        <v>46832</v>
      </c>
      <c r="DI3" s="49">
        <f t="shared" si="4"/>
        <v>46839</v>
      </c>
      <c r="DJ3" s="49">
        <f t="shared" si="4"/>
        <v>46846</v>
      </c>
      <c r="DK3" s="49">
        <f t="shared" si="4"/>
        <v>46853</v>
      </c>
      <c r="DL3" s="49">
        <f t="shared" ref="DL3:EQ3" si="5">DK3+7</f>
        <v>46860</v>
      </c>
      <c r="DM3" s="49">
        <f t="shared" si="5"/>
        <v>46867</v>
      </c>
      <c r="DN3" s="49">
        <f t="shared" si="5"/>
        <v>46874</v>
      </c>
      <c r="DO3" s="49">
        <f t="shared" si="5"/>
        <v>46881</v>
      </c>
      <c r="DP3" s="49">
        <f t="shared" si="5"/>
        <v>46888</v>
      </c>
      <c r="DQ3" s="49">
        <f t="shared" si="5"/>
        <v>46895</v>
      </c>
      <c r="DR3" s="49">
        <f t="shared" si="5"/>
        <v>46902</v>
      </c>
      <c r="DS3" s="49">
        <f t="shared" si="5"/>
        <v>46909</v>
      </c>
      <c r="DT3" s="49">
        <f t="shared" si="5"/>
        <v>46916</v>
      </c>
      <c r="DU3" s="49">
        <f t="shared" si="5"/>
        <v>46923</v>
      </c>
      <c r="DV3" s="49">
        <f t="shared" si="5"/>
        <v>46930</v>
      </c>
      <c r="DW3" s="49">
        <f t="shared" si="5"/>
        <v>46937</v>
      </c>
      <c r="DX3" s="49">
        <f t="shared" si="5"/>
        <v>46944</v>
      </c>
      <c r="DY3" s="49">
        <f t="shared" si="5"/>
        <v>46951</v>
      </c>
      <c r="DZ3" s="49">
        <f t="shared" si="5"/>
        <v>46958</v>
      </c>
      <c r="EA3" s="51">
        <f t="shared" si="5"/>
        <v>46965</v>
      </c>
      <c r="EB3" s="52">
        <f t="shared" si="5"/>
        <v>46972</v>
      </c>
      <c r="EC3" s="7">
        <f t="shared" si="5"/>
        <v>46979</v>
      </c>
      <c r="ED3" s="7">
        <f t="shared" si="5"/>
        <v>46986</v>
      </c>
      <c r="EE3" s="7">
        <f t="shared" si="5"/>
        <v>46993</v>
      </c>
      <c r="EF3" s="7">
        <f t="shared" si="5"/>
        <v>47000</v>
      </c>
      <c r="EG3" s="7">
        <f t="shared" si="5"/>
        <v>47007</v>
      </c>
      <c r="EH3" s="7">
        <f t="shared" si="5"/>
        <v>47014</v>
      </c>
      <c r="EI3" s="7">
        <f t="shared" si="5"/>
        <v>47021</v>
      </c>
      <c r="EJ3" s="7">
        <f t="shared" si="5"/>
        <v>47028</v>
      </c>
      <c r="EK3" s="7">
        <f t="shared" si="5"/>
        <v>47035</v>
      </c>
      <c r="EL3" s="7">
        <f t="shared" si="5"/>
        <v>47042</v>
      </c>
      <c r="EM3" s="7">
        <f t="shared" si="5"/>
        <v>47049</v>
      </c>
      <c r="EN3" s="7">
        <f t="shared" si="5"/>
        <v>47056</v>
      </c>
      <c r="EO3" s="7">
        <f t="shared" si="5"/>
        <v>47063</v>
      </c>
      <c r="EP3" s="7">
        <f t="shared" si="5"/>
        <v>47070</v>
      </c>
      <c r="EQ3" s="7">
        <f t="shared" si="5"/>
        <v>47077</v>
      </c>
      <c r="ER3" s="7">
        <f t="shared" ref="ER3:FF3" si="6">EQ3+7</f>
        <v>47084</v>
      </c>
      <c r="ES3" s="7">
        <f t="shared" si="6"/>
        <v>47091</v>
      </c>
      <c r="ET3" s="7">
        <f t="shared" si="6"/>
        <v>47098</v>
      </c>
      <c r="EU3" s="7">
        <f t="shared" si="6"/>
        <v>47105</v>
      </c>
      <c r="EV3" s="7">
        <f t="shared" si="6"/>
        <v>47112</v>
      </c>
      <c r="EW3" s="7">
        <f t="shared" si="6"/>
        <v>47119</v>
      </c>
      <c r="EX3" s="7">
        <f t="shared" si="6"/>
        <v>47126</v>
      </c>
      <c r="EY3" s="7">
        <f t="shared" si="6"/>
        <v>47133</v>
      </c>
      <c r="EZ3" s="7">
        <f t="shared" si="6"/>
        <v>47140</v>
      </c>
      <c r="FA3" s="7">
        <f t="shared" si="6"/>
        <v>47147</v>
      </c>
      <c r="FB3" s="7">
        <f t="shared" si="6"/>
        <v>47154</v>
      </c>
      <c r="FC3" s="7">
        <f t="shared" si="6"/>
        <v>47161</v>
      </c>
      <c r="FD3" s="7">
        <f t="shared" si="6"/>
        <v>47168</v>
      </c>
      <c r="FE3" s="7">
        <f t="shared" si="6"/>
        <v>47175</v>
      </c>
      <c r="FF3" s="7">
        <f t="shared" si="6"/>
        <v>47182</v>
      </c>
    </row>
    <row r="4" spans="1:162">
      <c r="B4" s="53" t="s">
        <v>25</v>
      </c>
      <c r="C4" s="48">
        <f t="shared" ref="C4:AH4" si="7">C3+4</f>
        <v>46087</v>
      </c>
      <c r="D4" s="49">
        <f t="shared" si="7"/>
        <v>46094</v>
      </c>
      <c r="E4" s="49">
        <f t="shared" si="7"/>
        <v>46101</v>
      </c>
      <c r="F4" s="49">
        <f t="shared" si="7"/>
        <v>46108</v>
      </c>
      <c r="G4" s="49">
        <f t="shared" si="7"/>
        <v>46115</v>
      </c>
      <c r="H4" s="49">
        <f t="shared" si="7"/>
        <v>46122</v>
      </c>
      <c r="I4" s="49">
        <f t="shared" si="7"/>
        <v>46129</v>
      </c>
      <c r="J4" s="49">
        <f t="shared" si="7"/>
        <v>46136</v>
      </c>
      <c r="K4" s="49">
        <f t="shared" si="7"/>
        <v>46143</v>
      </c>
      <c r="L4" s="49">
        <f t="shared" si="7"/>
        <v>46150</v>
      </c>
      <c r="M4" s="49">
        <f t="shared" si="7"/>
        <v>46157</v>
      </c>
      <c r="N4" s="49">
        <f t="shared" si="7"/>
        <v>46164</v>
      </c>
      <c r="O4" s="49">
        <f t="shared" si="7"/>
        <v>46171</v>
      </c>
      <c r="P4" s="49">
        <f t="shared" si="7"/>
        <v>46178</v>
      </c>
      <c r="Q4" s="49">
        <f t="shared" si="7"/>
        <v>46185</v>
      </c>
      <c r="R4" s="49">
        <f t="shared" si="7"/>
        <v>46192</v>
      </c>
      <c r="S4" s="49">
        <f t="shared" si="7"/>
        <v>46199</v>
      </c>
      <c r="T4" s="49">
        <f t="shared" si="7"/>
        <v>46206</v>
      </c>
      <c r="U4" s="49">
        <f t="shared" si="7"/>
        <v>46213</v>
      </c>
      <c r="V4" s="49">
        <f t="shared" si="7"/>
        <v>46220</v>
      </c>
      <c r="W4" s="49">
        <f t="shared" si="7"/>
        <v>46227</v>
      </c>
      <c r="X4" s="49">
        <f t="shared" si="7"/>
        <v>46234</v>
      </c>
      <c r="Y4" s="49">
        <f t="shared" si="7"/>
        <v>46241</v>
      </c>
      <c r="Z4" s="49">
        <f t="shared" si="7"/>
        <v>46248</v>
      </c>
      <c r="AA4" s="49">
        <f t="shared" si="7"/>
        <v>46255</v>
      </c>
      <c r="AB4" s="49">
        <f t="shared" si="7"/>
        <v>46262</v>
      </c>
      <c r="AC4" s="49">
        <f t="shared" si="7"/>
        <v>46269</v>
      </c>
      <c r="AD4" s="49">
        <f t="shared" si="7"/>
        <v>46276</v>
      </c>
      <c r="AE4" s="49">
        <f t="shared" si="7"/>
        <v>46283</v>
      </c>
      <c r="AF4" s="49">
        <f t="shared" si="7"/>
        <v>46290</v>
      </c>
      <c r="AG4" s="49">
        <f t="shared" si="7"/>
        <v>46297</v>
      </c>
      <c r="AH4" s="49">
        <f t="shared" si="7"/>
        <v>46304</v>
      </c>
      <c r="AI4" s="49">
        <f t="shared" ref="AI4:BN4" si="8">AI3+4</f>
        <v>46311</v>
      </c>
      <c r="AJ4" s="49">
        <f t="shared" si="8"/>
        <v>46318</v>
      </c>
      <c r="AK4" s="49">
        <f t="shared" si="8"/>
        <v>46325</v>
      </c>
      <c r="AL4" s="49">
        <f t="shared" si="8"/>
        <v>46332</v>
      </c>
      <c r="AM4" s="49">
        <f t="shared" si="8"/>
        <v>46339</v>
      </c>
      <c r="AN4" s="49">
        <f t="shared" si="8"/>
        <v>46346</v>
      </c>
      <c r="AO4" s="49">
        <f t="shared" si="8"/>
        <v>46353</v>
      </c>
      <c r="AP4" s="49">
        <f t="shared" si="8"/>
        <v>46360</v>
      </c>
      <c r="AQ4" s="49">
        <f t="shared" si="8"/>
        <v>46367</v>
      </c>
      <c r="AR4" s="49">
        <f t="shared" si="8"/>
        <v>46374</v>
      </c>
      <c r="AS4" s="50">
        <f t="shared" si="8"/>
        <v>46381</v>
      </c>
      <c r="AT4" s="50">
        <f t="shared" si="8"/>
        <v>46388</v>
      </c>
      <c r="AU4" s="49">
        <f t="shared" si="8"/>
        <v>46395</v>
      </c>
      <c r="AV4" s="49">
        <f t="shared" si="8"/>
        <v>46402</v>
      </c>
      <c r="AW4" s="49">
        <f t="shared" si="8"/>
        <v>46409</v>
      </c>
      <c r="AX4" s="49">
        <f t="shared" si="8"/>
        <v>46416</v>
      </c>
      <c r="AY4" s="49">
        <f t="shared" si="8"/>
        <v>46423</v>
      </c>
      <c r="AZ4" s="49">
        <f t="shared" si="8"/>
        <v>46430</v>
      </c>
      <c r="BA4" s="49">
        <f t="shared" si="8"/>
        <v>46437</v>
      </c>
      <c r="BB4" s="49">
        <f t="shared" si="8"/>
        <v>46444</v>
      </c>
      <c r="BC4" s="49">
        <f t="shared" si="8"/>
        <v>46451</v>
      </c>
      <c r="BD4" s="49">
        <f t="shared" si="8"/>
        <v>46458</v>
      </c>
      <c r="BE4" s="49">
        <f t="shared" si="8"/>
        <v>46465</v>
      </c>
      <c r="BF4" s="49">
        <f t="shared" si="8"/>
        <v>46472</v>
      </c>
      <c r="BG4" s="49">
        <f t="shared" si="8"/>
        <v>46479</v>
      </c>
      <c r="BH4" s="49">
        <f t="shared" si="8"/>
        <v>46486</v>
      </c>
      <c r="BI4" s="49">
        <f t="shared" si="8"/>
        <v>46493</v>
      </c>
      <c r="BJ4" s="49">
        <f t="shared" si="8"/>
        <v>46500</v>
      </c>
      <c r="BK4" s="49">
        <f t="shared" si="8"/>
        <v>46507</v>
      </c>
      <c r="BL4" s="49">
        <f t="shared" si="8"/>
        <v>46514</v>
      </c>
      <c r="BM4" s="49">
        <f t="shared" si="8"/>
        <v>46521</v>
      </c>
      <c r="BN4" s="49">
        <f t="shared" si="8"/>
        <v>46528</v>
      </c>
      <c r="BO4" s="49">
        <f t="shared" ref="BO4:BU4" si="9">BO3+4</f>
        <v>46535</v>
      </c>
      <c r="BP4" s="49">
        <f t="shared" si="9"/>
        <v>46542</v>
      </c>
      <c r="BQ4" s="49">
        <f t="shared" si="9"/>
        <v>46549</v>
      </c>
      <c r="BR4" s="49">
        <f t="shared" si="9"/>
        <v>46556</v>
      </c>
      <c r="BS4" s="49">
        <f t="shared" si="9"/>
        <v>46563</v>
      </c>
      <c r="BT4" s="49">
        <f t="shared" si="9"/>
        <v>46570</v>
      </c>
      <c r="BU4" s="49">
        <f t="shared" si="9"/>
        <v>46577</v>
      </c>
      <c r="BV4" s="49"/>
      <c r="BW4" s="49">
        <f t="shared" ref="BW4:CC4" si="10">BW3+4</f>
        <v>46584</v>
      </c>
      <c r="BX4" s="49">
        <f t="shared" si="10"/>
        <v>46591</v>
      </c>
      <c r="BY4" s="49">
        <f t="shared" si="10"/>
        <v>46598</v>
      </c>
      <c r="BZ4" s="49">
        <f t="shared" si="10"/>
        <v>46605</v>
      </c>
      <c r="CA4" s="49">
        <f t="shared" si="10"/>
        <v>46612</v>
      </c>
      <c r="CB4" s="49">
        <f t="shared" si="10"/>
        <v>46619</v>
      </c>
      <c r="CC4" s="49">
        <f t="shared" si="10"/>
        <v>46626</v>
      </c>
      <c r="CD4" s="49"/>
      <c r="CE4" s="49">
        <f t="shared" ref="CE4:DJ4" si="11">CE3+4</f>
        <v>46633</v>
      </c>
      <c r="CF4" s="49">
        <f t="shared" si="11"/>
        <v>46640</v>
      </c>
      <c r="CG4" s="49">
        <f t="shared" si="11"/>
        <v>46647</v>
      </c>
      <c r="CH4" s="49">
        <f t="shared" si="11"/>
        <v>46654</v>
      </c>
      <c r="CI4" s="49">
        <f t="shared" si="11"/>
        <v>46661</v>
      </c>
      <c r="CJ4" s="49">
        <f t="shared" si="11"/>
        <v>46668</v>
      </c>
      <c r="CK4" s="49">
        <f t="shared" si="11"/>
        <v>46675</v>
      </c>
      <c r="CL4" s="49">
        <f t="shared" si="11"/>
        <v>46682</v>
      </c>
      <c r="CM4" s="49">
        <f t="shared" si="11"/>
        <v>46689</v>
      </c>
      <c r="CN4" s="49">
        <f t="shared" si="11"/>
        <v>46696</v>
      </c>
      <c r="CO4" s="49">
        <f t="shared" si="11"/>
        <v>46703</v>
      </c>
      <c r="CP4" s="49">
        <f t="shared" si="11"/>
        <v>46710</v>
      </c>
      <c r="CQ4" s="49">
        <f t="shared" si="11"/>
        <v>46717</v>
      </c>
      <c r="CR4" s="49">
        <f t="shared" si="11"/>
        <v>46724</v>
      </c>
      <c r="CS4" s="49">
        <f t="shared" si="11"/>
        <v>46731</v>
      </c>
      <c r="CT4" s="49">
        <f t="shared" si="11"/>
        <v>46738</v>
      </c>
      <c r="CU4" s="50">
        <f t="shared" si="11"/>
        <v>46745</v>
      </c>
      <c r="CV4" s="50">
        <f t="shared" si="11"/>
        <v>46752</v>
      </c>
      <c r="CW4" s="49">
        <f t="shared" si="11"/>
        <v>46759</v>
      </c>
      <c r="CX4" s="49">
        <f t="shared" si="11"/>
        <v>46766</v>
      </c>
      <c r="CY4" s="49">
        <f t="shared" si="11"/>
        <v>46773</v>
      </c>
      <c r="CZ4" s="49">
        <f t="shared" si="11"/>
        <v>46780</v>
      </c>
      <c r="DA4" s="49">
        <f t="shared" si="11"/>
        <v>46787</v>
      </c>
      <c r="DB4" s="49">
        <f t="shared" si="11"/>
        <v>46794</v>
      </c>
      <c r="DC4" s="49">
        <f t="shared" si="11"/>
        <v>46801</v>
      </c>
      <c r="DD4" s="49">
        <f t="shared" si="11"/>
        <v>46808</v>
      </c>
      <c r="DE4" s="49">
        <f t="shared" si="11"/>
        <v>46815</v>
      </c>
      <c r="DF4" s="49">
        <f t="shared" si="11"/>
        <v>46822</v>
      </c>
      <c r="DG4" s="49">
        <f t="shared" si="11"/>
        <v>46829</v>
      </c>
      <c r="DH4" s="49">
        <f t="shared" si="11"/>
        <v>46836</v>
      </c>
      <c r="DI4" s="49">
        <f t="shared" si="11"/>
        <v>46843</v>
      </c>
      <c r="DJ4" s="49">
        <f t="shared" si="11"/>
        <v>46850</v>
      </c>
      <c r="DK4" s="49">
        <f t="shared" ref="DK4:EP4" si="12">DK3+4</f>
        <v>46857</v>
      </c>
      <c r="DL4" s="49">
        <f t="shared" si="12"/>
        <v>46864</v>
      </c>
      <c r="DM4" s="49">
        <f t="shared" si="12"/>
        <v>46871</v>
      </c>
      <c r="DN4" s="49">
        <f t="shared" si="12"/>
        <v>46878</v>
      </c>
      <c r="DO4" s="49">
        <f t="shared" si="12"/>
        <v>46885</v>
      </c>
      <c r="DP4" s="49">
        <f t="shared" si="12"/>
        <v>46892</v>
      </c>
      <c r="DQ4" s="49">
        <f t="shared" si="12"/>
        <v>46899</v>
      </c>
      <c r="DR4" s="49">
        <f t="shared" si="12"/>
        <v>46906</v>
      </c>
      <c r="DS4" s="49">
        <f t="shared" si="12"/>
        <v>46913</v>
      </c>
      <c r="DT4" s="49">
        <f t="shared" si="12"/>
        <v>46920</v>
      </c>
      <c r="DU4" s="49">
        <f t="shared" si="12"/>
        <v>46927</v>
      </c>
      <c r="DV4" s="49">
        <f t="shared" si="12"/>
        <v>46934</v>
      </c>
      <c r="DW4" s="49">
        <f t="shared" si="12"/>
        <v>46941</v>
      </c>
      <c r="DX4" s="49">
        <f t="shared" si="12"/>
        <v>46948</v>
      </c>
      <c r="DY4" s="49">
        <f t="shared" si="12"/>
        <v>46955</v>
      </c>
      <c r="DZ4" s="49">
        <f t="shared" si="12"/>
        <v>46962</v>
      </c>
      <c r="EA4" s="51">
        <f t="shared" si="12"/>
        <v>46969</v>
      </c>
      <c r="EB4" s="52">
        <f t="shared" si="12"/>
        <v>46976</v>
      </c>
      <c r="EC4" s="7">
        <f t="shared" si="12"/>
        <v>46983</v>
      </c>
      <c r="ED4" s="7">
        <f t="shared" si="12"/>
        <v>46990</v>
      </c>
      <c r="EE4" s="7">
        <f t="shared" si="12"/>
        <v>46997</v>
      </c>
      <c r="EF4" s="7">
        <f t="shared" si="12"/>
        <v>47004</v>
      </c>
      <c r="EG4" s="7">
        <f t="shared" si="12"/>
        <v>47011</v>
      </c>
      <c r="EH4" s="7">
        <f t="shared" si="12"/>
        <v>47018</v>
      </c>
      <c r="EI4" s="7">
        <f t="shared" si="12"/>
        <v>47025</v>
      </c>
      <c r="EJ4" s="7">
        <f t="shared" si="12"/>
        <v>47032</v>
      </c>
      <c r="EK4" s="7">
        <f t="shared" si="12"/>
        <v>47039</v>
      </c>
      <c r="EL4" s="7">
        <f t="shared" si="12"/>
        <v>47046</v>
      </c>
      <c r="EM4" s="7">
        <f t="shared" si="12"/>
        <v>47053</v>
      </c>
      <c r="EN4" s="7">
        <f t="shared" si="12"/>
        <v>47060</v>
      </c>
      <c r="EO4" s="7">
        <f t="shared" si="12"/>
        <v>47067</v>
      </c>
      <c r="EP4" s="7">
        <f t="shared" si="12"/>
        <v>47074</v>
      </c>
      <c r="EQ4" s="7">
        <f t="shared" ref="EQ4:FA4" si="13">EQ3+4</f>
        <v>47081</v>
      </c>
      <c r="ER4" s="7">
        <f t="shared" si="13"/>
        <v>47088</v>
      </c>
      <c r="ES4" s="7">
        <f t="shared" si="13"/>
        <v>47095</v>
      </c>
      <c r="ET4" s="7">
        <f t="shared" si="13"/>
        <v>47102</v>
      </c>
      <c r="EU4" s="7">
        <f t="shared" si="13"/>
        <v>47109</v>
      </c>
      <c r="EV4" s="7">
        <f t="shared" si="13"/>
        <v>47116</v>
      </c>
      <c r="EW4" s="7">
        <f t="shared" si="13"/>
        <v>47123</v>
      </c>
      <c r="EX4" s="7">
        <f t="shared" si="13"/>
        <v>47130</v>
      </c>
      <c r="EY4" s="7">
        <f t="shared" si="13"/>
        <v>47137</v>
      </c>
      <c r="EZ4" s="7">
        <f t="shared" si="13"/>
        <v>47144</v>
      </c>
      <c r="FA4" s="7">
        <f t="shared" si="13"/>
        <v>47151</v>
      </c>
    </row>
    <row r="5" spans="1:162">
      <c r="B5" s="54" t="s">
        <v>1</v>
      </c>
      <c r="C5" s="55"/>
      <c r="D5" s="56"/>
      <c r="E5" s="56"/>
      <c r="F5" s="56"/>
      <c r="G5" s="56"/>
      <c r="H5" s="56"/>
      <c r="I5" s="56"/>
      <c r="J5" s="56"/>
      <c r="K5" s="56"/>
      <c r="L5" s="56"/>
      <c r="M5" s="56"/>
      <c r="N5" s="56">
        <v>1</v>
      </c>
      <c r="O5" s="56">
        <v>2</v>
      </c>
      <c r="P5" s="56">
        <v>3</v>
      </c>
      <c r="Q5" s="56">
        <v>4</v>
      </c>
      <c r="R5" s="56">
        <v>5</v>
      </c>
      <c r="S5" s="56">
        <v>6</v>
      </c>
      <c r="T5" s="56">
        <v>7</v>
      </c>
      <c r="U5" s="56"/>
      <c r="V5" s="56"/>
      <c r="W5" s="56">
        <v>1</v>
      </c>
      <c r="X5" s="56">
        <f t="shared" ref="X5:BC5" si="14">W5+1</f>
        <v>2</v>
      </c>
      <c r="Y5" s="56">
        <f t="shared" si="14"/>
        <v>3</v>
      </c>
      <c r="Z5" s="56">
        <f t="shared" si="14"/>
        <v>4</v>
      </c>
      <c r="AA5" s="56">
        <f t="shared" si="14"/>
        <v>5</v>
      </c>
      <c r="AB5" s="56">
        <f t="shared" si="14"/>
        <v>6</v>
      </c>
      <c r="AC5" s="56">
        <f t="shared" si="14"/>
        <v>7</v>
      </c>
      <c r="AD5" s="56">
        <f t="shared" si="14"/>
        <v>8</v>
      </c>
      <c r="AE5" s="56">
        <f t="shared" si="14"/>
        <v>9</v>
      </c>
      <c r="AF5" s="56">
        <f t="shared" si="14"/>
        <v>10</v>
      </c>
      <c r="AG5" s="56">
        <f t="shared" si="14"/>
        <v>11</v>
      </c>
      <c r="AH5" s="56">
        <f t="shared" si="14"/>
        <v>12</v>
      </c>
      <c r="AI5" s="56">
        <f t="shared" si="14"/>
        <v>13</v>
      </c>
      <c r="AJ5" s="56">
        <f t="shared" si="14"/>
        <v>14</v>
      </c>
      <c r="AK5" s="56">
        <f t="shared" si="14"/>
        <v>15</v>
      </c>
      <c r="AL5" s="56">
        <f t="shared" si="14"/>
        <v>16</v>
      </c>
      <c r="AM5" s="56">
        <f t="shared" si="14"/>
        <v>17</v>
      </c>
      <c r="AN5" s="56">
        <f t="shared" si="14"/>
        <v>18</v>
      </c>
      <c r="AO5" s="56">
        <f t="shared" si="14"/>
        <v>19</v>
      </c>
      <c r="AP5" s="56">
        <f t="shared" si="14"/>
        <v>20</v>
      </c>
      <c r="AQ5" s="56">
        <f t="shared" si="14"/>
        <v>21</v>
      </c>
      <c r="AR5" s="56">
        <f t="shared" si="14"/>
        <v>22</v>
      </c>
      <c r="AS5" s="56">
        <f t="shared" si="14"/>
        <v>23</v>
      </c>
      <c r="AT5" s="56">
        <f t="shared" si="14"/>
        <v>24</v>
      </c>
      <c r="AU5" s="56">
        <f t="shared" si="14"/>
        <v>25</v>
      </c>
      <c r="AV5" s="56">
        <f t="shared" si="14"/>
        <v>26</v>
      </c>
      <c r="AW5" s="56">
        <f t="shared" si="14"/>
        <v>27</v>
      </c>
      <c r="AX5" s="56">
        <f t="shared" si="14"/>
        <v>28</v>
      </c>
      <c r="AY5" s="56">
        <f t="shared" si="14"/>
        <v>29</v>
      </c>
      <c r="AZ5" s="56">
        <f t="shared" si="14"/>
        <v>30</v>
      </c>
      <c r="BA5" s="56">
        <f t="shared" si="14"/>
        <v>31</v>
      </c>
      <c r="BB5" s="56">
        <f t="shared" si="14"/>
        <v>32</v>
      </c>
      <c r="BC5" s="56">
        <f t="shared" si="14"/>
        <v>33</v>
      </c>
      <c r="BD5" s="56">
        <f t="shared" ref="BD5:BU5" si="15">BC5+1</f>
        <v>34</v>
      </c>
      <c r="BE5" s="56">
        <f t="shared" si="15"/>
        <v>35</v>
      </c>
      <c r="BF5" s="56">
        <f t="shared" si="15"/>
        <v>36</v>
      </c>
      <c r="BG5" s="56">
        <f t="shared" si="15"/>
        <v>37</v>
      </c>
      <c r="BH5" s="56">
        <f t="shared" si="15"/>
        <v>38</v>
      </c>
      <c r="BI5" s="56">
        <f t="shared" si="15"/>
        <v>39</v>
      </c>
      <c r="BJ5" s="56">
        <f t="shared" si="15"/>
        <v>40</v>
      </c>
      <c r="BK5" s="56">
        <f t="shared" si="15"/>
        <v>41</v>
      </c>
      <c r="BL5" s="56">
        <f t="shared" si="15"/>
        <v>42</v>
      </c>
      <c r="BM5" s="56">
        <f t="shared" si="15"/>
        <v>43</v>
      </c>
      <c r="BN5" s="56">
        <f t="shared" si="15"/>
        <v>44</v>
      </c>
      <c r="BO5" s="56">
        <f t="shared" si="15"/>
        <v>45</v>
      </c>
      <c r="BP5" s="56">
        <f t="shared" si="15"/>
        <v>46</v>
      </c>
      <c r="BQ5" s="56">
        <f t="shared" si="15"/>
        <v>47</v>
      </c>
      <c r="BR5" s="56">
        <f t="shared" si="15"/>
        <v>48</v>
      </c>
      <c r="BS5" s="56">
        <f t="shared" si="15"/>
        <v>49</v>
      </c>
      <c r="BT5" s="56">
        <f t="shared" si="15"/>
        <v>50</v>
      </c>
      <c r="BU5" s="56">
        <f t="shared" si="15"/>
        <v>51</v>
      </c>
      <c r="BV5" s="56"/>
      <c r="BW5" s="56">
        <f>BU5+1</f>
        <v>52</v>
      </c>
      <c r="BX5" s="56">
        <f t="shared" ref="BX5:CC5" si="16">BW5+1</f>
        <v>53</v>
      </c>
      <c r="BY5" s="56">
        <f t="shared" si="16"/>
        <v>54</v>
      </c>
      <c r="BZ5" s="56">
        <f t="shared" si="16"/>
        <v>55</v>
      </c>
      <c r="CA5" s="56">
        <f t="shared" si="16"/>
        <v>56</v>
      </c>
      <c r="CB5" s="56">
        <f t="shared" si="16"/>
        <v>57</v>
      </c>
      <c r="CC5" s="56">
        <f t="shared" si="16"/>
        <v>58</v>
      </c>
      <c r="CD5" s="56"/>
      <c r="CE5" s="56">
        <f>CC5+1</f>
        <v>59</v>
      </c>
      <c r="CF5" s="56">
        <f t="shared" ref="CF5:CM5" si="17">CE5+1</f>
        <v>60</v>
      </c>
      <c r="CG5" s="56">
        <f t="shared" si="17"/>
        <v>61</v>
      </c>
      <c r="CH5" s="56">
        <f t="shared" si="17"/>
        <v>62</v>
      </c>
      <c r="CI5" s="56">
        <f t="shared" si="17"/>
        <v>63</v>
      </c>
      <c r="CJ5" s="56">
        <f t="shared" si="17"/>
        <v>64</v>
      </c>
      <c r="CK5" s="56">
        <f t="shared" si="17"/>
        <v>65</v>
      </c>
      <c r="CL5" s="56">
        <f t="shared" si="17"/>
        <v>66</v>
      </c>
      <c r="CM5" s="57">
        <f t="shared" si="17"/>
        <v>67</v>
      </c>
      <c r="CN5" s="56"/>
      <c r="CO5" s="56"/>
      <c r="CP5" s="56"/>
      <c r="CQ5" s="56"/>
      <c r="CR5" s="56"/>
      <c r="CS5" s="56"/>
      <c r="CT5" s="56"/>
      <c r="CU5" s="56"/>
      <c r="CV5" s="56"/>
    </row>
    <row r="6" spans="1:162" hidden="1">
      <c r="B6" s="9"/>
    </row>
    <row r="7" spans="1:162" hidden="1">
      <c r="B7" s="58" t="s">
        <v>26</v>
      </c>
    </row>
    <row r="8" spans="1:162" hidden="1">
      <c r="B8" s="1" t="s">
        <v>19</v>
      </c>
      <c r="L8" s="59" t="s">
        <v>27</v>
      </c>
      <c r="M8" s="59"/>
      <c r="N8" s="59"/>
      <c r="O8" s="59"/>
      <c r="P8" s="59"/>
      <c r="Q8" s="59"/>
      <c r="R8" s="59"/>
      <c r="S8" s="59"/>
      <c r="T8" s="59"/>
      <c r="U8" s="59"/>
      <c r="V8" s="59"/>
      <c r="W8" s="59"/>
      <c r="X8" s="59"/>
      <c r="Y8" s="60">
        <v>1</v>
      </c>
      <c r="Z8" s="60"/>
      <c r="AA8" s="60"/>
      <c r="AB8" s="60"/>
      <c r="AC8" s="60">
        <v>2</v>
      </c>
      <c r="AD8" s="60"/>
      <c r="AE8" s="60"/>
      <c r="AF8" s="60"/>
      <c r="AG8" s="60">
        <v>3</v>
      </c>
      <c r="AH8" s="60"/>
      <c r="AI8" s="60"/>
      <c r="AJ8" s="60"/>
      <c r="AK8" s="60">
        <v>4</v>
      </c>
      <c r="AL8" s="60"/>
      <c r="AM8" s="60"/>
      <c r="AN8" s="60"/>
      <c r="AO8" s="60">
        <v>5</v>
      </c>
      <c r="AP8" s="60"/>
      <c r="AQ8" s="60"/>
      <c r="AR8" s="60"/>
      <c r="AS8" s="61"/>
      <c r="AT8" s="61"/>
      <c r="AU8" s="60">
        <v>6</v>
      </c>
      <c r="AV8" s="60"/>
      <c r="AW8" s="60"/>
      <c r="AX8" s="60"/>
      <c r="AY8" s="60">
        <v>7</v>
      </c>
      <c r="AZ8" s="60"/>
      <c r="BA8" s="60"/>
      <c r="BB8" s="60"/>
      <c r="BX8" s="62" t="s">
        <v>10</v>
      </c>
      <c r="BY8" s="63"/>
      <c r="BZ8" s="63"/>
      <c r="CA8" s="63"/>
      <c r="CH8" s="62" t="s">
        <v>11</v>
      </c>
      <c r="CI8" s="63"/>
      <c r="CJ8" s="63"/>
      <c r="CK8" s="63"/>
      <c r="CQ8" s="62" t="s">
        <v>28</v>
      </c>
      <c r="CR8" s="63"/>
      <c r="CS8" s="63"/>
      <c r="CT8" s="63"/>
      <c r="CU8" s="61"/>
      <c r="CV8" s="61"/>
      <c r="DB8" s="62" t="s">
        <v>12</v>
      </c>
      <c r="DC8" s="63"/>
      <c r="DD8" s="63"/>
      <c r="DE8" s="63"/>
      <c r="DK8" s="62" t="s">
        <v>21</v>
      </c>
      <c r="DL8" s="63"/>
      <c r="DM8" s="63"/>
      <c r="DN8" s="63"/>
      <c r="DO8" s="64" t="s">
        <v>14</v>
      </c>
      <c r="DP8" s="65"/>
      <c r="DQ8" s="65"/>
      <c r="DR8" s="65"/>
      <c r="DS8" s="65"/>
    </row>
    <row r="9" spans="1:162" hidden="1">
      <c r="B9" s="9"/>
      <c r="W9" s="66" t="s">
        <v>9</v>
      </c>
      <c r="X9" s="66"/>
      <c r="Y9" s="67"/>
      <c r="Z9" s="67"/>
      <c r="AA9" s="67"/>
      <c r="AB9" s="68">
        <v>1</v>
      </c>
      <c r="AC9" s="69"/>
      <c r="AD9" s="69"/>
      <c r="AE9" s="69"/>
      <c r="AF9" s="69"/>
      <c r="AG9" s="69"/>
      <c r="AH9" s="69"/>
      <c r="AI9" s="69"/>
      <c r="AS9" s="61"/>
      <c r="AT9" s="61"/>
      <c r="AU9" s="70">
        <v>1</v>
      </c>
      <c r="AV9" s="70"/>
      <c r="AW9" s="70"/>
      <c r="AX9" s="70"/>
      <c r="AY9" s="71">
        <v>2</v>
      </c>
      <c r="AZ9" s="71"/>
      <c r="BA9" s="71"/>
      <c r="BB9" s="71"/>
      <c r="BC9" s="70">
        <v>3</v>
      </c>
      <c r="BD9" s="70"/>
      <c r="BE9" s="70"/>
      <c r="BF9" s="70"/>
      <c r="BG9" s="70">
        <v>4</v>
      </c>
      <c r="BH9" s="70"/>
      <c r="BI9" s="70"/>
      <c r="BJ9" s="70"/>
      <c r="BK9" s="70">
        <v>5</v>
      </c>
      <c r="BL9" s="70"/>
      <c r="BM9" s="70"/>
      <c r="BN9" s="70"/>
      <c r="BO9" s="70">
        <v>6</v>
      </c>
      <c r="BP9" s="70"/>
      <c r="BQ9" s="70"/>
      <c r="BR9" s="70"/>
      <c r="BS9" s="70">
        <v>7</v>
      </c>
      <c r="BT9" s="70"/>
      <c r="BU9" s="70"/>
      <c r="BV9" s="70"/>
      <c r="BW9" s="70"/>
      <c r="CB9" s="72" t="s">
        <v>15</v>
      </c>
      <c r="CC9" s="72"/>
      <c r="CD9" s="72"/>
      <c r="CE9" s="72"/>
      <c r="CF9" s="72"/>
      <c r="CG9" s="72"/>
      <c r="CL9" s="72" t="s">
        <v>16</v>
      </c>
      <c r="CM9" s="72"/>
      <c r="CN9" s="72"/>
      <c r="CO9" s="72"/>
      <c r="CP9" s="72"/>
      <c r="CU9" s="61"/>
      <c r="CV9" s="61"/>
      <c r="CW9" s="73" t="s">
        <v>29</v>
      </c>
      <c r="CX9" s="73"/>
      <c r="CY9" s="73"/>
      <c r="CZ9" s="73"/>
      <c r="DA9" s="73"/>
      <c r="DF9" s="74" t="s">
        <v>30</v>
      </c>
      <c r="DG9" s="74"/>
      <c r="DH9" s="74"/>
      <c r="DI9" s="74"/>
      <c r="DJ9" s="74"/>
    </row>
    <row r="10" spans="1:162" hidden="1">
      <c r="B10" s="9" t="s">
        <v>31</v>
      </c>
    </row>
    <row r="11" spans="1:162" hidden="1">
      <c r="Y11" s="43" t="s">
        <v>32</v>
      </c>
      <c r="BX11" s="43" t="s">
        <v>33</v>
      </c>
    </row>
    <row r="12" spans="1:162" hidden="1">
      <c r="B12" s="9"/>
    </row>
    <row r="13" spans="1:162" hidden="1">
      <c r="B13" s="9"/>
    </row>
    <row r="14" spans="1:162" hidden="1">
      <c r="A14" s="29"/>
      <c r="B14" s="30"/>
      <c r="C14" s="75"/>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6"/>
      <c r="BY14" s="76"/>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c r="CY14" s="76"/>
      <c r="CZ14" s="76"/>
      <c r="DA14" s="76"/>
      <c r="DB14" s="76"/>
      <c r="DC14" s="76"/>
      <c r="DD14" s="76"/>
      <c r="DE14" s="76"/>
      <c r="DF14" s="76"/>
      <c r="DG14" s="76"/>
      <c r="DH14" s="76"/>
      <c r="DI14" s="76"/>
      <c r="DJ14" s="76"/>
      <c r="DK14" s="76"/>
      <c r="DL14" s="76"/>
      <c r="DM14" s="76"/>
      <c r="DN14" s="76"/>
      <c r="DO14" s="76"/>
      <c r="DP14" s="76"/>
      <c r="DQ14" s="76"/>
      <c r="DR14" s="76"/>
      <c r="DS14" s="76"/>
      <c r="DT14" s="76"/>
      <c r="DU14" s="76"/>
      <c r="DV14" s="76"/>
      <c r="DW14" s="76"/>
      <c r="DX14" s="76"/>
      <c r="DY14" s="76"/>
      <c r="DZ14" s="76"/>
      <c r="EA14" s="77"/>
      <c r="EB14" s="29"/>
      <c r="EC14" s="29"/>
      <c r="ED14" s="29"/>
      <c r="EE14" s="29"/>
      <c r="EF14" s="29"/>
    </row>
    <row r="15" spans="1:162" hidden="1">
      <c r="B15" s="9"/>
    </row>
    <row r="16" spans="1:162" hidden="1">
      <c r="B16" s="58" t="s">
        <v>34</v>
      </c>
    </row>
    <row r="17" spans="1:140" hidden="1">
      <c r="B17" s="78" t="s">
        <v>18</v>
      </c>
      <c r="AD17" s="59" t="s">
        <v>20</v>
      </c>
      <c r="AE17" s="59"/>
      <c r="AF17" s="59"/>
      <c r="AG17" s="59"/>
      <c r="AH17" s="59"/>
      <c r="AI17" s="59"/>
      <c r="AJ17" s="59"/>
      <c r="AK17" s="59"/>
      <c r="AL17" s="59"/>
      <c r="AM17" s="59"/>
      <c r="AN17" s="59"/>
      <c r="AO17" s="59"/>
    </row>
    <row r="18" spans="1:140" hidden="1">
      <c r="B18" s="9"/>
    </row>
    <row r="19" spans="1:140" hidden="1">
      <c r="B19" s="9"/>
    </row>
    <row r="20" spans="1:140" hidden="1">
      <c r="B20" s="1" t="s">
        <v>19</v>
      </c>
      <c r="AN20" s="66" t="s">
        <v>9</v>
      </c>
      <c r="AO20" s="66"/>
      <c r="AP20" s="60">
        <v>1</v>
      </c>
      <c r="AQ20" s="60"/>
      <c r="AR20" s="60"/>
      <c r="AS20" s="60"/>
      <c r="AT20" s="60">
        <v>2</v>
      </c>
      <c r="AU20" s="60"/>
      <c r="AV20" s="60"/>
      <c r="AW20" s="60"/>
      <c r="AX20" s="61"/>
      <c r="AY20" s="61"/>
      <c r="AZ20" s="60">
        <v>3</v>
      </c>
      <c r="BA20" s="60"/>
      <c r="BB20" s="60"/>
      <c r="BC20" s="60"/>
      <c r="BD20" s="60">
        <v>4</v>
      </c>
      <c r="BE20" s="60"/>
      <c r="BF20" s="60"/>
      <c r="BG20" s="60"/>
      <c r="BH20" s="60">
        <v>5</v>
      </c>
      <c r="BI20" s="60"/>
      <c r="BJ20" s="60"/>
      <c r="BK20" s="60"/>
      <c r="BL20" s="60">
        <v>6</v>
      </c>
      <c r="BM20" s="60"/>
      <c r="BN20" s="60"/>
      <c r="BO20" s="60"/>
      <c r="BP20" s="60">
        <v>7</v>
      </c>
      <c r="BQ20" s="60"/>
      <c r="BR20" s="60"/>
      <c r="BS20" s="60"/>
      <c r="CP20" s="62" t="s">
        <v>10</v>
      </c>
      <c r="CQ20" s="63"/>
      <c r="CR20" s="63"/>
      <c r="CS20" s="63"/>
      <c r="CU20" s="61"/>
      <c r="CV20" s="61"/>
      <c r="DA20" s="62" t="s">
        <v>11</v>
      </c>
      <c r="DB20" s="63"/>
      <c r="DC20" s="63"/>
      <c r="DD20" s="63"/>
      <c r="DJ20" s="62" t="s">
        <v>28</v>
      </c>
      <c r="DK20" s="63"/>
      <c r="DL20" s="63"/>
      <c r="DM20" s="63"/>
      <c r="DS20" s="62" t="s">
        <v>12</v>
      </c>
      <c r="DT20" s="63"/>
      <c r="DU20" s="63"/>
      <c r="DV20" s="63"/>
      <c r="EB20" s="18" t="s">
        <v>21</v>
      </c>
      <c r="EC20" s="19"/>
      <c r="ED20" s="19"/>
      <c r="EE20" s="19"/>
      <c r="EF20" s="21" t="s">
        <v>14</v>
      </c>
      <c r="EG20" s="22"/>
      <c r="EH20" s="22"/>
      <c r="EI20" s="22"/>
      <c r="EJ20" s="22"/>
    </row>
    <row r="21" spans="1:140" hidden="1">
      <c r="B21" s="9"/>
      <c r="AP21" s="67"/>
      <c r="AQ21" s="67"/>
      <c r="AR21" s="67"/>
      <c r="AS21" s="68">
        <v>1</v>
      </c>
      <c r="AT21" s="69"/>
      <c r="AU21" s="69"/>
      <c r="AV21" s="69"/>
      <c r="AW21" s="69"/>
      <c r="AX21" s="61"/>
      <c r="AY21" s="61"/>
      <c r="AZ21" s="69"/>
      <c r="BL21" s="70">
        <v>1</v>
      </c>
      <c r="BM21" s="70"/>
      <c r="BN21" s="70"/>
      <c r="BO21" s="70"/>
      <c r="BP21" s="71">
        <v>2</v>
      </c>
      <c r="BQ21" s="71"/>
      <c r="BR21" s="71"/>
      <c r="BS21" s="71"/>
      <c r="BT21" s="70">
        <v>3</v>
      </c>
      <c r="BU21" s="70"/>
      <c r="BV21" s="70"/>
      <c r="BW21" s="70"/>
      <c r="BX21" s="70"/>
      <c r="BY21" s="70">
        <v>4</v>
      </c>
      <c r="BZ21" s="70"/>
      <c r="CA21" s="70"/>
      <c r="CB21" s="70"/>
      <c r="CC21" s="70">
        <v>5</v>
      </c>
      <c r="CD21" s="70"/>
      <c r="CE21" s="70"/>
      <c r="CF21" s="70"/>
      <c r="CG21" s="70"/>
      <c r="CH21" s="70">
        <v>6</v>
      </c>
      <c r="CI21" s="70"/>
      <c r="CJ21" s="70"/>
      <c r="CK21" s="70"/>
      <c r="CL21" s="70">
        <v>7</v>
      </c>
      <c r="CM21" s="70"/>
      <c r="CN21" s="70"/>
      <c r="CO21" s="70"/>
      <c r="CT21" s="72" t="s">
        <v>15</v>
      </c>
      <c r="CU21" s="61"/>
      <c r="CV21" s="61"/>
      <c r="CW21" s="72"/>
      <c r="CX21" s="72"/>
      <c r="CY21" s="72"/>
      <c r="CZ21" s="72"/>
      <c r="DE21" s="72" t="s">
        <v>16</v>
      </c>
      <c r="DF21" s="72"/>
      <c r="DG21" s="72"/>
      <c r="DH21" s="72"/>
      <c r="DI21" s="72"/>
      <c r="DN21" s="73" t="s">
        <v>29</v>
      </c>
      <c r="DO21" s="73"/>
      <c r="DP21" s="73"/>
      <c r="DQ21" s="73"/>
      <c r="DR21" s="73"/>
      <c r="DW21" s="74" t="s">
        <v>30</v>
      </c>
      <c r="DX21" s="74"/>
      <c r="DY21" s="74"/>
      <c r="DZ21" s="74"/>
      <c r="EA21" s="79"/>
    </row>
    <row r="22" spans="1:140" hidden="1">
      <c r="B22" s="9" t="s">
        <v>31</v>
      </c>
      <c r="AP22" s="43" t="s">
        <v>32</v>
      </c>
    </row>
    <row r="23" spans="1:140" hidden="1">
      <c r="B23" s="9"/>
    </row>
    <row r="24" spans="1:140" hidden="1"/>
    <row r="25" spans="1:140" hidden="1">
      <c r="A25" s="29"/>
      <c r="B25" s="30"/>
      <c r="C25" s="75"/>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c r="BV25" s="76"/>
      <c r="BW25" s="76"/>
      <c r="BX25" s="76"/>
      <c r="BY25" s="76"/>
      <c r="BZ25" s="76"/>
      <c r="CA25" s="76"/>
      <c r="CB25" s="76"/>
      <c r="CC25" s="76"/>
      <c r="CD25" s="76"/>
      <c r="CE25" s="76"/>
      <c r="CF25" s="76"/>
      <c r="CG25" s="76"/>
      <c r="CH25" s="76"/>
      <c r="CI25" s="76"/>
      <c r="CJ25" s="76"/>
      <c r="CK25" s="76"/>
      <c r="CL25" s="76"/>
      <c r="CM25" s="76"/>
      <c r="CN25" s="76"/>
      <c r="CO25" s="76"/>
      <c r="CP25" s="76"/>
      <c r="CQ25" s="76"/>
      <c r="CR25" s="76"/>
      <c r="CS25" s="76"/>
      <c r="CT25" s="76"/>
      <c r="CU25" s="76"/>
      <c r="CV25" s="76"/>
      <c r="CW25" s="76"/>
      <c r="CX25" s="76"/>
      <c r="CY25" s="76"/>
      <c r="CZ25" s="76"/>
      <c r="DA25" s="76"/>
      <c r="DB25" s="76"/>
      <c r="DC25" s="76"/>
      <c r="DD25" s="76"/>
      <c r="DE25" s="76"/>
      <c r="DF25" s="76"/>
      <c r="DG25" s="76"/>
      <c r="DH25" s="76"/>
      <c r="DI25" s="76"/>
      <c r="DJ25" s="76"/>
      <c r="DK25" s="76"/>
      <c r="DL25" s="76"/>
      <c r="DM25" s="76"/>
      <c r="DN25" s="76"/>
      <c r="DO25" s="76"/>
      <c r="DP25" s="76"/>
      <c r="DQ25" s="76"/>
      <c r="DR25" s="76"/>
      <c r="DS25" s="76"/>
      <c r="DT25" s="76"/>
      <c r="DU25" s="76"/>
      <c r="DV25" s="76"/>
      <c r="DW25" s="76"/>
      <c r="DX25" s="76"/>
      <c r="DY25" s="76"/>
      <c r="DZ25" s="76"/>
      <c r="EA25" s="77"/>
      <c r="EB25" s="29"/>
      <c r="EC25" s="29"/>
      <c r="ED25" s="29"/>
      <c r="EE25" s="29"/>
      <c r="EF25" s="29"/>
    </row>
    <row r="27" spans="1:140">
      <c r="AD27" s="80" t="s">
        <v>35</v>
      </c>
      <c r="AE27" s="80"/>
      <c r="AF27" s="80"/>
      <c r="AG27" s="80"/>
      <c r="AH27" s="80"/>
      <c r="AI27" s="80"/>
      <c r="AJ27" s="80"/>
      <c r="AK27" s="80"/>
      <c r="AL27" s="80"/>
      <c r="AM27" s="80"/>
      <c r="AN27" s="80"/>
      <c r="AO27" s="80"/>
      <c r="AP27" s="81" t="s">
        <v>36</v>
      </c>
      <c r="AQ27" s="81"/>
      <c r="AR27" s="81"/>
      <c r="AS27" s="81"/>
      <c r="AT27" s="81"/>
      <c r="AU27" s="81"/>
      <c r="AV27" s="81"/>
      <c r="AW27" s="81"/>
      <c r="AX27" s="81"/>
      <c r="AY27" s="81"/>
      <c r="AZ27" s="81"/>
      <c r="BA27" s="81"/>
      <c r="BB27" s="81"/>
      <c r="BC27" s="81"/>
      <c r="BD27" s="81"/>
      <c r="BE27" s="81"/>
      <c r="BF27" s="81"/>
      <c r="BG27" s="81"/>
      <c r="BH27" s="81"/>
      <c r="BI27" s="81"/>
      <c r="BJ27" s="81"/>
      <c r="BK27" s="81"/>
    </row>
    <row r="28" spans="1:140">
      <c r="BD28" s="82" t="s">
        <v>37</v>
      </c>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2"/>
      <c r="CC28" s="83" t="s">
        <v>38</v>
      </c>
      <c r="CD28" s="83"/>
      <c r="CE28" s="83"/>
      <c r="CF28" s="83"/>
      <c r="CG28" s="83"/>
      <c r="CH28" s="83"/>
      <c r="CI28" s="83"/>
      <c r="CJ28" s="83"/>
      <c r="CK28" s="83"/>
      <c r="CL28" s="83"/>
      <c r="CM28" s="83"/>
      <c r="CN28" s="83"/>
      <c r="CO28" s="83"/>
      <c r="CP28" s="83"/>
      <c r="CQ28" s="83"/>
      <c r="CR28" s="83"/>
      <c r="CS28" s="83"/>
      <c r="CT28" s="83"/>
      <c r="CU28" s="83"/>
      <c r="CV28" s="83"/>
      <c r="CW28" s="83"/>
      <c r="CX28" s="84"/>
      <c r="CY28" s="84"/>
      <c r="CZ28" s="84"/>
      <c r="DA28" s="84"/>
      <c r="DB28" s="84"/>
      <c r="DC28" s="84"/>
      <c r="DD28" s="84"/>
      <c r="DE28" s="84"/>
      <c r="DF28" s="84"/>
      <c r="DG28" s="84"/>
      <c r="DH28" s="84"/>
      <c r="DI28" s="84"/>
      <c r="DJ28" s="85" t="s">
        <v>39</v>
      </c>
      <c r="DK28" s="86"/>
      <c r="DL28" s="86"/>
      <c r="DM28" s="86"/>
      <c r="DN28" s="86"/>
      <c r="DO28" s="86"/>
      <c r="DP28" s="86"/>
      <c r="DQ28" s="86"/>
      <c r="DR28" s="86"/>
      <c r="DS28" s="86"/>
      <c r="DT28" s="86"/>
      <c r="DU28" s="86"/>
      <c r="DV28" s="86"/>
      <c r="DW28" s="86"/>
    </row>
    <row r="29" spans="1:140" ht="14.25" customHeight="1">
      <c r="B29" s="515" t="s">
        <v>19</v>
      </c>
      <c r="AD29" s="59" t="s">
        <v>40</v>
      </c>
      <c r="AE29" s="59"/>
      <c r="AF29" s="59"/>
      <c r="AG29" s="59"/>
      <c r="AH29" s="59"/>
      <c r="AI29" s="59"/>
      <c r="AJ29" s="59"/>
      <c r="AK29" s="59"/>
      <c r="AL29" s="59"/>
      <c r="AM29" s="59"/>
      <c r="AN29" s="59"/>
      <c r="AO29" s="59"/>
      <c r="BD29" s="87" t="s">
        <v>41</v>
      </c>
      <c r="BE29" s="87"/>
      <c r="BF29" s="87"/>
      <c r="BG29" s="87"/>
      <c r="BH29" s="87" t="s">
        <v>42</v>
      </c>
      <c r="BI29" s="87"/>
      <c r="BJ29" s="87"/>
      <c r="BK29" s="87"/>
      <c r="BL29" s="87" t="s">
        <v>43</v>
      </c>
      <c r="BM29" s="87"/>
      <c r="BN29" s="87"/>
      <c r="BO29" s="87"/>
      <c r="BP29" s="87" t="s">
        <v>44</v>
      </c>
      <c r="BQ29" s="87"/>
      <c r="BR29" s="87"/>
      <c r="BS29" s="87"/>
      <c r="BT29" s="87" t="s">
        <v>45</v>
      </c>
      <c r="BU29" s="87"/>
      <c r="BV29" s="87"/>
      <c r="BW29" s="87"/>
      <c r="BX29" s="87"/>
      <c r="BY29" s="87" t="s">
        <v>46</v>
      </c>
      <c r="BZ29" s="87"/>
      <c r="CA29" s="87"/>
      <c r="CB29" s="87"/>
      <c r="CC29" s="88"/>
      <c r="CD29" s="88"/>
      <c r="CE29" s="88"/>
      <c r="CG29" s="72" t="s">
        <v>15</v>
      </c>
      <c r="CH29" s="72"/>
      <c r="CI29" s="72"/>
      <c r="CJ29" s="72"/>
      <c r="CK29" s="72"/>
      <c r="CL29" s="72"/>
      <c r="CP29" s="72" t="s">
        <v>16</v>
      </c>
      <c r="CQ29" s="72"/>
      <c r="CR29" s="72"/>
      <c r="CS29" s="72"/>
      <c r="CT29" s="72"/>
      <c r="CU29" s="89"/>
      <c r="CV29" s="89"/>
      <c r="CW29" s="72"/>
      <c r="DA29" s="73" t="s">
        <v>47</v>
      </c>
      <c r="DB29" s="73"/>
      <c r="DC29" s="73"/>
      <c r="DD29" s="73"/>
      <c r="DE29" s="73"/>
      <c r="DF29" s="73"/>
      <c r="DJ29" s="74" t="s">
        <v>30</v>
      </c>
      <c r="DK29" s="74"/>
      <c r="DL29" s="74"/>
      <c r="DM29" s="74"/>
      <c r="DN29" s="74"/>
      <c r="DO29" s="74"/>
    </row>
    <row r="30" spans="1:140">
      <c r="B30" s="515"/>
      <c r="AN30" s="66" t="s">
        <v>9</v>
      </c>
      <c r="AO30" s="66"/>
      <c r="AP30" s="90" t="s">
        <v>48</v>
      </c>
      <c r="AQ30" s="90"/>
      <c r="AR30" s="90"/>
      <c r="AS30" s="91"/>
      <c r="AT30" s="91"/>
      <c r="AU30" s="90"/>
      <c r="AV30" s="90" t="s">
        <v>49</v>
      </c>
      <c r="AW30" s="90"/>
      <c r="AX30" s="90"/>
      <c r="AY30" s="90"/>
      <c r="AZ30" s="90" t="s">
        <v>50</v>
      </c>
      <c r="BA30" s="90"/>
      <c r="BB30" s="90"/>
      <c r="BC30" s="90"/>
      <c r="BD30" s="90" t="s">
        <v>51</v>
      </c>
      <c r="BE30" s="90"/>
      <c r="BF30" s="90"/>
      <c r="BG30" s="90"/>
      <c r="BH30" s="90" t="s">
        <v>52</v>
      </c>
      <c r="BI30" s="90"/>
      <c r="BJ30" s="90"/>
      <c r="BK30" s="90"/>
      <c r="CA30" s="62" t="s">
        <v>10</v>
      </c>
      <c r="CB30" s="63"/>
      <c r="CC30" s="63"/>
      <c r="CD30" s="63"/>
      <c r="CE30" s="63"/>
      <c r="CF30" s="63"/>
      <c r="CK30" s="62" t="s">
        <v>11</v>
      </c>
      <c r="CL30" s="63"/>
      <c r="CM30" s="63"/>
      <c r="CN30" s="63"/>
      <c r="CO30" s="63"/>
      <c r="CU30" s="61"/>
      <c r="CV30" s="61"/>
      <c r="CX30" s="62" t="s">
        <v>28</v>
      </c>
      <c r="CY30" s="63"/>
      <c r="CZ30" s="63"/>
      <c r="DG30" s="62" t="s">
        <v>12</v>
      </c>
      <c r="DH30" s="63"/>
      <c r="DI30" s="63"/>
      <c r="DP30" s="62" t="s">
        <v>21</v>
      </c>
      <c r="DQ30" s="63"/>
      <c r="DR30" s="63"/>
      <c r="DS30" s="64" t="s">
        <v>14</v>
      </c>
      <c r="DT30" s="65"/>
      <c r="DU30" s="65"/>
      <c r="DV30" s="65"/>
      <c r="DW30" s="65"/>
    </row>
    <row r="34" spans="2:127">
      <c r="B34" s="516" t="s">
        <v>53</v>
      </c>
      <c r="AP34" s="92" t="s">
        <v>54</v>
      </c>
      <c r="AQ34" s="92"/>
      <c r="AR34" s="92"/>
      <c r="AS34" s="92"/>
      <c r="AT34" s="92"/>
      <c r="AU34" s="92"/>
      <c r="AV34" s="92"/>
      <c r="AW34" s="92"/>
      <c r="AX34" s="92"/>
      <c r="AY34" s="92"/>
      <c r="AZ34" s="93"/>
      <c r="BA34" s="92"/>
      <c r="BB34" s="92"/>
      <c r="BC34" s="92"/>
      <c r="BD34" s="92"/>
      <c r="BE34" s="92"/>
      <c r="BF34" s="92"/>
      <c r="BG34" s="92"/>
      <c r="BH34" s="92"/>
      <c r="BI34" s="92"/>
      <c r="BJ34" s="92"/>
      <c r="BK34" s="92"/>
      <c r="BL34" s="92"/>
      <c r="BM34" s="92"/>
      <c r="BN34" s="92"/>
      <c r="BO34" s="92"/>
      <c r="BP34" s="92" t="s">
        <v>55</v>
      </c>
      <c r="BQ34" s="92"/>
      <c r="BR34" s="92"/>
      <c r="BS34" s="92"/>
      <c r="CA34" s="92" t="s">
        <v>56</v>
      </c>
      <c r="CB34" s="92"/>
      <c r="CC34" s="92"/>
      <c r="CD34" s="92"/>
      <c r="CE34" s="92"/>
      <c r="CF34" s="92"/>
      <c r="CK34" s="92" t="s">
        <v>57</v>
      </c>
      <c r="CL34" s="92"/>
      <c r="CM34" s="92"/>
      <c r="CN34" s="92"/>
      <c r="CO34" s="92"/>
      <c r="CX34" s="92" t="s">
        <v>58</v>
      </c>
      <c r="CY34" s="92"/>
      <c r="CZ34" s="92"/>
      <c r="DG34" s="92" t="s">
        <v>59</v>
      </c>
      <c r="DH34" s="92"/>
      <c r="DI34" s="92"/>
      <c r="DP34" s="92" t="s">
        <v>60</v>
      </c>
      <c r="DQ34" s="92"/>
      <c r="DR34" s="92"/>
    </row>
    <row r="35" spans="2:127">
      <c r="B35" s="516"/>
      <c r="AN35" s="92" t="s">
        <v>61</v>
      </c>
      <c r="AO35" s="92"/>
      <c r="AZ35" s="94"/>
      <c r="BD35" s="92" t="s">
        <v>62</v>
      </c>
      <c r="BE35" s="92"/>
      <c r="BF35" s="92"/>
      <c r="BG35" s="92"/>
      <c r="BH35" s="92"/>
      <c r="BI35" s="92"/>
      <c r="BJ35" s="92"/>
      <c r="BK35" s="92"/>
      <c r="BP35" s="92" t="s">
        <v>63</v>
      </c>
      <c r="BQ35" s="92"/>
      <c r="BR35" s="92"/>
      <c r="BS35" s="92"/>
      <c r="BT35" s="92"/>
      <c r="BY35" s="92" t="s">
        <v>64</v>
      </c>
      <c r="BZ35" s="92"/>
      <c r="CA35" s="92"/>
      <c r="CB35" s="92"/>
      <c r="CC35" s="92"/>
      <c r="CD35" s="95"/>
      <c r="CG35" s="92" t="s">
        <v>65</v>
      </c>
      <c r="CH35" s="92"/>
      <c r="CI35" s="92"/>
      <c r="CJ35" s="92"/>
      <c r="CK35" s="92"/>
      <c r="CL35" s="92"/>
      <c r="CP35" s="92" t="s">
        <v>66</v>
      </c>
      <c r="CQ35" s="92"/>
      <c r="CR35" s="92"/>
      <c r="CS35" s="92"/>
      <c r="CT35" s="92"/>
      <c r="CU35" s="92"/>
      <c r="DA35" s="92" t="s">
        <v>67</v>
      </c>
      <c r="DB35" s="92"/>
      <c r="DC35" s="92"/>
      <c r="DD35" s="92"/>
      <c r="DE35" s="92"/>
      <c r="DF35" s="92"/>
      <c r="DJ35" s="92" t="s">
        <v>68</v>
      </c>
      <c r="DK35" s="92"/>
      <c r="DL35" s="92"/>
      <c r="DM35" s="92"/>
      <c r="DN35" s="92"/>
      <c r="DO35" s="92"/>
      <c r="DP35" s="92" t="s">
        <v>69</v>
      </c>
      <c r="DQ35" s="92"/>
      <c r="DR35" s="92"/>
      <c r="DS35" s="92" t="s">
        <v>70</v>
      </c>
      <c r="DT35" s="92"/>
      <c r="DU35" s="92"/>
      <c r="DV35" s="92"/>
      <c r="DW35" s="92"/>
    </row>
    <row r="36" spans="2:127">
      <c r="AZ36" s="94"/>
      <c r="CM36" s="92" t="s">
        <v>71</v>
      </c>
      <c r="CN36" s="92"/>
      <c r="CO36" s="92"/>
      <c r="CX36" s="92" t="s">
        <v>72</v>
      </c>
      <c r="CY36" s="92"/>
      <c r="CZ36" s="92"/>
    </row>
    <row r="37" spans="2:127">
      <c r="AZ37" s="94"/>
    </row>
    <row r="38" spans="2:127">
      <c r="AZ38" s="94" t="s">
        <v>73</v>
      </c>
    </row>
    <row r="39" spans="2:127" ht="12" customHeight="1">
      <c r="B39" s="516" t="s">
        <v>74</v>
      </c>
      <c r="BE39" s="69"/>
      <c r="BF39" s="69"/>
      <c r="BG39" s="69"/>
      <c r="BH39" s="69"/>
      <c r="BI39" s="69"/>
      <c r="BJ39" s="69"/>
      <c r="BK39" s="69"/>
      <c r="BL39" s="69"/>
      <c r="BM39" s="69"/>
      <c r="BZ39" s="69"/>
      <c r="CA39" s="69"/>
      <c r="CB39" s="69"/>
    </row>
    <row r="40" spans="2:127" ht="12" customHeight="1">
      <c r="B40" s="516"/>
      <c r="AK40" s="96"/>
      <c r="AL40" s="96" t="s">
        <v>75</v>
      </c>
      <c r="AM40" s="96"/>
      <c r="AN40" s="96"/>
      <c r="AO40" s="96"/>
      <c r="AP40" s="96" t="s">
        <v>76</v>
      </c>
      <c r="AQ40" s="97"/>
      <c r="AR40" s="97"/>
      <c r="AS40" s="97"/>
      <c r="AT40" s="97"/>
      <c r="AU40" s="97"/>
      <c r="AV40" s="96" t="s">
        <v>77</v>
      </c>
      <c r="AW40" s="96"/>
      <c r="AX40" s="96" t="s">
        <v>78</v>
      </c>
      <c r="AY40" s="97"/>
      <c r="AZ40" s="97"/>
      <c r="BA40" s="96" t="s">
        <v>79</v>
      </c>
      <c r="BB40" s="97"/>
      <c r="BC40" s="97"/>
      <c r="BD40" s="97"/>
      <c r="BE40" s="97"/>
      <c r="BF40" s="97"/>
      <c r="BG40" s="97"/>
      <c r="BH40" s="97"/>
      <c r="BI40" s="97"/>
      <c r="BL40" s="96" t="s">
        <v>80</v>
      </c>
      <c r="BM40" s="96"/>
      <c r="BQ40" s="96" t="s">
        <v>81</v>
      </c>
      <c r="BR40" s="96"/>
      <c r="BU40" s="98" t="s">
        <v>82</v>
      </c>
      <c r="BV40" s="98"/>
      <c r="BW40" s="99"/>
      <c r="CH40" s="96" t="s">
        <v>81</v>
      </c>
      <c r="CI40" s="96"/>
      <c r="CR40" s="98" t="s">
        <v>83</v>
      </c>
      <c r="CS40" s="99"/>
      <c r="DC40" s="96" t="s">
        <v>81</v>
      </c>
      <c r="DD40" s="96"/>
      <c r="DJ40" s="100" t="s">
        <v>84</v>
      </c>
      <c r="DK40" s="99"/>
      <c r="DS40" s="99" t="s">
        <v>70</v>
      </c>
      <c r="DT40" s="99"/>
      <c r="DU40" s="99"/>
      <c r="DV40" s="99"/>
      <c r="DW40" s="99"/>
    </row>
    <row r="41" spans="2:127">
      <c r="B41" s="101"/>
    </row>
    <row r="42" spans="2:127" ht="12" customHeight="1">
      <c r="B42" s="101"/>
    </row>
    <row r="43" spans="2:127" ht="12" customHeight="1">
      <c r="B43" s="101"/>
    </row>
    <row r="44" spans="2:127">
      <c r="B44" s="506" t="s">
        <v>85</v>
      </c>
      <c r="AL44" s="102" t="s">
        <v>86</v>
      </c>
      <c r="AM44" s="102"/>
      <c r="AN44" s="102"/>
      <c r="AO44" s="102"/>
      <c r="AP44" s="103"/>
      <c r="AQ44" s="102" t="s">
        <v>87</v>
      </c>
      <c r="AR44" s="102"/>
      <c r="AS44" s="102"/>
      <c r="AT44" s="102"/>
      <c r="AU44" s="102"/>
      <c r="AV44" s="102"/>
      <c r="AW44" s="102"/>
      <c r="AX44" s="104"/>
      <c r="AY44" s="103"/>
      <c r="AZ44" s="104" t="s">
        <v>88</v>
      </c>
      <c r="BA44" s="104"/>
      <c r="BB44" s="104"/>
      <c r="BC44" s="104"/>
      <c r="BD44" s="103"/>
      <c r="BE44" s="102" t="s">
        <v>89</v>
      </c>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4"/>
      <c r="CG44" s="102" t="s">
        <v>90</v>
      </c>
      <c r="CH44" s="105"/>
      <c r="CI44" s="105"/>
      <c r="CJ44" s="105"/>
      <c r="CK44" s="105"/>
      <c r="CL44" s="105"/>
      <c r="CP44" s="102" t="s">
        <v>91</v>
      </c>
      <c r="CQ44" s="105"/>
      <c r="CR44" s="105"/>
      <c r="CS44" s="105"/>
      <c r="CT44" s="105"/>
      <c r="CU44" s="105"/>
      <c r="DA44" s="102" t="s">
        <v>92</v>
      </c>
      <c r="DB44" s="105"/>
      <c r="DC44" s="105"/>
      <c r="DD44" s="105"/>
      <c r="DE44" s="105"/>
      <c r="DF44" s="105"/>
      <c r="DJ44" s="102" t="s">
        <v>93</v>
      </c>
      <c r="DK44" s="105"/>
      <c r="DL44" s="105"/>
      <c r="DM44" s="105"/>
      <c r="DN44" s="105"/>
      <c r="DO44" s="105"/>
      <c r="DS44" s="102" t="s">
        <v>94</v>
      </c>
      <c r="DT44" s="105"/>
      <c r="DU44" s="105"/>
      <c r="DV44" s="105"/>
      <c r="DW44" s="105"/>
    </row>
    <row r="45" spans="2:127">
      <c r="B45" s="506"/>
      <c r="AX45" s="102" t="s">
        <v>95</v>
      </c>
      <c r="AY45" s="102"/>
      <c r="AZ45" s="102"/>
      <c r="BA45" s="102"/>
      <c r="BB45" s="102"/>
      <c r="BC45" s="102"/>
      <c r="BG45" s="102" t="s">
        <v>96</v>
      </c>
      <c r="BH45" s="105"/>
      <c r="BI45" s="105"/>
      <c r="BJ45" s="105"/>
      <c r="BK45" s="105"/>
      <c r="BL45" s="105"/>
      <c r="BM45" s="105"/>
      <c r="BN45" s="105"/>
      <c r="BO45" s="105"/>
      <c r="BP45" s="105"/>
      <c r="BQ45" s="105"/>
      <c r="BR45" s="105"/>
      <c r="BS45" s="105"/>
      <c r="BT45" s="105"/>
      <c r="BW45" s="102" t="s">
        <v>97</v>
      </c>
      <c r="BX45" s="105"/>
      <c r="BY45" s="105"/>
      <c r="BZ45" s="105"/>
      <c r="CB45" s="102" t="s">
        <v>98</v>
      </c>
      <c r="CC45" s="102"/>
      <c r="CD45" s="102"/>
      <c r="CE45" s="102"/>
      <c r="CF45" s="102"/>
      <c r="CG45" s="106"/>
      <c r="CK45" s="106" t="s">
        <v>99</v>
      </c>
      <c r="CL45" s="106"/>
      <c r="CM45" s="102"/>
      <c r="CN45" s="102"/>
      <c r="CO45" s="102"/>
      <c r="CX45" s="102" t="s">
        <v>99</v>
      </c>
      <c r="CY45" s="102"/>
      <c r="CZ45" s="102"/>
      <c r="DG45" s="102" t="s">
        <v>100</v>
      </c>
      <c r="DH45" s="102"/>
      <c r="DI45" s="102"/>
      <c r="DP45" s="102" t="s">
        <v>101</v>
      </c>
      <c r="DQ45" s="102"/>
      <c r="DR45" s="102"/>
    </row>
    <row r="46" spans="2:127">
      <c r="B46" s="101"/>
    </row>
    <row r="47" spans="2:127">
      <c r="B47" s="101"/>
    </row>
    <row r="48" spans="2:127">
      <c r="B48" s="101"/>
    </row>
    <row r="49" spans="2:127" ht="12" customHeight="1">
      <c r="B49" s="506" t="s">
        <v>102</v>
      </c>
      <c r="BC49" s="510" t="s">
        <v>103</v>
      </c>
      <c r="BD49" s="510"/>
      <c r="BE49" s="510"/>
      <c r="BF49" s="510" t="s">
        <v>104</v>
      </c>
      <c r="BG49" s="510"/>
      <c r="BH49" s="510"/>
      <c r="BI49" s="510"/>
      <c r="BJ49" s="107" t="s">
        <v>105</v>
      </c>
      <c r="BK49" s="107"/>
      <c r="BL49" s="107"/>
      <c r="BM49" s="107"/>
      <c r="BN49" s="107" t="s">
        <v>106</v>
      </c>
      <c r="BO49" s="108"/>
      <c r="BP49" s="108"/>
      <c r="BQ49" s="108"/>
      <c r="BR49" s="514" t="s">
        <v>107</v>
      </c>
      <c r="BS49" s="514"/>
      <c r="BT49" s="514"/>
      <c r="BU49" s="510"/>
      <c r="BV49" s="510"/>
      <c r="BW49" s="510"/>
      <c r="BX49" s="510"/>
      <c r="BY49" s="510"/>
      <c r="BZ49" s="510"/>
      <c r="CA49" s="510"/>
      <c r="CB49" s="510"/>
    </row>
    <row r="50" spans="2:127" ht="12" customHeight="1">
      <c r="B50" s="506"/>
      <c r="AN50" s="109" t="s">
        <v>108</v>
      </c>
      <c r="AO50" s="109"/>
      <c r="AP50" s="109"/>
      <c r="AT50" s="109" t="s">
        <v>109</v>
      </c>
      <c r="AU50" s="109"/>
      <c r="AV50" s="109"/>
      <c r="AW50" s="109"/>
      <c r="AX50" s="109" t="s">
        <v>110</v>
      </c>
      <c r="AY50" s="109"/>
      <c r="AZ50" s="109"/>
      <c r="BA50" s="109"/>
      <c r="BB50" s="109"/>
      <c r="BC50" s="110"/>
      <c r="BD50" s="109" t="s">
        <v>111</v>
      </c>
      <c r="BE50" s="109"/>
      <c r="BF50" s="109"/>
    </row>
    <row r="51" spans="2:127" ht="12" customHeight="1">
      <c r="AP51" s="511" t="s">
        <v>112</v>
      </c>
      <c r="AQ51" s="511"/>
      <c r="AR51" s="511"/>
      <c r="AS51" s="511"/>
      <c r="AT51" s="511"/>
      <c r="AU51" s="511"/>
      <c r="AX51" s="109" t="s">
        <v>113</v>
      </c>
      <c r="AY51" s="109"/>
      <c r="AZ51" s="109"/>
      <c r="BA51" s="109"/>
      <c r="BB51" s="109"/>
      <c r="BC51" s="109"/>
      <c r="BG51" s="109" t="s">
        <v>114</v>
      </c>
      <c r="BH51" s="109"/>
      <c r="BI51" s="109"/>
      <c r="BJ51" s="109"/>
      <c r="BK51" s="109"/>
      <c r="BL51" s="109"/>
      <c r="BM51" s="109"/>
      <c r="BN51" s="109"/>
      <c r="BO51" s="109"/>
      <c r="BP51" s="109"/>
      <c r="BQ51" s="109"/>
      <c r="BR51" s="109" t="s">
        <v>115</v>
      </c>
      <c r="BS51" s="109"/>
      <c r="BT51" s="109"/>
    </row>
    <row r="53" spans="2:127">
      <c r="CS53" s="111" t="s">
        <v>116</v>
      </c>
      <c r="CT53" s="111"/>
      <c r="CU53" s="111"/>
      <c r="CV53" s="111"/>
      <c r="CW53" s="111"/>
      <c r="CX53" s="111"/>
      <c r="CY53" s="111"/>
      <c r="CZ53" s="111"/>
      <c r="DA53" s="111"/>
      <c r="DB53" s="111"/>
      <c r="DC53" s="111"/>
      <c r="DD53" s="111"/>
    </row>
    <row r="54" spans="2:127" ht="12" customHeight="1">
      <c r="B54" s="506" t="s">
        <v>117</v>
      </c>
      <c r="AD54" s="512" t="s">
        <v>118</v>
      </c>
      <c r="AE54" s="512"/>
      <c r="AF54" s="512"/>
      <c r="AG54" s="512"/>
      <c r="AH54" s="513" t="s">
        <v>119</v>
      </c>
      <c r="AI54" s="513"/>
      <c r="AJ54" s="513"/>
      <c r="AK54" s="513"/>
      <c r="AL54" s="513"/>
      <c r="AP54" s="86" t="s">
        <v>120</v>
      </c>
      <c r="AQ54" s="86"/>
      <c r="AR54" s="86"/>
      <c r="AS54" s="86"/>
      <c r="AT54" s="86"/>
      <c r="AU54" s="86"/>
      <c r="AV54" s="86"/>
      <c r="AW54" s="86"/>
      <c r="AX54" s="86"/>
      <c r="AY54" s="86"/>
      <c r="AZ54" s="86"/>
      <c r="BA54" s="86"/>
      <c r="BB54" s="86"/>
      <c r="BC54" s="86"/>
      <c r="BD54" s="86"/>
      <c r="BE54" s="86"/>
      <c r="BF54" s="86"/>
      <c r="BG54" s="86"/>
      <c r="BM54" s="111" t="s">
        <v>121</v>
      </c>
      <c r="BN54" s="111"/>
      <c r="BO54" s="111"/>
      <c r="BP54" s="111"/>
      <c r="BQ54" s="111"/>
      <c r="BR54" s="111"/>
      <c r="BS54" s="111"/>
      <c r="BT54" s="111" t="s">
        <v>122</v>
      </c>
      <c r="BU54" s="111"/>
      <c r="BV54" s="111"/>
      <c r="BW54" s="111"/>
      <c r="BX54" s="111"/>
      <c r="BY54" s="111"/>
      <c r="BZ54" s="111"/>
      <c r="CA54" s="111"/>
      <c r="CE54" s="111" t="s">
        <v>123</v>
      </c>
      <c r="CF54" s="111"/>
      <c r="CG54" s="111"/>
      <c r="CH54" s="111"/>
      <c r="CI54" s="111"/>
      <c r="CJ54" s="111"/>
      <c r="CK54" s="111"/>
      <c r="CL54" s="111"/>
      <c r="CM54" s="111"/>
      <c r="CN54" s="111"/>
      <c r="CO54" s="111"/>
      <c r="CP54" s="111"/>
      <c r="CQ54" s="111"/>
      <c r="CR54" s="111"/>
      <c r="CS54" s="111"/>
      <c r="CT54" s="111"/>
      <c r="CU54" s="111"/>
      <c r="CX54" s="111" t="s">
        <v>124</v>
      </c>
      <c r="CY54" s="111"/>
      <c r="CZ54" s="111"/>
      <c r="DA54" s="111"/>
      <c r="DF54" s="111" t="s">
        <v>125</v>
      </c>
      <c r="DG54" s="111"/>
      <c r="DH54" s="111"/>
      <c r="DI54" s="111"/>
      <c r="DJ54" s="111"/>
      <c r="DK54" s="111"/>
      <c r="DL54" s="111"/>
      <c r="DM54" s="111"/>
      <c r="DN54" s="111"/>
      <c r="DO54" s="111"/>
      <c r="DP54" s="111"/>
    </row>
    <row r="55" spans="2:127" ht="12" customHeight="1">
      <c r="B55" s="506"/>
      <c r="AF55" s="112" t="s">
        <v>126</v>
      </c>
      <c r="AG55" s="112"/>
      <c r="AH55" s="112"/>
      <c r="AI55" s="112"/>
      <c r="AJ55" s="113"/>
      <c r="AK55" s="113"/>
      <c r="AM55" s="114" t="s">
        <v>127</v>
      </c>
      <c r="AN55" s="114"/>
      <c r="AO55" s="114"/>
      <c r="AP55" s="114"/>
      <c r="AQ55" s="114"/>
      <c r="AR55" s="114"/>
      <c r="AS55" s="114"/>
      <c r="AT55" s="114"/>
      <c r="BB55" s="115"/>
      <c r="BC55" s="115" t="s">
        <v>128</v>
      </c>
      <c r="BD55" s="115"/>
      <c r="BE55" s="115"/>
      <c r="BF55" s="115"/>
      <c r="BG55" s="115"/>
      <c r="BH55" s="115"/>
      <c r="BI55" s="115"/>
      <c r="CV55" s="111" t="s">
        <v>129</v>
      </c>
      <c r="CW55" s="111"/>
      <c r="CX55" s="111"/>
      <c r="CY55" s="111"/>
      <c r="CZ55" s="111"/>
      <c r="DA55" s="111"/>
      <c r="DB55" s="111"/>
      <c r="DC55" s="111"/>
    </row>
    <row r="56" spans="2:127">
      <c r="BG56" s="114" t="s">
        <v>130</v>
      </c>
      <c r="BH56" s="114"/>
      <c r="BI56" s="114"/>
      <c r="BJ56" s="114"/>
      <c r="BK56" s="114"/>
      <c r="BL56" s="114"/>
      <c r="BM56" s="114"/>
      <c r="BN56" s="114"/>
      <c r="BP56" s="114" t="s">
        <v>131</v>
      </c>
      <c r="BQ56" s="114"/>
      <c r="BR56" s="114"/>
      <c r="BS56" s="114"/>
      <c r="BT56" s="114"/>
      <c r="BU56" s="114"/>
      <c r="BV56" s="114"/>
      <c r="BW56" s="114"/>
      <c r="BX56" s="114"/>
      <c r="BZ56" s="114" t="s">
        <v>132</v>
      </c>
      <c r="CA56" s="114"/>
      <c r="CB56" s="114"/>
      <c r="CC56" s="114"/>
      <c r="CD56" s="114"/>
      <c r="CE56" s="114"/>
      <c r="CF56" s="114"/>
      <c r="CG56" s="114"/>
      <c r="CH56" s="114"/>
      <c r="CI56" s="114"/>
      <c r="CJ56" s="114"/>
      <c r="CK56" s="114"/>
      <c r="CL56" s="114"/>
      <c r="CM56" s="114"/>
      <c r="CN56" s="114"/>
      <c r="CO56" s="114"/>
      <c r="CP56" s="114"/>
      <c r="CQ56" s="114"/>
      <c r="CR56" s="114"/>
      <c r="CS56" s="114"/>
      <c r="CT56" s="114"/>
      <c r="CU56" s="114"/>
      <c r="CV56" s="114"/>
      <c r="CW56" s="114"/>
      <c r="CX56" s="114"/>
      <c r="CY56" s="114"/>
      <c r="CZ56" s="114"/>
      <c r="DA56" s="114"/>
      <c r="DB56" s="114"/>
      <c r="DC56" s="114"/>
      <c r="DD56" s="114"/>
      <c r="DE56" s="114"/>
      <c r="DF56" s="114"/>
      <c r="DG56" s="114"/>
      <c r="DH56" s="114"/>
      <c r="DI56" s="114"/>
      <c r="DJ56" s="114"/>
      <c r="DK56" s="114"/>
      <c r="DL56" s="114"/>
      <c r="DM56" s="114"/>
      <c r="DN56" s="114"/>
      <c r="DO56" s="114"/>
      <c r="DP56" s="114"/>
      <c r="DQ56" s="114"/>
    </row>
    <row r="57" spans="2:127">
      <c r="BZ57" s="116" t="s">
        <v>133</v>
      </c>
      <c r="CA57" s="116"/>
      <c r="CB57" s="116"/>
      <c r="CC57" s="116"/>
      <c r="CD57" s="116"/>
      <c r="CE57" s="116"/>
      <c r="CF57" s="116"/>
      <c r="CG57" s="116"/>
      <c r="CH57" s="116"/>
      <c r="CI57" s="116"/>
      <c r="CJ57" s="116"/>
      <c r="CK57" s="116"/>
      <c r="CL57" s="116"/>
      <c r="CM57" s="116"/>
      <c r="CN57" s="116" t="s">
        <v>134</v>
      </c>
      <c r="CO57" s="116"/>
      <c r="CP57" s="116"/>
      <c r="CQ57" s="116"/>
      <c r="CR57" s="116"/>
      <c r="CS57" s="116"/>
      <c r="CT57" s="116"/>
      <c r="CU57" s="116"/>
      <c r="CV57" s="116"/>
      <c r="CW57" s="116"/>
      <c r="CX57" s="116"/>
      <c r="CY57" s="116"/>
      <c r="CZ57" s="116"/>
      <c r="DA57" s="116"/>
      <c r="DB57" s="116" t="s">
        <v>135</v>
      </c>
      <c r="DC57" s="116"/>
      <c r="DD57" s="116"/>
      <c r="DE57" s="116"/>
      <c r="DF57" s="116"/>
      <c r="DG57" s="116"/>
      <c r="DH57" s="116"/>
      <c r="DI57" s="116"/>
      <c r="DJ57" s="116"/>
      <c r="DK57" s="116"/>
      <c r="DL57" s="116"/>
      <c r="DM57" s="116"/>
      <c r="DN57" s="116" t="s">
        <v>136</v>
      </c>
      <c r="DO57" s="116"/>
      <c r="DP57" s="116"/>
      <c r="DQ57" s="116"/>
      <c r="DR57" s="116"/>
      <c r="DS57" s="116"/>
      <c r="DT57" s="116"/>
    </row>
    <row r="58" spans="2:127">
      <c r="CL58" s="115" t="s">
        <v>137</v>
      </c>
      <c r="CM58" s="115"/>
      <c r="CN58" s="115"/>
      <c r="CO58" s="115"/>
      <c r="CP58" s="115"/>
      <c r="DA58" s="115" t="s">
        <v>137</v>
      </c>
      <c r="DB58" s="115"/>
      <c r="DC58" s="115"/>
      <c r="DD58" s="115"/>
      <c r="DE58" s="115"/>
      <c r="DM58" s="115" t="s">
        <v>137</v>
      </c>
      <c r="DN58" s="115"/>
      <c r="DO58" s="115"/>
      <c r="DP58" s="115"/>
      <c r="DQ58" s="115"/>
    </row>
    <row r="59" spans="2:127">
      <c r="BU59" s="76" t="s">
        <v>138</v>
      </c>
      <c r="BV59" s="76"/>
      <c r="BW59" s="76"/>
      <c r="BX59" s="76"/>
      <c r="BY59" s="76"/>
      <c r="BZ59" s="76"/>
      <c r="CA59" s="76"/>
      <c r="CC59" s="76" t="s">
        <v>139</v>
      </c>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row>
    <row r="61" spans="2:127">
      <c r="B61" s="506" t="s">
        <v>140</v>
      </c>
      <c r="AE61" s="59" t="s">
        <v>141</v>
      </c>
      <c r="AF61" s="59"/>
      <c r="AG61" s="59"/>
      <c r="AH61" s="59"/>
      <c r="AI61" s="59"/>
      <c r="AJ61" s="59"/>
      <c r="AK61" s="59"/>
      <c r="AL61" s="59"/>
      <c r="AM61" s="59"/>
      <c r="AP61" s="117" t="s">
        <v>142</v>
      </c>
      <c r="AQ61" s="117"/>
      <c r="AR61" s="118"/>
      <c r="AS61" s="118"/>
      <c r="AT61" s="118"/>
      <c r="AU61" s="118"/>
      <c r="AW61" s="117" t="s">
        <v>143</v>
      </c>
      <c r="AX61" s="117"/>
      <c r="AY61" s="117"/>
      <c r="AZ61" s="117"/>
      <c r="BD61" s="119" t="s">
        <v>144</v>
      </c>
      <c r="BE61" s="119"/>
      <c r="BF61" s="119"/>
      <c r="BG61" s="119"/>
      <c r="BH61" s="119"/>
      <c r="BI61" s="119"/>
      <c r="BJ61" s="119"/>
      <c r="BK61" s="119"/>
      <c r="BL61" s="119" t="s">
        <v>145</v>
      </c>
      <c r="BM61" s="119"/>
      <c r="BN61" s="119"/>
      <c r="BO61" s="119"/>
      <c r="BP61" s="119"/>
      <c r="BQ61" s="119"/>
      <c r="BR61" s="119"/>
      <c r="BS61" s="119"/>
      <c r="BT61" s="120" t="s">
        <v>146</v>
      </c>
      <c r="BU61" s="120"/>
      <c r="BV61" s="120"/>
      <c r="BW61" s="120"/>
      <c r="BX61" s="120"/>
      <c r="BY61" s="120"/>
      <c r="BZ61" s="120"/>
      <c r="CA61" s="120"/>
      <c r="CB61" s="120"/>
      <c r="CE61" s="121" t="s">
        <v>10</v>
      </c>
      <c r="CF61" s="122"/>
      <c r="CG61" s="72" t="s">
        <v>147</v>
      </c>
      <c r="CH61" s="72"/>
      <c r="CI61" s="72"/>
      <c r="CJ61" s="72"/>
      <c r="CK61" s="72"/>
      <c r="CL61" s="72"/>
      <c r="CM61" s="72"/>
      <c r="CN61" s="121" t="s">
        <v>11</v>
      </c>
      <c r="CO61" s="122"/>
      <c r="CP61" s="72" t="s">
        <v>148</v>
      </c>
      <c r="CQ61" s="72"/>
      <c r="CR61" s="72"/>
      <c r="CS61" s="72"/>
      <c r="CT61" s="72"/>
      <c r="CU61" s="89"/>
      <c r="CV61" s="89"/>
      <c r="CW61" s="72"/>
      <c r="CX61" s="72"/>
      <c r="CY61" s="62" t="s">
        <v>28</v>
      </c>
      <c r="CZ61" s="63"/>
      <c r="DA61" s="73" t="s">
        <v>149</v>
      </c>
      <c r="DB61" s="73"/>
      <c r="DC61" s="73"/>
      <c r="DD61" s="73"/>
      <c r="DE61" s="73"/>
      <c r="DF61" s="73"/>
      <c r="DJ61" s="123" t="s">
        <v>150</v>
      </c>
      <c r="DK61" s="123"/>
      <c r="DL61" s="123"/>
      <c r="DM61" s="123"/>
      <c r="DN61" s="123"/>
      <c r="DO61" s="123"/>
      <c r="DS61" s="124" t="s">
        <v>70</v>
      </c>
      <c r="DT61" s="124"/>
      <c r="DU61" s="124"/>
      <c r="DV61" s="124"/>
      <c r="DW61" s="124"/>
    </row>
    <row r="62" spans="2:127">
      <c r="B62" s="506"/>
      <c r="AE62" s="59" t="s">
        <v>151</v>
      </c>
      <c r="AF62" s="59"/>
      <c r="AG62" s="59"/>
      <c r="AH62" s="59"/>
      <c r="AI62" s="59"/>
      <c r="AJ62" s="59"/>
      <c r="AK62" s="59"/>
      <c r="AL62" s="59"/>
      <c r="AM62" s="59"/>
      <c r="AR62" s="117" t="s">
        <v>152</v>
      </c>
      <c r="AS62" s="117"/>
      <c r="AT62" s="117"/>
      <c r="AU62" s="117"/>
      <c r="AV62" s="125"/>
      <c r="AW62" s="125"/>
      <c r="AX62" s="125"/>
      <c r="AY62" s="117" t="s">
        <v>153</v>
      </c>
      <c r="AZ62" s="117"/>
      <c r="BA62" s="117"/>
      <c r="BB62" s="117"/>
      <c r="BC62" s="117"/>
      <c r="BD62" s="117"/>
      <c r="BE62" s="117" t="s">
        <v>154</v>
      </c>
      <c r="BF62" s="117"/>
      <c r="BG62" s="117"/>
      <c r="BH62" s="117"/>
      <c r="BI62" s="117"/>
      <c r="BN62" s="119" t="s">
        <v>155</v>
      </c>
      <c r="BO62" s="119"/>
      <c r="BP62" s="119"/>
      <c r="BQ62" s="119"/>
      <c r="BR62" s="119"/>
      <c r="BS62" s="119"/>
      <c r="BT62" s="119" t="s">
        <v>156</v>
      </c>
      <c r="BU62" s="119"/>
      <c r="BV62" s="119"/>
      <c r="BW62" s="119"/>
      <c r="BX62" s="119"/>
      <c r="BY62" s="119"/>
      <c r="BZ62" s="119"/>
      <c r="CA62" s="121" t="s">
        <v>157</v>
      </c>
      <c r="CB62" s="121"/>
      <c r="CC62" s="126"/>
      <c r="CD62" s="126"/>
      <c r="CE62" s="126"/>
      <c r="CF62" s="121"/>
      <c r="CS62" s="121" t="s">
        <v>158</v>
      </c>
      <c r="CT62" s="121"/>
      <c r="CU62" s="121"/>
      <c r="CV62" s="121"/>
      <c r="CW62" s="121"/>
      <c r="CX62" s="121"/>
    </row>
    <row r="66" spans="2:122">
      <c r="B66" s="506" t="s">
        <v>159</v>
      </c>
      <c r="AF66" s="82" t="s">
        <v>160</v>
      </c>
      <c r="AG66" s="127"/>
      <c r="AH66" s="127"/>
      <c r="AI66" s="127"/>
      <c r="AJ66" s="127"/>
      <c r="AK66" s="127"/>
      <c r="AL66" s="127"/>
      <c r="AM66" s="127"/>
      <c r="AN66" s="127"/>
      <c r="AO66" s="127"/>
      <c r="AQ66" s="128" t="s">
        <v>161</v>
      </c>
      <c r="AR66" s="128"/>
      <c r="AS66" s="128"/>
      <c r="AT66" s="128"/>
      <c r="AU66" s="128"/>
      <c r="AV66" s="128"/>
      <c r="AW66" s="128"/>
      <c r="AX66" s="128"/>
      <c r="AY66" s="128"/>
      <c r="AZ66" s="128"/>
      <c r="BA66" s="128"/>
      <c r="BB66" s="128"/>
      <c r="BC66" s="128"/>
      <c r="BD66" s="128"/>
      <c r="BE66" s="128"/>
      <c r="BF66" s="128"/>
      <c r="BI66" s="128" t="s">
        <v>162</v>
      </c>
      <c r="BJ66" s="129"/>
      <c r="BK66" s="129"/>
      <c r="BL66" s="129"/>
      <c r="BM66" s="129"/>
      <c r="BN66" s="129"/>
      <c r="BO66" s="129"/>
      <c r="BP66" s="129"/>
      <c r="BQ66" s="129"/>
      <c r="BR66" s="129"/>
      <c r="BS66" s="129"/>
      <c r="BT66" s="129"/>
      <c r="BU66" s="129"/>
      <c r="BV66" s="129"/>
      <c r="BW66" s="129"/>
      <c r="BX66" s="129"/>
      <c r="BY66" s="129"/>
      <c r="BZ66" s="129"/>
      <c r="CA66" s="129"/>
    </row>
    <row r="67" spans="2:122">
      <c r="B67" s="506"/>
      <c r="AF67" s="82" t="s">
        <v>163</v>
      </c>
      <c r="AG67" s="127"/>
      <c r="AH67" s="127"/>
      <c r="AI67" s="127"/>
      <c r="AJ67" s="127"/>
      <c r="AK67" s="127"/>
      <c r="AL67" s="127"/>
      <c r="AM67" s="127"/>
      <c r="AN67" s="127"/>
      <c r="AO67" s="127"/>
      <c r="AZ67" s="128" t="s">
        <v>164</v>
      </c>
      <c r="BA67" s="129"/>
      <c r="BB67" s="129"/>
      <c r="BC67" s="129"/>
      <c r="BD67" s="129"/>
      <c r="BE67" s="129"/>
      <c r="BF67" s="129"/>
      <c r="BG67" s="129"/>
      <c r="BH67" s="129"/>
      <c r="BI67" s="129"/>
      <c r="BJ67" s="129"/>
      <c r="BK67" s="129"/>
    </row>
    <row r="68" spans="2:122">
      <c r="AQ68" s="82" t="s">
        <v>165</v>
      </c>
      <c r="AR68" s="82"/>
      <c r="AS68" s="82"/>
      <c r="AT68" s="82"/>
      <c r="AU68" s="82"/>
      <c r="AV68" s="82"/>
      <c r="AW68" s="82"/>
      <c r="AX68" s="82"/>
      <c r="AY68" s="82"/>
      <c r="AZ68" s="82"/>
      <c r="BA68" s="82"/>
      <c r="BB68" s="82"/>
      <c r="BC68" s="82"/>
      <c r="BD68" s="82"/>
      <c r="BE68" s="82"/>
      <c r="BF68" s="82"/>
      <c r="BG68" s="82"/>
      <c r="BH68" s="82"/>
      <c r="BI68" s="82"/>
      <c r="BJ68" s="82"/>
      <c r="BK68" s="82"/>
      <c r="BM68" s="128" t="s">
        <v>166</v>
      </c>
      <c r="BN68" s="129"/>
      <c r="BO68" s="129"/>
      <c r="BP68" s="129"/>
      <c r="BQ68" s="129"/>
      <c r="CH68" s="128" t="s">
        <v>167</v>
      </c>
      <c r="CI68" s="129"/>
      <c r="CJ68" s="129"/>
      <c r="CK68" s="129"/>
      <c r="CL68" s="129"/>
      <c r="CM68" s="129"/>
      <c r="CN68" s="129"/>
      <c r="CO68" s="129"/>
      <c r="CP68" s="129"/>
      <c r="CQ68" s="129"/>
      <c r="CR68" s="129"/>
      <c r="CS68" s="129"/>
      <c r="CT68" s="129"/>
      <c r="CU68" s="129"/>
      <c r="CV68" s="129"/>
      <c r="CW68" s="129"/>
      <c r="CX68" s="129"/>
      <c r="CY68" s="129"/>
      <c r="CZ68" s="129"/>
      <c r="DA68" s="129"/>
      <c r="DB68" s="129"/>
      <c r="DC68" s="129"/>
      <c r="DD68" s="129"/>
      <c r="DE68" s="129"/>
      <c r="DF68" s="129"/>
    </row>
    <row r="71" spans="2:122">
      <c r="B71" s="506" t="s">
        <v>168</v>
      </c>
      <c r="AE71" s="59" t="s">
        <v>169</v>
      </c>
      <c r="AF71" s="59"/>
      <c r="AG71" s="59"/>
      <c r="AH71" s="59"/>
      <c r="AI71" s="59"/>
      <c r="AJ71" s="59"/>
      <c r="AK71" s="59"/>
      <c r="AL71" s="59"/>
      <c r="AN71" s="507" t="s">
        <v>170</v>
      </c>
      <c r="AO71" s="507"/>
      <c r="AP71" s="507"/>
      <c r="AQ71" s="507"/>
      <c r="AR71" s="507"/>
      <c r="AS71" s="507"/>
      <c r="AT71" s="507"/>
      <c r="AU71" s="507"/>
      <c r="AV71" s="507"/>
      <c r="AW71" s="507"/>
      <c r="AX71" s="507"/>
      <c r="AY71" s="507"/>
      <c r="AZ71" s="507"/>
      <c r="BA71" s="507"/>
      <c r="BB71" s="507"/>
      <c r="BC71" s="507"/>
      <c r="BD71" s="507"/>
      <c r="BE71" s="507"/>
      <c r="BF71" s="507"/>
      <c r="BG71" s="507"/>
      <c r="BH71" s="507"/>
      <c r="BI71" s="507"/>
      <c r="BJ71" s="507"/>
      <c r="BK71" s="507"/>
      <c r="CA71" s="43" t="s">
        <v>171</v>
      </c>
    </row>
    <row r="72" spans="2:122">
      <c r="B72" s="506"/>
      <c r="AU72" s="130"/>
      <c r="AV72" s="508" t="s">
        <v>172</v>
      </c>
      <c r="AW72" s="508"/>
      <c r="AX72" s="508"/>
      <c r="AY72" s="508"/>
      <c r="AZ72" s="508"/>
      <c r="BA72" s="508"/>
      <c r="BB72" s="508"/>
      <c r="BC72" s="508"/>
      <c r="BD72" s="509" t="s">
        <v>173</v>
      </c>
      <c r="BE72" s="509"/>
      <c r="BF72" s="509"/>
      <c r="BG72" s="509"/>
      <c r="BH72" s="509"/>
      <c r="BI72" s="509"/>
      <c r="BJ72" s="509"/>
      <c r="BK72" s="509"/>
      <c r="BL72" s="509"/>
      <c r="BM72" s="509"/>
      <c r="BN72" s="509"/>
      <c r="BO72" s="509"/>
      <c r="BP72" s="509"/>
      <c r="BQ72" s="509"/>
      <c r="BR72" s="509"/>
      <c r="BS72" s="509"/>
      <c r="BT72" s="509"/>
      <c r="BU72" s="509"/>
      <c r="BV72" s="509"/>
      <c r="CX72" s="128" t="s">
        <v>174</v>
      </c>
      <c r="CY72" s="129"/>
      <c r="CZ72" s="129"/>
      <c r="DG72" s="128" t="s">
        <v>175</v>
      </c>
      <c r="DH72" s="129"/>
      <c r="DI72" s="129"/>
      <c r="DP72" s="128" t="s">
        <v>176</v>
      </c>
      <c r="DQ72" s="129"/>
      <c r="DR72" s="129"/>
    </row>
    <row r="73" spans="2:122">
      <c r="BD73" s="505" t="s">
        <v>177</v>
      </c>
      <c r="BE73" s="505"/>
      <c r="BF73" s="505"/>
      <c r="BG73" s="505"/>
      <c r="BH73" s="505"/>
      <c r="BI73" s="505"/>
      <c r="BJ73" s="505"/>
      <c r="BK73" s="505"/>
      <c r="BL73" s="505"/>
      <c r="BM73" s="505"/>
      <c r="BN73" s="505"/>
      <c r="BO73" s="505"/>
      <c r="BP73" s="505"/>
      <c r="BQ73" s="505"/>
      <c r="BR73" s="505"/>
      <c r="BS73" s="505"/>
      <c r="BT73" s="505"/>
      <c r="BU73" s="505"/>
      <c r="BV73" s="505"/>
      <c r="BW73" s="505"/>
      <c r="BX73" s="505"/>
      <c r="BY73" s="505"/>
      <c r="DA73" s="128" t="s">
        <v>178</v>
      </c>
      <c r="DB73" s="129"/>
      <c r="DC73" s="129"/>
      <c r="DD73" s="129"/>
      <c r="DE73" s="129"/>
      <c r="DF73" s="129"/>
      <c r="DP73" s="128" t="s">
        <v>179</v>
      </c>
      <c r="DQ73" s="129"/>
      <c r="DR73" s="129"/>
    </row>
    <row r="74" spans="2:122">
      <c r="BW74" s="505" t="s">
        <v>180</v>
      </c>
      <c r="BX74" s="505"/>
      <c r="BY74" s="505"/>
      <c r="BZ74" s="505"/>
      <c r="CA74" s="505"/>
      <c r="CB74" s="505"/>
      <c r="CC74" s="505"/>
      <c r="CD74" s="505"/>
      <c r="CE74" s="505"/>
      <c r="CF74" s="505"/>
      <c r="CG74" s="505"/>
      <c r="CH74" s="505"/>
      <c r="CI74" s="505"/>
      <c r="CJ74" s="505"/>
      <c r="CK74" s="505"/>
      <c r="CL74" s="505"/>
      <c r="CM74" s="505"/>
      <c r="CN74" s="505"/>
      <c r="CO74" s="505"/>
      <c r="CP74" s="505"/>
      <c r="CQ74" s="505"/>
      <c r="CR74" s="505"/>
      <c r="CS74" s="505"/>
      <c r="CT74" s="505"/>
    </row>
  </sheetData>
  <mergeCells count="60">
    <mergeCell ref="C1:AT1"/>
    <mergeCell ref="AU1:CV1"/>
    <mergeCell ref="CW1:DV1"/>
    <mergeCell ref="C2:G2"/>
    <mergeCell ref="H2:K2"/>
    <mergeCell ref="L2:O2"/>
    <mergeCell ref="P2:T2"/>
    <mergeCell ref="U2:X2"/>
    <mergeCell ref="Y2:AC2"/>
    <mergeCell ref="AD2:AG2"/>
    <mergeCell ref="AH2:AK2"/>
    <mergeCell ref="AL2:AP2"/>
    <mergeCell ref="AQ2:AT2"/>
    <mergeCell ref="AU2:AX2"/>
    <mergeCell ref="AY2:BB2"/>
    <mergeCell ref="BC2:BG2"/>
    <mergeCell ref="CJ2:CM2"/>
    <mergeCell ref="CN2:CR2"/>
    <mergeCell ref="CS2:CV2"/>
    <mergeCell ref="CW2:DA2"/>
    <mergeCell ref="BH2:BK2"/>
    <mergeCell ref="BL2:BP2"/>
    <mergeCell ref="BQ2:BT2"/>
    <mergeCell ref="BU2:BY2"/>
    <mergeCell ref="BZ2:CE2"/>
    <mergeCell ref="ES2:EV2"/>
    <mergeCell ref="EW2:FA2"/>
    <mergeCell ref="B29:B30"/>
    <mergeCell ref="B34:B35"/>
    <mergeCell ref="B39:B40"/>
    <mergeCell ref="DW2:EA2"/>
    <mergeCell ref="EB2:EE2"/>
    <mergeCell ref="EF2:EI2"/>
    <mergeCell ref="EJ2:EN2"/>
    <mergeCell ref="EO2:ER2"/>
    <mergeCell ref="DB2:DE2"/>
    <mergeCell ref="DF2:DI2"/>
    <mergeCell ref="DJ2:DM2"/>
    <mergeCell ref="DN2:DR2"/>
    <mergeCell ref="DS2:DV2"/>
    <mergeCell ref="CF2:CI2"/>
    <mergeCell ref="B44:B45"/>
    <mergeCell ref="B49:B50"/>
    <mergeCell ref="BC49:BE49"/>
    <mergeCell ref="BF49:BI49"/>
    <mergeCell ref="BR49:BT49"/>
    <mergeCell ref="BU49:BY49"/>
    <mergeCell ref="BZ49:CB49"/>
    <mergeCell ref="AP51:AU51"/>
    <mergeCell ref="B54:B55"/>
    <mergeCell ref="AD54:AG54"/>
    <mergeCell ref="AH54:AL54"/>
    <mergeCell ref="BD73:BY73"/>
    <mergeCell ref="BW74:CT74"/>
    <mergeCell ref="B61:B62"/>
    <mergeCell ref="B66:B67"/>
    <mergeCell ref="B71:B72"/>
    <mergeCell ref="AN71:BK71"/>
    <mergeCell ref="AV72:BC72"/>
    <mergeCell ref="BD72:BV72"/>
  </mergeCells>
  <conditionalFormatting sqref="B1:C1 L2">
    <cfRule type="expression" dxfId="25" priority="18">
      <formula>(#REF!&lt;=#REF!)</formula>
    </cfRule>
  </conditionalFormatting>
  <conditionalFormatting sqref="C2">
    <cfRule type="expression" dxfId="24" priority="2">
      <formula>(#REF!&lt;=#REF!)</formula>
    </cfRule>
  </conditionalFormatting>
  <conditionalFormatting sqref="H2">
    <cfRule type="expression" dxfId="23" priority="3">
      <formula>(#REF!&lt;=#REF!)</formula>
    </cfRule>
  </conditionalFormatting>
  <conditionalFormatting sqref="P2 U2 Y2 AD2 AH2 AL2 AQ2 AU2 AY2 BC2 BH2 BL2 C3:FF3 C4:FA4">
    <cfRule type="expression" dxfId="22" priority="26">
      <formula>(#REF!&lt;=#REF!)</formula>
    </cfRule>
  </conditionalFormatting>
  <conditionalFormatting sqref="BQ2">
    <cfRule type="expression" dxfId="21" priority="25">
      <formula>(#REF!&lt;=#REF!)</formula>
    </cfRule>
  </conditionalFormatting>
  <conditionalFormatting sqref="BU2:BV2">
    <cfRule type="expression" dxfId="20" priority="24">
      <formula>(#REF!&lt;=#REF!)</formula>
    </cfRule>
  </conditionalFormatting>
  <conditionalFormatting sqref="BZ2">
    <cfRule type="expression" dxfId="19" priority="23">
      <formula>(#REF!&lt;=#REF!)</formula>
    </cfRule>
  </conditionalFormatting>
  <conditionalFormatting sqref="CF2">
    <cfRule type="expression" dxfId="18" priority="22">
      <formula>(#REF!&lt;=#REF!)</formula>
    </cfRule>
  </conditionalFormatting>
  <conditionalFormatting sqref="CJ2">
    <cfRule type="expression" dxfId="17" priority="21">
      <formula>(#REF!&lt;=#REF!)</formula>
    </cfRule>
  </conditionalFormatting>
  <conditionalFormatting sqref="CM5">
    <cfRule type="expression" dxfId="16" priority="17">
      <formula>(#REF!&lt;=#REF!)</formula>
    </cfRule>
  </conditionalFormatting>
  <conditionalFormatting sqref="CN2">
    <cfRule type="expression" dxfId="15" priority="20">
      <formula>(#REF!&lt;=#REF!)</formula>
    </cfRule>
  </conditionalFormatting>
  <conditionalFormatting sqref="CS2">
    <cfRule type="expression" dxfId="14" priority="19">
      <formula>(#REF!&lt;=#REF!)</formula>
    </cfRule>
  </conditionalFormatting>
  <conditionalFormatting sqref="CW2">
    <cfRule type="expression" dxfId="13" priority="16">
      <formula>(#REF!&lt;=#REF!)</formula>
    </cfRule>
  </conditionalFormatting>
  <conditionalFormatting sqref="DB2">
    <cfRule type="expression" dxfId="12" priority="15">
      <formula>(#REF!&lt;=#REF!)</formula>
    </cfRule>
  </conditionalFormatting>
  <conditionalFormatting sqref="DF2">
    <cfRule type="expression" dxfId="11" priority="13">
      <formula>(#REF!&lt;=#REF!)</formula>
    </cfRule>
  </conditionalFormatting>
  <conditionalFormatting sqref="DJ2">
    <cfRule type="expression" dxfId="10" priority="14">
      <formula>(#REF!&lt;=#REF!)</formula>
    </cfRule>
  </conditionalFormatting>
  <conditionalFormatting sqref="DN2">
    <cfRule type="expression" dxfId="9" priority="12">
      <formula>(#REF!&lt;=#REF!)</formula>
    </cfRule>
  </conditionalFormatting>
  <conditionalFormatting sqref="DS2">
    <cfRule type="expression" dxfId="8" priority="11">
      <formula>(#REF!&lt;=#REF!)</formula>
    </cfRule>
  </conditionalFormatting>
  <conditionalFormatting sqref="DW2">
    <cfRule type="expression" dxfId="7" priority="9">
      <formula>(#REF!&lt;=#REF!)</formula>
    </cfRule>
  </conditionalFormatting>
  <conditionalFormatting sqref="EB2">
    <cfRule type="expression" dxfId="6" priority="10">
      <formula>(#REF!&lt;=#REF!)</formula>
    </cfRule>
  </conditionalFormatting>
  <conditionalFormatting sqref="EF2">
    <cfRule type="expression" dxfId="5" priority="8">
      <formula>(#REF!&lt;=#REF!)</formula>
    </cfRule>
  </conditionalFormatting>
  <conditionalFormatting sqref="EJ2">
    <cfRule type="expression" dxfId="4" priority="7">
      <formula>(#REF!&lt;=#REF!)</formula>
    </cfRule>
  </conditionalFormatting>
  <conditionalFormatting sqref="EO2">
    <cfRule type="expression" dxfId="3" priority="6">
      <formula>(#REF!&lt;=#REF!)</formula>
    </cfRule>
  </conditionalFormatting>
  <conditionalFormatting sqref="ES2">
    <cfRule type="expression" dxfId="2" priority="5">
      <formula>(#REF!&lt;=#REF!)</formula>
    </cfRule>
  </conditionalFormatting>
  <conditionalFormatting sqref="EW2">
    <cfRule type="expression" dxfId="1" priority="4">
      <formula>(#REF!&lt;=#REF!)</formula>
    </cfRule>
  </conditionalFormatting>
  <pageMargins left="0.7" right="0.7" top="0.75" bottom="0.75" header="0.511811023622047" footer="0.511811023622047"/>
  <pageSetup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election activeCell="A3" sqref="A3"/>
    </sheetView>
  </sheetViews>
  <sheetFormatPr defaultColWidth="8.6328125" defaultRowHeight="14.5"/>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1:AC189"/>
  <sheetViews>
    <sheetView topLeftCell="A45" zoomScale="90" zoomScaleNormal="90" workbookViewId="0">
      <selection activeCell="E66" sqref="E66"/>
    </sheetView>
  </sheetViews>
  <sheetFormatPr defaultColWidth="8.6328125" defaultRowHeight="14.5"/>
  <cols>
    <col min="2" max="2" width="19.08984375" customWidth="1"/>
    <col min="3" max="3" width="17.36328125" customWidth="1"/>
    <col min="4" max="4" width="12.81640625" customWidth="1"/>
    <col min="5" max="6" width="15.54296875" customWidth="1"/>
    <col min="7" max="7" width="11.54296875" customWidth="1"/>
    <col min="8" max="8" width="10.54296875" customWidth="1"/>
    <col min="9" max="9" width="10.81640625" customWidth="1"/>
    <col min="10" max="10" width="11.54296875" customWidth="1"/>
    <col min="11" max="11" width="13.26953125" customWidth="1"/>
    <col min="12" max="12" width="14.7265625" customWidth="1"/>
    <col min="13" max="13" width="35.26953125" customWidth="1"/>
    <col min="14" max="14" width="9.453125" customWidth="1"/>
    <col min="15" max="15" width="14.54296875" customWidth="1"/>
    <col min="16" max="16" width="6.453125" customWidth="1"/>
    <col min="17" max="17" width="7.54296875" customWidth="1"/>
    <col min="20" max="20" width="14.453125" customWidth="1"/>
    <col min="22" max="22" width="12.54296875" customWidth="1"/>
    <col min="23" max="23" width="15.7265625" customWidth="1"/>
    <col min="28" max="28" width="3.7265625" customWidth="1"/>
  </cols>
  <sheetData>
    <row r="1" spans="2:13">
      <c r="H1" s="131"/>
    </row>
    <row r="2" spans="2:13">
      <c r="H2" s="131"/>
    </row>
    <row r="3" spans="2:13">
      <c r="H3" s="131"/>
    </row>
    <row r="4" spans="2:13">
      <c r="B4" s="132" t="s">
        <v>181</v>
      </c>
      <c r="C4" s="133" t="s">
        <v>182</v>
      </c>
      <c r="D4" s="134"/>
      <c r="E4" s="134"/>
      <c r="F4" s="135"/>
    </row>
    <row r="5" spans="2:13">
      <c r="B5" s="136" t="s">
        <v>183</v>
      </c>
      <c r="C5" s="137" t="s">
        <v>184</v>
      </c>
      <c r="D5" s="138" t="s">
        <v>185</v>
      </c>
      <c r="E5" s="138" t="s">
        <v>186</v>
      </c>
      <c r="F5" s="139" t="s">
        <v>187</v>
      </c>
      <c r="I5" s="140" t="s">
        <v>188</v>
      </c>
      <c r="J5" s="140" t="s">
        <v>189</v>
      </c>
      <c r="K5" s="140" t="s">
        <v>190</v>
      </c>
      <c r="L5" s="140" t="s">
        <v>191</v>
      </c>
      <c r="M5" s="140" t="s">
        <v>192</v>
      </c>
    </row>
    <row r="6" spans="2:13">
      <c r="B6" s="141" t="s">
        <v>140</v>
      </c>
      <c r="C6" s="142">
        <v>911250</v>
      </c>
      <c r="D6" s="143"/>
      <c r="E6" s="144">
        <v>269280</v>
      </c>
      <c r="F6" s="145">
        <v>1180530</v>
      </c>
      <c r="I6" s="146" t="e">
        <f>GETPIVOTDATA("Total Fees",$B$4,"Team","Analytics")/GETPIVOTDATA("Total Fees",$B$4)</f>
        <v>#REF!</v>
      </c>
      <c r="J6" s="146">
        <v>5.7000000000000002E-2</v>
      </c>
      <c r="K6" s="147">
        <f t="shared" ref="K6:K20" si="0">J6*$F$22</f>
        <v>2451000</v>
      </c>
      <c r="L6" s="147" t="e">
        <f>GETPIVOTDATA("Total Fees",$B$4,"Team","Analytics")-K6</f>
        <v>#REF!</v>
      </c>
      <c r="M6" s="148"/>
    </row>
    <row r="7" spans="2:13">
      <c r="B7" s="149" t="s">
        <v>102</v>
      </c>
      <c r="C7" s="150">
        <v>515340</v>
      </c>
      <c r="D7" s="151"/>
      <c r="E7" s="152">
        <v>1126080</v>
      </c>
      <c r="F7" s="153">
        <v>1641420</v>
      </c>
      <c r="I7" s="146" t="e">
        <f>GETPIVOTDATA("Total Fees",$B$4,"Team","Data")/GETPIVOTDATA("Total Fees",$B$4)</f>
        <v>#REF!</v>
      </c>
      <c r="J7" s="146">
        <v>0.03</v>
      </c>
      <c r="K7" s="147">
        <f t="shared" si="0"/>
        <v>1290000</v>
      </c>
      <c r="L7" s="147" t="e">
        <f>GETPIVOTDATA("Total Fees",$B$4,"Team","Data")-K7</f>
        <v>#REF!</v>
      </c>
      <c r="M7" s="148"/>
    </row>
    <row r="8" spans="2:13">
      <c r="B8" s="149" t="s">
        <v>193</v>
      </c>
      <c r="C8" s="150">
        <v>371340</v>
      </c>
      <c r="D8" s="151"/>
      <c r="E8" s="152">
        <v>685440</v>
      </c>
      <c r="F8" s="153">
        <v>1056780</v>
      </c>
      <c r="I8" s="146" t="e">
        <f>GETPIVOTDATA("Total Fees",$B$4,"Team","Deployment")/GETPIVOTDATA("Total Fees",$B$4)</f>
        <v>#REF!</v>
      </c>
      <c r="J8" s="146">
        <v>0.03</v>
      </c>
      <c r="K8" s="147">
        <f t="shared" si="0"/>
        <v>1290000</v>
      </c>
      <c r="L8" s="147" t="e">
        <f>GETPIVOTDATA("Total Fees",$B$4,"Team","Deployment")-K8</f>
        <v>#REF!</v>
      </c>
      <c r="M8" s="148"/>
    </row>
    <row r="9" spans="2:13">
      <c r="B9" s="149" t="s">
        <v>117</v>
      </c>
      <c r="C9" s="150">
        <v>936896</v>
      </c>
      <c r="D9" s="154">
        <v>512358</v>
      </c>
      <c r="E9" s="152">
        <v>3060974</v>
      </c>
      <c r="F9" s="153">
        <v>4510228</v>
      </c>
      <c r="I9" s="146" t="e">
        <f>GETPIVOTDATA("Total Fees",$B$4,"Team","OCM")/GETPIVOTDATA("Total Fees",$B$4)</f>
        <v>#REF!</v>
      </c>
      <c r="J9" s="146">
        <v>0.1</v>
      </c>
      <c r="K9" s="147">
        <f t="shared" si="0"/>
        <v>4300000</v>
      </c>
      <c r="L9" s="147" t="e">
        <f>GETPIVOTDATA("Total Fees",$B$4,"Team","OCM")-K9</f>
        <v>#REF!</v>
      </c>
      <c r="M9" s="148"/>
    </row>
    <row r="10" spans="2:13">
      <c r="B10" s="149" t="s">
        <v>194</v>
      </c>
      <c r="C10" s="150">
        <v>1164420</v>
      </c>
      <c r="D10" s="151"/>
      <c r="E10" s="152">
        <v>1546830</v>
      </c>
      <c r="F10" s="153">
        <v>2711250</v>
      </c>
      <c r="I10" s="146" t="e">
        <f>GETPIVOTDATA("Total Fees",$B$4,"Team","OTC")/GETPIVOTDATA("Total Fees",$B$4)</f>
        <v>#REF!</v>
      </c>
      <c r="J10" s="146">
        <v>0.06</v>
      </c>
      <c r="K10" s="147">
        <f t="shared" si="0"/>
        <v>2580000</v>
      </c>
      <c r="L10" s="147" t="e">
        <f>GETPIVOTDATA("Total Fees",$B$4,"Team","OTC")-K10</f>
        <v>#REF!</v>
      </c>
      <c r="M10" s="148"/>
    </row>
    <row r="11" spans="2:13">
      <c r="B11" s="149" t="s">
        <v>53</v>
      </c>
      <c r="C11" s="150">
        <v>737936</v>
      </c>
      <c r="D11" s="151"/>
      <c r="E11" s="152">
        <v>2584144</v>
      </c>
      <c r="F11" s="153">
        <v>3322080</v>
      </c>
      <c r="I11" s="146" t="e">
        <f>GETPIVOTDATA("Total Fees",$B$4,"Team","PMO")/GETPIVOTDATA("Total Fees",$B$4)</f>
        <v>#REF!</v>
      </c>
      <c r="J11" s="146">
        <v>0.08</v>
      </c>
      <c r="K11" s="147">
        <f t="shared" si="0"/>
        <v>3440000</v>
      </c>
      <c r="L11" s="147" t="e">
        <f>GETPIVOTDATA("Total Fees",$B$4,"Team","PMO")-K11</f>
        <v>#REF!</v>
      </c>
      <c r="M11" s="148"/>
    </row>
    <row r="12" spans="2:13">
      <c r="B12" s="149" t="s">
        <v>195</v>
      </c>
      <c r="C12" s="150">
        <v>4541850</v>
      </c>
      <c r="D12" s="151"/>
      <c r="E12" s="152">
        <v>2202480</v>
      </c>
      <c r="F12" s="153">
        <v>6744330</v>
      </c>
      <c r="I12" s="146" t="e">
        <f>GETPIVOTDATA("Total Fees",$B$4,"Team","PTD")/GETPIVOTDATA("Total Fees",$B$4)</f>
        <v>#REF!</v>
      </c>
      <c r="J12" s="146">
        <v>0.12</v>
      </c>
      <c r="K12" s="147">
        <f t="shared" si="0"/>
        <v>5160000</v>
      </c>
      <c r="L12" s="147" t="e">
        <f>GETPIVOTDATA("Total Fees",$B$4,"Team","PTD")-K12</f>
        <v>#REF!</v>
      </c>
      <c r="M12" s="148" t="s">
        <v>196</v>
      </c>
    </row>
    <row r="13" spans="2:13">
      <c r="B13" s="149" t="s">
        <v>197</v>
      </c>
      <c r="C13" s="150">
        <v>1416960</v>
      </c>
      <c r="D13" s="151"/>
      <c r="E13" s="152">
        <v>1101600</v>
      </c>
      <c r="F13" s="153">
        <v>2518560</v>
      </c>
      <c r="I13" s="146" t="e">
        <f>GETPIVOTDATA("Total Fees",$B$4,"Team","PTP")/GETPIVOTDATA("Total Fees",$B$4)</f>
        <v>#REF!</v>
      </c>
      <c r="J13" s="146">
        <v>0.05</v>
      </c>
      <c r="K13" s="147">
        <f t="shared" si="0"/>
        <v>2150000</v>
      </c>
      <c r="L13" s="147" t="e">
        <f>GETPIVOTDATA("Total Fees",$B$4,"Team","PTP")-K13</f>
        <v>#REF!</v>
      </c>
      <c r="M13" s="148"/>
    </row>
    <row r="14" spans="2:13">
      <c r="B14" s="149" t="s">
        <v>198</v>
      </c>
      <c r="C14" s="150">
        <v>2692215</v>
      </c>
      <c r="D14" s="151"/>
      <c r="E14" s="152">
        <v>1839060</v>
      </c>
      <c r="F14" s="153">
        <v>4531275</v>
      </c>
      <c r="I14" s="146" t="e">
        <f>GETPIVOTDATA("Total Fees",$B$4,"Team","RTR")/GETPIVOTDATA("Total Fees",$B$4)</f>
        <v>#REF!</v>
      </c>
      <c r="J14" s="146">
        <v>0.1</v>
      </c>
      <c r="K14" s="147">
        <f t="shared" si="0"/>
        <v>4300000</v>
      </c>
      <c r="L14" s="147" t="e">
        <f>GETPIVOTDATA("Total Fees",$B$4,"Team","RTR")-K14</f>
        <v>#REF!</v>
      </c>
      <c r="M14" s="148"/>
    </row>
    <row r="15" spans="2:13">
      <c r="B15" s="149" t="s">
        <v>199</v>
      </c>
      <c r="C15" s="150">
        <v>626400</v>
      </c>
      <c r="D15" s="151"/>
      <c r="E15" s="152">
        <v>889200</v>
      </c>
      <c r="F15" s="153">
        <v>1515600</v>
      </c>
      <c r="I15" s="146" t="e">
        <f>GETPIVOTDATA("Total Fees",$B$4,"Team","S&amp;R")/GETPIVOTDATA("Total Fees",$B$4)</f>
        <v>#REF!</v>
      </c>
      <c r="J15" s="146">
        <v>0.03</v>
      </c>
      <c r="K15" s="147">
        <f t="shared" si="0"/>
        <v>1290000</v>
      </c>
      <c r="L15" s="147" t="e">
        <f>GETPIVOTDATA("Total Fees",$B$4,"Team","S&amp;R")-K15</f>
        <v>#REF!</v>
      </c>
      <c r="M15" s="148"/>
    </row>
    <row r="16" spans="2:13">
      <c r="B16" s="149" t="s">
        <v>159</v>
      </c>
      <c r="C16" s="150">
        <v>871750</v>
      </c>
      <c r="D16" s="151"/>
      <c r="E16" s="152">
        <v>2257035</v>
      </c>
      <c r="F16" s="153">
        <v>3128785</v>
      </c>
      <c r="I16" s="146" t="e">
        <f>GETPIVOTDATA("Total Fees",$B$4,"Team","Solution Architecture")/GETPIVOTDATA("Total Fees",$B$4)</f>
        <v>#REF!</v>
      </c>
      <c r="J16" s="146">
        <v>0.06</v>
      </c>
      <c r="K16" s="147">
        <f t="shared" si="0"/>
        <v>2580000</v>
      </c>
      <c r="L16" s="147" t="e">
        <f>GETPIVOTDATA("Total Fees",$B$4,"Team","Security")-K16</f>
        <v>#REF!</v>
      </c>
      <c r="M16" s="148"/>
    </row>
    <row r="17" spans="2:29">
      <c r="B17" s="149" t="s">
        <v>200</v>
      </c>
      <c r="C17" s="150">
        <v>277965</v>
      </c>
      <c r="D17" s="151"/>
      <c r="E17" s="152">
        <v>979488</v>
      </c>
      <c r="F17" s="153">
        <v>1257453</v>
      </c>
      <c r="I17" s="146" t="e">
        <f>GETPIVOTDATA("Total Fees",$B$4,"Team","Solution Architecture")/GETPIVOTDATA("Total Fees",$B$4)</f>
        <v>#REF!</v>
      </c>
      <c r="J17" s="146">
        <v>0.02</v>
      </c>
      <c r="K17" s="147">
        <f t="shared" si="0"/>
        <v>860000</v>
      </c>
      <c r="L17" s="147" t="e">
        <f>GETPIVOTDATA("Total Fees",$B$4,"Team","Solution Architecture")-K17</f>
        <v>#REF!</v>
      </c>
      <c r="M17" s="148"/>
    </row>
    <row r="18" spans="2:29">
      <c r="B18" s="149" t="s">
        <v>201</v>
      </c>
      <c r="C18" s="150">
        <v>2512200</v>
      </c>
      <c r="D18" s="151"/>
      <c r="E18" s="152">
        <v>1643700</v>
      </c>
      <c r="F18" s="153">
        <v>4155900</v>
      </c>
      <c r="I18" s="146" t="e">
        <f>GETPIVOTDATA("Total Fees",$B$4,"Team","TAX")/GETPIVOTDATA("Total Fees",$B$4)</f>
        <v>#REF!</v>
      </c>
      <c r="J18" s="146">
        <v>0.08</v>
      </c>
      <c r="K18" s="147">
        <f t="shared" si="0"/>
        <v>3440000</v>
      </c>
      <c r="L18" s="147" t="e">
        <f>GETPIVOTDATA("Total Fees",$B$4,"Team","TAX")-K18</f>
        <v>#REF!</v>
      </c>
      <c r="M18" s="148" t="s">
        <v>202</v>
      </c>
    </row>
    <row r="19" spans="2:29">
      <c r="B19" s="149" t="s">
        <v>203</v>
      </c>
      <c r="C19" s="150">
        <v>5913530</v>
      </c>
      <c r="D19" s="151"/>
      <c r="E19" s="152">
        <v>4122162</v>
      </c>
      <c r="F19" s="153">
        <v>10035692</v>
      </c>
      <c r="I19" s="146" t="e">
        <f>GETPIVOTDATA("Total Fees",$B$4,"Team","Technology ")/GETPIVOTDATA("Total Fees",$B$4)</f>
        <v>#REF!</v>
      </c>
      <c r="J19" s="146">
        <v>0.18</v>
      </c>
      <c r="K19" s="147">
        <f t="shared" si="0"/>
        <v>7740000</v>
      </c>
      <c r="L19" s="147" t="e">
        <f>GETPIVOTDATA("Total Fees",$B$4,"Team","Technology ")-K19</f>
        <v>#REF!</v>
      </c>
      <c r="M19" s="148"/>
    </row>
    <row r="20" spans="2:29">
      <c r="B20" s="149" t="s">
        <v>168</v>
      </c>
      <c r="C20" s="155">
        <v>36225</v>
      </c>
      <c r="D20" s="156"/>
      <c r="E20" s="157">
        <v>91742</v>
      </c>
      <c r="F20" s="158">
        <v>127967</v>
      </c>
      <c r="I20" s="159" t="e">
        <f>GETPIVOTDATA("Total Fees",$B$4,"Team","Validation")/GETPIVOTDATA("Total Fees",$B$4)</f>
        <v>#REF!</v>
      </c>
      <c r="J20" s="159">
        <v>3.0000000000000001E-3</v>
      </c>
      <c r="K20" s="147">
        <f t="shared" si="0"/>
        <v>129000</v>
      </c>
      <c r="L20" s="147" t="e">
        <f>GETPIVOTDATA("Total Fees",$B$4,"Team","Validation")-K20</f>
        <v>#REF!</v>
      </c>
      <c r="M20" s="148"/>
    </row>
    <row r="21" spans="2:29">
      <c r="B21" s="160" t="s">
        <v>187</v>
      </c>
      <c r="C21" s="161">
        <v>23526277</v>
      </c>
      <c r="D21" s="162">
        <v>512358</v>
      </c>
      <c r="E21" s="163">
        <v>24399215</v>
      </c>
      <c r="F21" s="164">
        <v>48437850</v>
      </c>
      <c r="I21" s="165" t="e">
        <f>SUM(I6:I20)</f>
        <v>#REF!</v>
      </c>
      <c r="J21" s="165">
        <f>SUM(J6:J20)</f>
        <v>1</v>
      </c>
      <c r="K21" s="166">
        <f>SUM(K6:K20)</f>
        <v>43000000</v>
      </c>
      <c r="L21" s="166" t="e">
        <f>SUM(L6:L20)</f>
        <v>#REF!</v>
      </c>
      <c r="M21" s="167"/>
    </row>
    <row r="22" spans="2:29">
      <c r="E22" s="168" t="s">
        <v>204</v>
      </c>
      <c r="F22" s="169">
        <v>43000000</v>
      </c>
    </row>
    <row r="25" spans="2:29">
      <c r="B25" s="132" t="s">
        <v>205</v>
      </c>
      <c r="C25" s="133" t="s">
        <v>206</v>
      </c>
      <c r="D25" s="134"/>
      <c r="E25" s="134"/>
      <c r="F25" s="134"/>
      <c r="G25" s="135"/>
      <c r="AB25" s="170"/>
      <c r="AC25" s="171"/>
    </row>
    <row r="26" spans="2:29">
      <c r="B26" s="136" t="s">
        <v>183</v>
      </c>
      <c r="C26" s="137" t="s">
        <v>184</v>
      </c>
      <c r="D26" s="138" t="s">
        <v>185</v>
      </c>
      <c r="E26" s="138" t="s">
        <v>186</v>
      </c>
      <c r="F26" s="138" t="s">
        <v>207</v>
      </c>
      <c r="G26" s="139" t="s">
        <v>187</v>
      </c>
      <c r="P26" t="s">
        <v>208</v>
      </c>
      <c r="Q26" t="s">
        <v>209</v>
      </c>
      <c r="AB26" s="170"/>
      <c r="AC26" s="171"/>
    </row>
    <row r="27" spans="2:29">
      <c r="B27" s="141" t="s">
        <v>140</v>
      </c>
      <c r="C27" s="142">
        <v>56250</v>
      </c>
      <c r="D27" s="143"/>
      <c r="E27" s="172">
        <v>122400</v>
      </c>
      <c r="F27" s="173"/>
      <c r="G27" s="145">
        <v>178650</v>
      </c>
      <c r="I27" s="171"/>
      <c r="N27" t="s">
        <v>210</v>
      </c>
      <c r="O27" s="174">
        <v>6240000</v>
      </c>
      <c r="Q27" s="175">
        <f>O27/$O$33</f>
        <v>0.14511627906976743</v>
      </c>
      <c r="AB27" s="170"/>
      <c r="AC27" s="171"/>
    </row>
    <row r="28" spans="2:29">
      <c r="B28" s="149" t="s">
        <v>102</v>
      </c>
      <c r="C28" s="150">
        <v>43740</v>
      </c>
      <c r="D28" s="151"/>
      <c r="E28" s="154">
        <v>146880</v>
      </c>
      <c r="F28" s="176"/>
      <c r="G28" s="153">
        <v>190620</v>
      </c>
      <c r="N28" t="s">
        <v>211</v>
      </c>
      <c r="O28" s="174">
        <v>2430000</v>
      </c>
      <c r="P28" s="175">
        <f>O28/$O$27</f>
        <v>0.38942307692307693</v>
      </c>
      <c r="Q28" s="175">
        <f>O28/$O$33</f>
        <v>5.6511627906976745E-2</v>
      </c>
      <c r="AB28" s="170"/>
      <c r="AC28" s="171"/>
    </row>
    <row r="29" spans="2:29">
      <c r="B29" s="149" t="s">
        <v>193</v>
      </c>
      <c r="C29" s="150">
        <v>0</v>
      </c>
      <c r="D29" s="151"/>
      <c r="E29" s="154">
        <v>0</v>
      </c>
      <c r="F29" s="176"/>
      <c r="G29" s="153">
        <v>0</v>
      </c>
      <c r="N29" t="s">
        <v>212</v>
      </c>
      <c r="O29" s="174">
        <v>3420000</v>
      </c>
      <c r="P29" s="175">
        <f>O29/$O$27</f>
        <v>0.54807692307692313</v>
      </c>
      <c r="Q29" s="175">
        <f>O29/$O$33</f>
        <v>7.9534883720930233E-2</v>
      </c>
      <c r="AB29" s="170"/>
      <c r="AC29" s="171"/>
    </row>
    <row r="30" spans="2:29">
      <c r="B30" s="149" t="s">
        <v>117</v>
      </c>
      <c r="C30" s="150">
        <v>0</v>
      </c>
      <c r="D30" s="154">
        <v>24114</v>
      </c>
      <c r="E30" s="154">
        <v>157264</v>
      </c>
      <c r="F30" s="176"/>
      <c r="G30" s="153">
        <v>181378</v>
      </c>
      <c r="N30" t="s">
        <v>35</v>
      </c>
      <c r="O30" s="174">
        <v>488340</v>
      </c>
      <c r="P30" s="175">
        <f>O30/$O$27</f>
        <v>7.8259615384615386E-2</v>
      </c>
      <c r="Q30" s="175">
        <f>O30/$O$33</f>
        <v>1.1356744186046512E-2</v>
      </c>
      <c r="AB30" s="170"/>
      <c r="AC30" s="171"/>
    </row>
    <row r="31" spans="2:29">
      <c r="B31" s="149" t="s">
        <v>194</v>
      </c>
      <c r="C31" s="150">
        <v>44550</v>
      </c>
      <c r="D31" s="151"/>
      <c r="E31" s="154">
        <v>134640</v>
      </c>
      <c r="F31" s="176"/>
      <c r="G31" s="153">
        <v>179190</v>
      </c>
      <c r="AB31" s="170"/>
      <c r="AC31" s="171"/>
    </row>
    <row r="32" spans="2:29">
      <c r="B32" s="149" t="s">
        <v>53</v>
      </c>
      <c r="C32" s="150">
        <v>92496</v>
      </c>
      <c r="D32" s="151"/>
      <c r="E32" s="154">
        <v>322284</v>
      </c>
      <c r="F32" s="176"/>
      <c r="G32" s="153">
        <v>414780</v>
      </c>
      <c r="AB32" s="170"/>
      <c r="AC32" s="171"/>
    </row>
    <row r="33" spans="2:29">
      <c r="B33" s="149" t="s">
        <v>195</v>
      </c>
      <c r="C33" s="150">
        <v>209385</v>
      </c>
      <c r="D33" s="151"/>
      <c r="E33" s="154">
        <v>287280</v>
      </c>
      <c r="F33" s="176"/>
      <c r="G33" s="153">
        <v>496665</v>
      </c>
      <c r="N33" t="s">
        <v>213</v>
      </c>
      <c r="O33" s="174">
        <v>43000000</v>
      </c>
      <c r="AB33" s="170"/>
      <c r="AC33" s="171"/>
    </row>
    <row r="34" spans="2:29">
      <c r="B34" s="149" t="s">
        <v>197</v>
      </c>
      <c r="C34" s="150">
        <v>115965</v>
      </c>
      <c r="D34" s="151"/>
      <c r="E34" s="154">
        <v>134640</v>
      </c>
      <c r="F34" s="176"/>
      <c r="G34" s="153">
        <v>250605</v>
      </c>
      <c r="AB34" s="170"/>
      <c r="AC34" s="171"/>
    </row>
    <row r="35" spans="2:29">
      <c r="B35" s="149" t="s">
        <v>198</v>
      </c>
      <c r="C35" s="150">
        <v>84330</v>
      </c>
      <c r="D35" s="151"/>
      <c r="E35" s="154">
        <v>109440</v>
      </c>
      <c r="F35" s="176"/>
      <c r="G35" s="153">
        <v>193770</v>
      </c>
      <c r="AB35" s="170"/>
      <c r="AC35" s="171"/>
    </row>
    <row r="36" spans="2:29">
      <c r="B36" s="149" t="s">
        <v>199</v>
      </c>
      <c r="C36" s="150">
        <v>21600</v>
      </c>
      <c r="D36" s="151"/>
      <c r="E36" s="154">
        <v>117000</v>
      </c>
      <c r="F36" s="176"/>
      <c r="G36" s="153">
        <v>138600</v>
      </c>
      <c r="AB36" s="170"/>
      <c r="AC36" s="171"/>
    </row>
    <row r="37" spans="2:29">
      <c r="B37" s="149" t="s">
        <v>159</v>
      </c>
      <c r="C37" s="150">
        <v>72850</v>
      </c>
      <c r="D37" s="151"/>
      <c r="E37" s="154">
        <v>193460</v>
      </c>
      <c r="F37" s="176"/>
      <c r="G37" s="153">
        <v>266310</v>
      </c>
      <c r="AB37" s="170"/>
      <c r="AC37" s="171"/>
    </row>
    <row r="38" spans="2:29">
      <c r="B38" s="149" t="s">
        <v>200</v>
      </c>
      <c r="C38" s="150">
        <v>31950</v>
      </c>
      <c r="D38" s="151"/>
      <c r="E38" s="154">
        <v>131328</v>
      </c>
      <c r="F38" s="176"/>
      <c r="G38" s="153">
        <v>163278</v>
      </c>
      <c r="AB38" s="170"/>
      <c r="AC38" s="171"/>
    </row>
    <row r="39" spans="2:29">
      <c r="B39" s="149" t="s">
        <v>201</v>
      </c>
      <c r="C39" s="150">
        <v>32850</v>
      </c>
      <c r="D39" s="151"/>
      <c r="E39" s="154">
        <v>139500</v>
      </c>
      <c r="F39" s="176"/>
      <c r="G39" s="153">
        <v>172350</v>
      </c>
      <c r="AB39" s="170"/>
      <c r="AC39" s="171"/>
    </row>
    <row r="40" spans="2:29">
      <c r="B40" s="149" t="s">
        <v>203</v>
      </c>
      <c r="C40" s="150">
        <v>51900</v>
      </c>
      <c r="D40" s="151"/>
      <c r="E40" s="154">
        <v>305280</v>
      </c>
      <c r="F40" s="152">
        <v>0</v>
      </c>
      <c r="G40" s="153">
        <v>357180</v>
      </c>
      <c r="AB40" s="170"/>
      <c r="AC40" s="171"/>
    </row>
    <row r="41" spans="2:29">
      <c r="B41" s="149" t="s">
        <v>168</v>
      </c>
      <c r="C41" s="155">
        <v>36225</v>
      </c>
      <c r="D41" s="156"/>
      <c r="E41" s="177">
        <v>91742</v>
      </c>
      <c r="F41" s="178"/>
      <c r="G41" s="158">
        <v>127967</v>
      </c>
      <c r="AB41" s="170"/>
      <c r="AC41" s="171"/>
    </row>
    <row r="42" spans="2:29">
      <c r="B42" s="160" t="s">
        <v>187</v>
      </c>
      <c r="C42" s="161">
        <v>894091</v>
      </c>
      <c r="D42" s="162">
        <v>24114</v>
      </c>
      <c r="E42" s="162">
        <v>2393138</v>
      </c>
      <c r="F42" s="163">
        <v>0</v>
      </c>
      <c r="G42" s="164">
        <v>3311343</v>
      </c>
      <c r="AB42" s="170"/>
      <c r="AC42" s="171"/>
    </row>
    <row r="43" spans="2:29">
      <c r="AB43" s="170"/>
      <c r="AC43" s="171"/>
    </row>
    <row r="44" spans="2:29">
      <c r="AB44" s="170"/>
      <c r="AC44" s="171"/>
    </row>
    <row r="45" spans="2:29">
      <c r="AB45" s="170"/>
      <c r="AC45" s="171"/>
    </row>
    <row r="46" spans="2:29">
      <c r="AB46" s="170"/>
      <c r="AC46" s="171"/>
    </row>
    <row r="47" spans="2:29">
      <c r="B47" s="179" t="s">
        <v>183</v>
      </c>
      <c r="C47" s="180" t="s">
        <v>214</v>
      </c>
      <c r="AB47" s="170"/>
      <c r="AC47" s="171"/>
    </row>
    <row r="48" spans="2:29">
      <c r="B48" s="141" t="s">
        <v>140</v>
      </c>
      <c r="C48" s="181">
        <v>15640</v>
      </c>
      <c r="AB48" s="170"/>
      <c r="AC48" s="171"/>
    </row>
    <row r="49" spans="2:29">
      <c r="B49" s="149" t="s">
        <v>102</v>
      </c>
      <c r="C49" s="182">
        <v>11510</v>
      </c>
      <c r="AB49" s="170"/>
      <c r="AC49" s="171"/>
    </row>
    <row r="50" spans="2:29">
      <c r="B50" s="149" t="s">
        <v>193</v>
      </c>
      <c r="C50" s="182">
        <v>8405</v>
      </c>
      <c r="AB50" s="170"/>
      <c r="AC50" s="171"/>
    </row>
    <row r="51" spans="2:29">
      <c r="B51" s="149" t="s">
        <v>117</v>
      </c>
      <c r="C51" s="182">
        <v>27025</v>
      </c>
      <c r="AB51" s="170"/>
      <c r="AC51" s="171"/>
    </row>
    <row r="52" spans="2:29">
      <c r="B52" s="149" t="s">
        <v>194</v>
      </c>
      <c r="C52" s="182">
        <v>22725</v>
      </c>
      <c r="AB52" s="170"/>
      <c r="AC52" s="171"/>
    </row>
    <row r="53" spans="2:29">
      <c r="B53" s="149" t="s">
        <v>53</v>
      </c>
      <c r="C53" s="182">
        <v>15923</v>
      </c>
      <c r="AB53" s="170"/>
      <c r="AC53" s="171"/>
    </row>
    <row r="54" spans="2:29">
      <c r="B54" s="149" t="s">
        <v>195</v>
      </c>
      <c r="C54" s="182">
        <v>80270</v>
      </c>
      <c r="AB54" s="170"/>
      <c r="AC54" s="171"/>
    </row>
    <row r="55" spans="2:29">
      <c r="B55" s="149" t="s">
        <v>197</v>
      </c>
      <c r="C55" s="182">
        <v>26415</v>
      </c>
      <c r="AB55" s="170"/>
      <c r="AC55" s="171"/>
    </row>
    <row r="56" spans="2:29">
      <c r="B56" s="149" t="s">
        <v>198</v>
      </c>
      <c r="C56" s="182">
        <v>48465</v>
      </c>
      <c r="AB56" s="170"/>
      <c r="AC56" s="171"/>
    </row>
    <row r="57" spans="2:29">
      <c r="B57" s="149" t="s">
        <v>199</v>
      </c>
      <c r="C57" s="182">
        <v>13860</v>
      </c>
      <c r="AB57" s="170"/>
      <c r="AC57" s="171"/>
    </row>
    <row r="58" spans="2:29">
      <c r="B58" s="149" t="s">
        <v>159</v>
      </c>
      <c r="C58" s="182">
        <v>19475</v>
      </c>
      <c r="AB58" s="170"/>
      <c r="AC58" s="171"/>
    </row>
    <row r="59" spans="2:29">
      <c r="B59" s="149" t="s">
        <v>200</v>
      </c>
      <c r="C59" s="182">
        <v>6779</v>
      </c>
      <c r="AB59" s="170"/>
      <c r="AC59" s="171"/>
    </row>
    <row r="60" spans="2:29">
      <c r="B60" s="149" t="s">
        <v>201</v>
      </c>
      <c r="C60" s="182">
        <v>15371</v>
      </c>
      <c r="AB60" s="170"/>
      <c r="AC60" s="171"/>
    </row>
    <row r="61" spans="2:29">
      <c r="B61" s="149" t="s">
        <v>203</v>
      </c>
      <c r="C61" s="182">
        <v>102981</v>
      </c>
      <c r="AB61" s="170"/>
      <c r="AC61" s="171"/>
    </row>
    <row r="62" spans="2:29">
      <c r="B62" s="149" t="s">
        <v>168</v>
      </c>
      <c r="C62" s="183">
        <v>366</v>
      </c>
      <c r="AB62" s="170"/>
      <c r="AC62" s="171"/>
    </row>
    <row r="63" spans="2:29">
      <c r="B63" s="160" t="s">
        <v>187</v>
      </c>
      <c r="C63" s="184">
        <v>415210</v>
      </c>
      <c r="AB63" s="170"/>
      <c r="AC63" s="171"/>
    </row>
    <row r="64" spans="2:29">
      <c r="AB64" s="170"/>
      <c r="AC64" s="171"/>
    </row>
    <row r="65" spans="2:29">
      <c r="AB65" s="170"/>
      <c r="AC65" s="171"/>
    </row>
    <row r="66" spans="2:29">
      <c r="AB66" s="170"/>
      <c r="AC66" s="171"/>
    </row>
    <row r="67" spans="2:29">
      <c r="AB67" s="170"/>
      <c r="AC67" s="171"/>
    </row>
    <row r="68" spans="2:29">
      <c r="AB68" s="170"/>
      <c r="AC68" s="171"/>
    </row>
    <row r="69" spans="2:29">
      <c r="AB69" s="170"/>
      <c r="AC69" s="171"/>
    </row>
    <row r="70" spans="2:29">
      <c r="AB70" s="170"/>
      <c r="AC70" s="171"/>
    </row>
    <row r="71" spans="2:29">
      <c r="AB71" s="170"/>
      <c r="AC71" s="171"/>
    </row>
    <row r="72" spans="2:29">
      <c r="AB72" s="170"/>
      <c r="AC72" s="171"/>
    </row>
    <row r="73" spans="2:29">
      <c r="AB73" s="170"/>
      <c r="AC73" s="171"/>
    </row>
    <row r="74" spans="2:29">
      <c r="AB74" s="170"/>
      <c r="AC74" s="171"/>
    </row>
    <row r="75" spans="2:29">
      <c r="AB75" s="170"/>
      <c r="AC75" s="171"/>
    </row>
    <row r="76" spans="2:29">
      <c r="B76" s="132" t="s">
        <v>215</v>
      </c>
      <c r="C76" s="133" t="s">
        <v>182</v>
      </c>
      <c r="D76" s="134"/>
      <c r="E76" s="134"/>
      <c r="F76" s="134"/>
      <c r="G76" s="135"/>
      <c r="AB76" s="170"/>
      <c r="AC76" s="171"/>
    </row>
    <row r="77" spans="2:29">
      <c r="B77" s="185" t="s">
        <v>216</v>
      </c>
      <c r="C77" s="137" t="s">
        <v>186</v>
      </c>
      <c r="D77" s="138" t="s">
        <v>184</v>
      </c>
      <c r="E77" s="138" t="s">
        <v>182</v>
      </c>
      <c r="F77" s="138" t="s">
        <v>185</v>
      </c>
      <c r="G77" s="139" t="s">
        <v>187</v>
      </c>
      <c r="AB77" s="170"/>
      <c r="AC77" s="171"/>
    </row>
    <row r="78" spans="2:29">
      <c r="B78" s="186" t="s">
        <v>53</v>
      </c>
      <c r="C78" s="187"/>
      <c r="D78" s="143"/>
      <c r="E78" s="143"/>
      <c r="F78" s="173"/>
      <c r="G78" s="188"/>
      <c r="AB78" s="170"/>
      <c r="AC78" s="171"/>
    </row>
    <row r="79" spans="2:29">
      <c r="B79" s="189" t="s">
        <v>53</v>
      </c>
      <c r="C79" s="190"/>
      <c r="D79" s="156"/>
      <c r="E79" s="156"/>
      <c r="F79" s="178"/>
      <c r="G79" s="191"/>
      <c r="AB79" s="170"/>
      <c r="AC79" s="171"/>
    </row>
    <row r="80" spans="2:29">
      <c r="B80" s="186" t="s">
        <v>198</v>
      </c>
      <c r="C80" s="187"/>
      <c r="D80" s="143"/>
      <c r="E80" s="143"/>
      <c r="F80" s="143"/>
      <c r="G80" s="188"/>
      <c r="AB80" s="170"/>
      <c r="AC80" s="171"/>
    </row>
    <row r="81" spans="2:29">
      <c r="B81" s="189" t="s">
        <v>198</v>
      </c>
      <c r="C81" s="190"/>
      <c r="D81" s="156"/>
      <c r="E81" s="156"/>
      <c r="F81" s="156"/>
      <c r="G81" s="191"/>
      <c r="AB81" s="170"/>
      <c r="AC81" s="171"/>
    </row>
    <row r="82" spans="2:29">
      <c r="B82" s="186" t="s">
        <v>194</v>
      </c>
      <c r="C82" s="187"/>
      <c r="D82" s="143"/>
      <c r="E82" s="143"/>
      <c r="F82" s="173"/>
      <c r="G82" s="188"/>
      <c r="AB82" s="170"/>
      <c r="AC82" s="171"/>
    </row>
    <row r="83" spans="2:29">
      <c r="B83" s="189" t="s">
        <v>217</v>
      </c>
      <c r="C83" s="190"/>
      <c r="D83" s="156"/>
      <c r="E83" s="156"/>
      <c r="F83" s="178"/>
      <c r="G83" s="191"/>
      <c r="AB83" s="170"/>
      <c r="AC83" s="171"/>
    </row>
    <row r="84" spans="2:29">
      <c r="B84" s="186" t="s">
        <v>195</v>
      </c>
      <c r="C84" s="187"/>
      <c r="D84" s="143"/>
      <c r="E84" s="143"/>
      <c r="F84" s="143"/>
      <c r="G84" s="188"/>
      <c r="AB84" s="170"/>
      <c r="AC84" s="171"/>
    </row>
    <row r="85" spans="2:29">
      <c r="B85" s="192" t="s">
        <v>218</v>
      </c>
      <c r="C85" s="193"/>
      <c r="D85" s="151"/>
      <c r="E85" s="151"/>
      <c r="F85" s="151"/>
      <c r="G85" s="194"/>
      <c r="AB85" s="170"/>
      <c r="AC85" s="171"/>
    </row>
    <row r="86" spans="2:29">
      <c r="B86" s="192" t="s">
        <v>219</v>
      </c>
      <c r="C86" s="193"/>
      <c r="D86" s="151"/>
      <c r="E86" s="151"/>
      <c r="F86" s="151"/>
      <c r="G86" s="194"/>
      <c r="AB86" s="170"/>
      <c r="AC86" s="171"/>
    </row>
    <row r="87" spans="2:29">
      <c r="B87" s="192" t="s">
        <v>220</v>
      </c>
      <c r="C87" s="193"/>
      <c r="D87" s="151"/>
      <c r="E87" s="151"/>
      <c r="F87" s="151"/>
      <c r="G87" s="194"/>
      <c r="AB87" s="170"/>
      <c r="AC87" s="171"/>
    </row>
    <row r="88" spans="2:29">
      <c r="B88" s="192" t="s">
        <v>221</v>
      </c>
      <c r="C88" s="193"/>
      <c r="D88" s="151"/>
      <c r="E88" s="151"/>
      <c r="F88" s="151"/>
      <c r="G88" s="194"/>
      <c r="AB88" s="170"/>
      <c r="AC88" s="171"/>
    </row>
    <row r="89" spans="2:29">
      <c r="B89" s="192" t="s">
        <v>222</v>
      </c>
      <c r="C89" s="193"/>
      <c r="D89" s="151"/>
      <c r="E89" s="151"/>
      <c r="F89" s="151"/>
      <c r="G89" s="194"/>
      <c r="AB89" s="170"/>
    </row>
    <row r="90" spans="2:29">
      <c r="B90" s="189" t="s">
        <v>223</v>
      </c>
      <c r="C90" s="190"/>
      <c r="D90" s="156"/>
      <c r="E90" s="156"/>
      <c r="F90" s="156"/>
      <c r="G90" s="191"/>
      <c r="AB90" s="170"/>
    </row>
    <row r="91" spans="2:29">
      <c r="B91" s="186" t="s">
        <v>197</v>
      </c>
      <c r="C91" s="187"/>
      <c r="D91" s="143"/>
      <c r="E91" s="143"/>
      <c r="F91" s="173"/>
      <c r="G91" s="188"/>
      <c r="AB91" s="195" t="s">
        <v>224</v>
      </c>
    </row>
    <row r="92" spans="2:29">
      <c r="B92" s="192" t="s">
        <v>225</v>
      </c>
      <c r="C92" s="193"/>
      <c r="D92" s="151"/>
      <c r="E92" s="151"/>
      <c r="F92" s="176"/>
      <c r="G92" s="194"/>
    </row>
    <row r="93" spans="2:29">
      <c r="B93" s="189" t="s">
        <v>226</v>
      </c>
      <c r="C93" s="190"/>
      <c r="D93" s="156"/>
      <c r="E93" s="156"/>
      <c r="F93" s="178"/>
      <c r="G93" s="191"/>
    </row>
    <row r="94" spans="2:29">
      <c r="B94" s="186" t="s">
        <v>117</v>
      </c>
      <c r="C94" s="187"/>
      <c r="D94" s="143"/>
      <c r="E94" s="143"/>
      <c r="F94" s="143"/>
      <c r="G94" s="188"/>
    </row>
    <row r="95" spans="2:29">
      <c r="B95" s="192" t="s">
        <v>227</v>
      </c>
      <c r="C95" s="193"/>
      <c r="D95" s="151"/>
      <c r="E95" s="151"/>
      <c r="F95" s="151"/>
      <c r="G95" s="194"/>
    </row>
    <row r="96" spans="2:29">
      <c r="B96" s="189" t="s">
        <v>117</v>
      </c>
      <c r="C96" s="190"/>
      <c r="D96" s="156"/>
      <c r="E96" s="156"/>
      <c r="F96" s="156"/>
      <c r="G96" s="191"/>
    </row>
    <row r="97" spans="2:12">
      <c r="B97" s="186" t="s">
        <v>193</v>
      </c>
      <c r="C97" s="187"/>
      <c r="D97" s="143"/>
      <c r="E97" s="143"/>
      <c r="F97" s="173"/>
      <c r="G97" s="188"/>
    </row>
    <row r="98" spans="2:12">
      <c r="B98" s="192" t="s">
        <v>228</v>
      </c>
      <c r="C98" s="193"/>
      <c r="D98" s="151"/>
      <c r="E98" s="151"/>
      <c r="F98" s="176"/>
      <c r="G98" s="194"/>
    </row>
    <row r="99" spans="2:12">
      <c r="B99" s="192" t="s">
        <v>229</v>
      </c>
      <c r="C99" s="193"/>
      <c r="D99" s="151"/>
      <c r="E99" s="151"/>
      <c r="F99" s="176"/>
      <c r="G99" s="194"/>
    </row>
    <row r="100" spans="2:12">
      <c r="B100" s="132"/>
      <c r="C100" s="196" t="s">
        <v>230</v>
      </c>
      <c r="D100" s="197"/>
      <c r="E100" s="197"/>
      <c r="F100" s="197"/>
      <c r="G100" s="197"/>
      <c r="H100" s="197"/>
      <c r="I100" s="197"/>
      <c r="J100" s="197"/>
      <c r="K100" s="197"/>
      <c r="L100" s="198"/>
    </row>
    <row r="101" spans="2:12">
      <c r="B101" s="199"/>
      <c r="C101" s="200" t="s">
        <v>231</v>
      </c>
      <c r="D101" s="201"/>
      <c r="E101" s="201"/>
      <c r="F101" s="201"/>
      <c r="G101" s="201" t="s">
        <v>232</v>
      </c>
      <c r="H101" s="201"/>
      <c r="I101" s="201"/>
      <c r="J101" s="201"/>
      <c r="K101" s="202" t="s">
        <v>233</v>
      </c>
      <c r="L101" s="203" t="s">
        <v>234</v>
      </c>
    </row>
    <row r="102" spans="2:12">
      <c r="B102" s="185" t="s">
        <v>216</v>
      </c>
      <c r="C102" s="137" t="s">
        <v>186</v>
      </c>
      <c r="D102" s="138" t="s">
        <v>184</v>
      </c>
      <c r="E102" s="138" t="s">
        <v>182</v>
      </c>
      <c r="F102" s="138" t="s">
        <v>185</v>
      </c>
      <c r="G102" s="138" t="s">
        <v>186</v>
      </c>
      <c r="H102" s="138" t="s">
        <v>184</v>
      </c>
      <c r="I102" s="138" t="s">
        <v>182</v>
      </c>
      <c r="J102" s="138" t="s">
        <v>185</v>
      </c>
      <c r="K102" s="204"/>
      <c r="L102" s="205"/>
    </row>
    <row r="103" spans="2:12">
      <c r="B103" s="186" t="s">
        <v>53</v>
      </c>
      <c r="C103" s="187">
        <v>4</v>
      </c>
      <c r="D103" s="143">
        <v>3</v>
      </c>
      <c r="E103" s="143"/>
      <c r="F103" s="173"/>
      <c r="G103" s="172">
        <v>2584144</v>
      </c>
      <c r="H103" s="172">
        <v>737936</v>
      </c>
      <c r="I103" s="143"/>
      <c r="J103" s="143"/>
      <c r="K103" s="206">
        <v>7</v>
      </c>
      <c r="L103" s="145">
        <v>3322080</v>
      </c>
    </row>
    <row r="104" spans="2:12">
      <c r="B104" s="189" t="s">
        <v>53</v>
      </c>
      <c r="C104" s="190">
        <v>4</v>
      </c>
      <c r="D104" s="156">
        <v>3</v>
      </c>
      <c r="E104" s="156"/>
      <c r="F104" s="178"/>
      <c r="G104" s="177">
        <v>2584144</v>
      </c>
      <c r="H104" s="177">
        <v>737936</v>
      </c>
      <c r="I104" s="156"/>
      <c r="J104" s="156"/>
      <c r="K104" s="207">
        <v>7</v>
      </c>
      <c r="L104" s="158">
        <v>3322080</v>
      </c>
    </row>
    <row r="105" spans="2:12">
      <c r="B105" s="186" t="s">
        <v>198</v>
      </c>
      <c r="C105" s="187">
        <v>2</v>
      </c>
      <c r="D105" s="143">
        <v>12</v>
      </c>
      <c r="E105" s="143"/>
      <c r="F105" s="143"/>
      <c r="G105" s="142">
        <v>1839060</v>
      </c>
      <c r="H105" s="172">
        <v>2692215</v>
      </c>
      <c r="I105" s="143"/>
      <c r="J105" s="173"/>
      <c r="K105" s="208">
        <v>14</v>
      </c>
      <c r="L105" s="145">
        <v>4531275</v>
      </c>
    </row>
    <row r="106" spans="2:12">
      <c r="B106" s="189" t="s">
        <v>198</v>
      </c>
      <c r="C106" s="190">
        <v>2</v>
      </c>
      <c r="D106" s="156">
        <v>12</v>
      </c>
      <c r="E106" s="156"/>
      <c r="F106" s="156"/>
      <c r="G106" s="155">
        <v>1839060</v>
      </c>
      <c r="H106" s="177">
        <v>2692215</v>
      </c>
      <c r="I106" s="156"/>
      <c r="J106" s="178"/>
      <c r="K106" s="209">
        <v>14</v>
      </c>
      <c r="L106" s="158">
        <v>4531275</v>
      </c>
    </row>
    <row r="107" spans="2:12">
      <c r="B107" s="186" t="s">
        <v>194</v>
      </c>
      <c r="C107" s="187">
        <v>2</v>
      </c>
      <c r="D107" s="143">
        <v>5</v>
      </c>
      <c r="E107" s="143"/>
      <c r="F107" s="173"/>
      <c r="G107" s="172">
        <v>1546830</v>
      </c>
      <c r="H107" s="172">
        <v>1164420</v>
      </c>
      <c r="I107" s="143"/>
      <c r="J107" s="143"/>
      <c r="K107" s="206">
        <v>7</v>
      </c>
      <c r="L107" s="145">
        <v>2711250</v>
      </c>
    </row>
    <row r="108" spans="2:12">
      <c r="B108" s="189" t="s">
        <v>217</v>
      </c>
      <c r="C108" s="190">
        <v>2</v>
      </c>
      <c r="D108" s="156">
        <v>5</v>
      </c>
      <c r="E108" s="156"/>
      <c r="F108" s="178"/>
      <c r="G108" s="177">
        <v>1546830</v>
      </c>
      <c r="H108" s="177">
        <v>1164420</v>
      </c>
      <c r="I108" s="156"/>
      <c r="J108" s="156"/>
      <c r="K108" s="207">
        <v>7</v>
      </c>
      <c r="L108" s="158">
        <v>2711250</v>
      </c>
    </row>
    <row r="109" spans="2:12">
      <c r="B109" s="186" t="s">
        <v>195</v>
      </c>
      <c r="C109" s="187">
        <v>2</v>
      </c>
      <c r="D109" s="143">
        <v>30</v>
      </c>
      <c r="E109" s="143"/>
      <c r="F109" s="143"/>
      <c r="G109" s="142">
        <v>2202480</v>
      </c>
      <c r="H109" s="172">
        <v>4541850</v>
      </c>
      <c r="I109" s="143"/>
      <c r="J109" s="173"/>
      <c r="K109" s="208">
        <v>32</v>
      </c>
      <c r="L109" s="145">
        <v>6744330</v>
      </c>
    </row>
    <row r="110" spans="2:12">
      <c r="B110" s="192" t="s">
        <v>218</v>
      </c>
      <c r="C110" s="193">
        <v>1</v>
      </c>
      <c r="D110" s="151">
        <v>8</v>
      </c>
      <c r="E110" s="151"/>
      <c r="F110" s="151"/>
      <c r="G110" s="150">
        <v>1076400</v>
      </c>
      <c r="H110" s="154">
        <v>1515195</v>
      </c>
      <c r="I110" s="151"/>
      <c r="J110" s="176"/>
      <c r="K110" s="210">
        <v>9</v>
      </c>
      <c r="L110" s="153">
        <v>2591595</v>
      </c>
    </row>
    <row r="111" spans="2:12">
      <c r="B111" s="192" t="s">
        <v>219</v>
      </c>
      <c r="C111" s="193"/>
      <c r="D111" s="151">
        <v>3</v>
      </c>
      <c r="E111" s="151"/>
      <c r="F111" s="151"/>
      <c r="G111" s="211"/>
      <c r="H111" s="154">
        <v>354645</v>
      </c>
      <c r="I111" s="151"/>
      <c r="J111" s="176"/>
      <c r="K111" s="210">
        <v>3</v>
      </c>
      <c r="L111" s="153">
        <v>354645</v>
      </c>
    </row>
    <row r="112" spans="2:12">
      <c r="B112" s="192" t="s">
        <v>220</v>
      </c>
      <c r="C112" s="193"/>
      <c r="D112" s="151">
        <v>2</v>
      </c>
      <c r="E112" s="151"/>
      <c r="F112" s="151"/>
      <c r="G112" s="211"/>
      <c r="H112" s="154">
        <v>314280</v>
      </c>
      <c r="I112" s="151"/>
      <c r="J112" s="176"/>
      <c r="K112" s="210">
        <v>2</v>
      </c>
      <c r="L112" s="153">
        <v>314280</v>
      </c>
    </row>
    <row r="113" spans="2:12">
      <c r="B113" s="192" t="s">
        <v>221</v>
      </c>
      <c r="C113" s="193">
        <v>1</v>
      </c>
      <c r="D113" s="151">
        <v>13</v>
      </c>
      <c r="E113" s="151"/>
      <c r="F113" s="151"/>
      <c r="G113" s="150">
        <v>1126080</v>
      </c>
      <c r="H113" s="154">
        <v>1530270</v>
      </c>
      <c r="I113" s="151"/>
      <c r="J113" s="176"/>
      <c r="K113" s="210">
        <v>14</v>
      </c>
      <c r="L113" s="153">
        <v>2656350</v>
      </c>
    </row>
    <row r="114" spans="2:12">
      <c r="B114" s="192" t="s">
        <v>222</v>
      </c>
      <c r="C114" s="193"/>
      <c r="D114" s="151">
        <v>2</v>
      </c>
      <c r="E114" s="151"/>
      <c r="F114" s="151"/>
      <c r="G114" s="211"/>
      <c r="H114" s="154">
        <v>378000</v>
      </c>
      <c r="I114" s="151"/>
      <c r="J114" s="176"/>
      <c r="K114" s="210">
        <v>2</v>
      </c>
      <c r="L114" s="153">
        <v>378000</v>
      </c>
    </row>
    <row r="115" spans="2:12">
      <c r="B115" s="189" t="s">
        <v>223</v>
      </c>
      <c r="C115" s="190"/>
      <c r="D115" s="156">
        <v>2</v>
      </c>
      <c r="E115" s="156"/>
      <c r="F115" s="156"/>
      <c r="G115" s="212"/>
      <c r="H115" s="177">
        <v>449460</v>
      </c>
      <c r="I115" s="156"/>
      <c r="J115" s="178"/>
      <c r="K115" s="209">
        <v>2</v>
      </c>
      <c r="L115" s="158">
        <v>449460</v>
      </c>
    </row>
    <row r="116" spans="2:12">
      <c r="B116" s="186" t="s">
        <v>197</v>
      </c>
      <c r="C116" s="187">
        <v>1</v>
      </c>
      <c r="D116" s="143">
        <v>7</v>
      </c>
      <c r="E116" s="143"/>
      <c r="F116" s="173"/>
      <c r="G116" s="172">
        <v>1101600</v>
      </c>
      <c r="H116" s="172">
        <v>1416960</v>
      </c>
      <c r="I116" s="143"/>
      <c r="J116" s="143"/>
      <c r="K116" s="206">
        <v>8</v>
      </c>
      <c r="L116" s="145">
        <v>2518560</v>
      </c>
    </row>
    <row r="117" spans="2:12">
      <c r="B117" s="192" t="s">
        <v>225</v>
      </c>
      <c r="C117" s="193"/>
      <c r="D117" s="151">
        <v>4</v>
      </c>
      <c r="E117" s="151"/>
      <c r="F117" s="176"/>
      <c r="G117" s="151"/>
      <c r="H117" s="154">
        <v>618030</v>
      </c>
      <c r="I117" s="151"/>
      <c r="J117" s="151"/>
      <c r="K117" s="213">
        <v>4</v>
      </c>
      <c r="L117" s="153">
        <v>618030</v>
      </c>
    </row>
    <row r="118" spans="2:12">
      <c r="B118" s="189" t="s">
        <v>226</v>
      </c>
      <c r="C118" s="190">
        <v>1</v>
      </c>
      <c r="D118" s="156">
        <v>3</v>
      </c>
      <c r="E118" s="156"/>
      <c r="F118" s="178"/>
      <c r="G118" s="177">
        <v>1101600</v>
      </c>
      <c r="H118" s="177">
        <v>798930</v>
      </c>
      <c r="I118" s="156"/>
      <c r="J118" s="156"/>
      <c r="K118" s="207">
        <v>4</v>
      </c>
      <c r="L118" s="158">
        <v>1900530</v>
      </c>
    </row>
    <row r="119" spans="2:12">
      <c r="B119" s="186" t="s">
        <v>117</v>
      </c>
      <c r="C119" s="187">
        <v>8</v>
      </c>
      <c r="D119" s="143">
        <v>15</v>
      </c>
      <c r="E119" s="143"/>
      <c r="F119" s="143">
        <v>3</v>
      </c>
      <c r="G119" s="142">
        <v>3060974</v>
      </c>
      <c r="H119" s="172">
        <v>936896</v>
      </c>
      <c r="I119" s="143"/>
      <c r="J119" s="144">
        <v>512358</v>
      </c>
      <c r="K119" s="208">
        <v>26</v>
      </c>
      <c r="L119" s="145">
        <v>4510228</v>
      </c>
    </row>
    <row r="120" spans="2:12">
      <c r="B120" s="192" t="s">
        <v>227</v>
      </c>
      <c r="C120" s="193">
        <v>1</v>
      </c>
      <c r="D120" s="151">
        <v>14</v>
      </c>
      <c r="E120" s="151"/>
      <c r="F120" s="151"/>
      <c r="G120" s="150">
        <v>396090</v>
      </c>
      <c r="H120" s="154">
        <v>922424</v>
      </c>
      <c r="I120" s="151"/>
      <c r="J120" s="176"/>
      <c r="K120" s="210">
        <v>15</v>
      </c>
      <c r="L120" s="153">
        <v>1318514</v>
      </c>
    </row>
    <row r="121" spans="2:12">
      <c r="B121" s="189" t="s">
        <v>117</v>
      </c>
      <c r="C121" s="190">
        <v>7</v>
      </c>
      <c r="D121" s="156">
        <v>1</v>
      </c>
      <c r="E121" s="156"/>
      <c r="F121" s="156">
        <v>3</v>
      </c>
      <c r="G121" s="155">
        <v>2664884</v>
      </c>
      <c r="H121" s="177">
        <v>14472</v>
      </c>
      <c r="I121" s="156"/>
      <c r="J121" s="157">
        <v>512358</v>
      </c>
      <c r="K121" s="209">
        <v>11</v>
      </c>
      <c r="L121" s="158">
        <v>3191714</v>
      </c>
    </row>
    <row r="122" spans="2:12">
      <c r="B122" s="186" t="s">
        <v>193</v>
      </c>
      <c r="C122" s="187">
        <v>2</v>
      </c>
      <c r="D122" s="143">
        <v>4</v>
      </c>
      <c r="E122" s="143"/>
      <c r="F122" s="173"/>
      <c r="G122" s="172">
        <v>685440</v>
      </c>
      <c r="H122" s="172">
        <v>371340</v>
      </c>
      <c r="I122" s="143"/>
      <c r="J122" s="143"/>
      <c r="K122" s="206">
        <v>6</v>
      </c>
      <c r="L122" s="145">
        <v>1056780</v>
      </c>
    </row>
    <row r="123" spans="2:12">
      <c r="B123" s="192" t="s">
        <v>228</v>
      </c>
      <c r="C123" s="193"/>
      <c r="D123" s="151">
        <v>2</v>
      </c>
      <c r="E123" s="151"/>
      <c r="F123" s="176"/>
      <c r="G123" s="151"/>
      <c r="H123" s="154">
        <v>263340</v>
      </c>
      <c r="I123" s="151"/>
      <c r="J123" s="151"/>
      <c r="K123" s="213">
        <v>2</v>
      </c>
      <c r="L123" s="153">
        <v>263340</v>
      </c>
    </row>
    <row r="124" spans="2:12">
      <c r="B124" s="192" t="s">
        <v>229</v>
      </c>
      <c r="C124" s="193"/>
      <c r="D124" s="151">
        <v>1</v>
      </c>
      <c r="E124" s="151"/>
      <c r="F124" s="176"/>
      <c r="G124" s="151"/>
      <c r="H124" s="154">
        <v>108000</v>
      </c>
      <c r="I124" s="151"/>
      <c r="J124" s="151"/>
      <c r="K124" s="213">
        <v>1</v>
      </c>
      <c r="L124" s="153">
        <v>108000</v>
      </c>
    </row>
    <row r="125" spans="2:12">
      <c r="B125" s="192" t="s">
        <v>235</v>
      </c>
      <c r="C125" s="193"/>
      <c r="D125" s="151">
        <v>1</v>
      </c>
      <c r="E125" s="151"/>
      <c r="F125" s="176"/>
      <c r="G125" s="151"/>
      <c r="H125" s="154">
        <v>0</v>
      </c>
      <c r="I125" s="151"/>
      <c r="J125" s="151"/>
      <c r="K125" s="213">
        <v>1</v>
      </c>
      <c r="L125" s="153">
        <v>0</v>
      </c>
    </row>
    <row r="126" spans="2:12">
      <c r="B126" s="189" t="s">
        <v>236</v>
      </c>
      <c r="C126" s="190">
        <v>2</v>
      </c>
      <c r="D126" s="156"/>
      <c r="E126" s="156"/>
      <c r="F126" s="178"/>
      <c r="G126" s="177">
        <v>685440</v>
      </c>
      <c r="H126" s="156"/>
      <c r="I126" s="156"/>
      <c r="J126" s="156"/>
      <c r="K126" s="207">
        <v>2</v>
      </c>
      <c r="L126" s="158">
        <v>685440</v>
      </c>
    </row>
    <row r="127" spans="2:12">
      <c r="B127" s="186" t="s">
        <v>102</v>
      </c>
      <c r="C127" s="187">
        <v>1</v>
      </c>
      <c r="D127" s="143">
        <v>2</v>
      </c>
      <c r="E127" s="143"/>
      <c r="F127" s="143"/>
      <c r="G127" s="142">
        <v>1126080</v>
      </c>
      <c r="H127" s="172">
        <v>515340</v>
      </c>
      <c r="I127" s="143"/>
      <c r="J127" s="173"/>
      <c r="K127" s="208">
        <v>3</v>
      </c>
      <c r="L127" s="145">
        <v>1641420</v>
      </c>
    </row>
    <row r="128" spans="2:12">
      <c r="B128" s="192" t="s">
        <v>102</v>
      </c>
      <c r="C128" s="193"/>
      <c r="D128" s="151">
        <v>2</v>
      </c>
      <c r="E128" s="151"/>
      <c r="F128" s="151"/>
      <c r="G128" s="211"/>
      <c r="H128" s="154">
        <v>515340</v>
      </c>
      <c r="I128" s="151"/>
      <c r="J128" s="176"/>
      <c r="K128" s="210">
        <v>2</v>
      </c>
      <c r="L128" s="153">
        <v>515340</v>
      </c>
    </row>
    <row r="129" spans="2:12">
      <c r="B129" s="189" t="s">
        <v>237</v>
      </c>
      <c r="C129" s="190">
        <v>1</v>
      </c>
      <c r="D129" s="156"/>
      <c r="E129" s="156"/>
      <c r="F129" s="156"/>
      <c r="G129" s="155">
        <v>1126080</v>
      </c>
      <c r="H129" s="156"/>
      <c r="I129" s="156"/>
      <c r="J129" s="178"/>
      <c r="K129" s="209">
        <v>1</v>
      </c>
      <c r="L129" s="158">
        <v>1126080</v>
      </c>
    </row>
    <row r="130" spans="2:12">
      <c r="B130" s="186" t="s">
        <v>168</v>
      </c>
      <c r="C130" s="187">
        <v>2</v>
      </c>
      <c r="D130" s="143">
        <v>1</v>
      </c>
      <c r="E130" s="143"/>
      <c r="F130" s="173"/>
      <c r="G130" s="172">
        <v>91742</v>
      </c>
      <c r="H130" s="172">
        <v>36225</v>
      </c>
      <c r="I130" s="143"/>
      <c r="J130" s="143"/>
      <c r="K130" s="206">
        <v>3</v>
      </c>
      <c r="L130" s="145">
        <v>127967</v>
      </c>
    </row>
    <row r="131" spans="2:12">
      <c r="B131" s="189" t="s">
        <v>168</v>
      </c>
      <c r="C131" s="190">
        <v>2</v>
      </c>
      <c r="D131" s="156">
        <v>1</v>
      </c>
      <c r="E131" s="156"/>
      <c r="F131" s="178"/>
      <c r="G131" s="177">
        <v>91742</v>
      </c>
      <c r="H131" s="177">
        <v>36225</v>
      </c>
      <c r="I131" s="156"/>
      <c r="J131" s="156"/>
      <c r="K131" s="207">
        <v>3</v>
      </c>
      <c r="L131" s="158">
        <v>127967</v>
      </c>
    </row>
    <row r="132" spans="2:12">
      <c r="B132" s="186" t="s">
        <v>159</v>
      </c>
      <c r="C132" s="187">
        <v>6</v>
      </c>
      <c r="D132" s="143">
        <v>5</v>
      </c>
      <c r="E132" s="143"/>
      <c r="F132" s="143"/>
      <c r="G132" s="142">
        <v>2257035</v>
      </c>
      <c r="H132" s="172">
        <v>871750</v>
      </c>
      <c r="I132" s="143"/>
      <c r="J132" s="173"/>
      <c r="K132" s="208">
        <v>11</v>
      </c>
      <c r="L132" s="145">
        <v>3128785</v>
      </c>
    </row>
    <row r="133" spans="2:12">
      <c r="B133" s="189" t="s">
        <v>159</v>
      </c>
      <c r="C133" s="190">
        <v>6</v>
      </c>
      <c r="D133" s="156">
        <v>5</v>
      </c>
      <c r="E133" s="156"/>
      <c r="F133" s="156"/>
      <c r="G133" s="155">
        <v>2257035</v>
      </c>
      <c r="H133" s="177">
        <v>871750</v>
      </c>
      <c r="I133" s="156"/>
      <c r="J133" s="178"/>
      <c r="K133" s="209">
        <v>11</v>
      </c>
      <c r="L133" s="158">
        <v>3128785</v>
      </c>
    </row>
    <row r="134" spans="2:12">
      <c r="B134" s="186" t="s">
        <v>238</v>
      </c>
      <c r="C134" s="187">
        <v>5</v>
      </c>
      <c r="D134" s="143"/>
      <c r="E134" s="143"/>
      <c r="F134" s="173"/>
      <c r="G134" s="143"/>
      <c r="H134" s="143"/>
      <c r="I134" s="143"/>
      <c r="J134" s="143"/>
      <c r="K134" s="206">
        <v>5</v>
      </c>
      <c r="L134" s="188"/>
    </row>
    <row r="135" spans="2:12">
      <c r="B135" s="192" t="s">
        <v>239</v>
      </c>
      <c r="C135" s="193">
        <v>1</v>
      </c>
      <c r="D135" s="151"/>
      <c r="E135" s="151"/>
      <c r="F135" s="176"/>
      <c r="G135" s="151"/>
      <c r="H135" s="151"/>
      <c r="I135" s="151"/>
      <c r="J135" s="151"/>
      <c r="K135" s="213">
        <v>1</v>
      </c>
      <c r="L135" s="194"/>
    </row>
    <row r="136" spans="2:12">
      <c r="B136" s="192" t="s">
        <v>240</v>
      </c>
      <c r="C136" s="193">
        <v>1</v>
      </c>
      <c r="D136" s="151"/>
      <c r="E136" s="151"/>
      <c r="F136" s="176"/>
      <c r="G136" s="151"/>
      <c r="H136" s="151"/>
      <c r="I136" s="151"/>
      <c r="J136" s="151"/>
      <c r="K136" s="213">
        <v>1</v>
      </c>
      <c r="L136" s="194"/>
    </row>
    <row r="137" spans="2:12">
      <c r="B137" s="192" t="s">
        <v>241</v>
      </c>
      <c r="C137" s="193">
        <v>1</v>
      </c>
      <c r="D137" s="151"/>
      <c r="E137" s="151"/>
      <c r="F137" s="176"/>
      <c r="G137" s="151"/>
      <c r="H137" s="151"/>
      <c r="I137" s="151"/>
      <c r="J137" s="151"/>
      <c r="K137" s="213">
        <v>1</v>
      </c>
      <c r="L137" s="194"/>
    </row>
    <row r="138" spans="2:12">
      <c r="B138" s="192" t="s">
        <v>242</v>
      </c>
      <c r="C138" s="193">
        <v>1</v>
      </c>
      <c r="D138" s="151"/>
      <c r="E138" s="151"/>
      <c r="F138" s="176"/>
      <c r="G138" s="151"/>
      <c r="H138" s="151"/>
      <c r="I138" s="151"/>
      <c r="J138" s="151"/>
      <c r="K138" s="213">
        <v>1</v>
      </c>
      <c r="L138" s="194"/>
    </row>
    <row r="139" spans="2:12">
      <c r="B139" s="189" t="s">
        <v>243</v>
      </c>
      <c r="C139" s="190">
        <v>1</v>
      </c>
      <c r="D139" s="156"/>
      <c r="E139" s="156"/>
      <c r="F139" s="178"/>
      <c r="G139" s="156"/>
      <c r="H139" s="156"/>
      <c r="I139" s="156"/>
      <c r="J139" s="156"/>
      <c r="K139" s="207">
        <v>1</v>
      </c>
      <c r="L139" s="191"/>
    </row>
    <row r="140" spans="2:12">
      <c r="B140" s="186" t="s">
        <v>140</v>
      </c>
      <c r="C140" s="187">
        <v>1</v>
      </c>
      <c r="D140" s="143">
        <v>5</v>
      </c>
      <c r="E140" s="143"/>
      <c r="F140" s="143"/>
      <c r="G140" s="142">
        <v>269280</v>
      </c>
      <c r="H140" s="172">
        <v>911250</v>
      </c>
      <c r="I140" s="143"/>
      <c r="J140" s="173"/>
      <c r="K140" s="208">
        <v>6</v>
      </c>
      <c r="L140" s="145">
        <v>1180530</v>
      </c>
    </row>
    <row r="141" spans="2:12">
      <c r="B141" s="189" t="s">
        <v>140</v>
      </c>
      <c r="C141" s="190">
        <v>1</v>
      </c>
      <c r="D141" s="156">
        <v>5</v>
      </c>
      <c r="E141" s="156"/>
      <c r="F141" s="156"/>
      <c r="G141" s="155">
        <v>269280</v>
      </c>
      <c r="H141" s="177">
        <v>911250</v>
      </c>
      <c r="I141" s="156"/>
      <c r="J141" s="178"/>
      <c r="K141" s="209">
        <v>6</v>
      </c>
      <c r="L141" s="158">
        <v>1180530</v>
      </c>
    </row>
    <row r="142" spans="2:12">
      <c r="B142" s="186" t="s">
        <v>244</v>
      </c>
      <c r="C142" s="187"/>
      <c r="D142" s="143">
        <v>5</v>
      </c>
      <c r="E142" s="143"/>
      <c r="F142" s="173"/>
      <c r="G142" s="143"/>
      <c r="H142" s="143"/>
      <c r="I142" s="143"/>
      <c r="J142" s="143"/>
      <c r="K142" s="206">
        <v>5</v>
      </c>
      <c r="L142" s="188"/>
    </row>
    <row r="143" spans="2:12">
      <c r="B143" s="192" t="s">
        <v>239</v>
      </c>
      <c r="C143" s="193"/>
      <c r="D143" s="151">
        <v>1</v>
      </c>
      <c r="E143" s="151"/>
      <c r="F143" s="176"/>
      <c r="G143" s="151"/>
      <c r="H143" s="151"/>
      <c r="I143" s="151"/>
      <c r="J143" s="151"/>
      <c r="K143" s="213">
        <v>1</v>
      </c>
      <c r="L143" s="194"/>
    </row>
    <row r="144" spans="2:12">
      <c r="B144" s="192" t="s">
        <v>240</v>
      </c>
      <c r="C144" s="193"/>
      <c r="D144" s="151">
        <v>1</v>
      </c>
      <c r="E144" s="151"/>
      <c r="F144" s="176"/>
      <c r="G144" s="151"/>
      <c r="H144" s="151"/>
      <c r="I144" s="151"/>
      <c r="J144" s="151"/>
      <c r="K144" s="213">
        <v>1</v>
      </c>
      <c r="L144" s="194"/>
    </row>
    <row r="145" spans="2:12">
      <c r="B145" s="192" t="s">
        <v>241</v>
      </c>
      <c r="C145" s="193"/>
      <c r="D145" s="151">
        <v>1</v>
      </c>
      <c r="E145" s="151"/>
      <c r="F145" s="176"/>
      <c r="G145" s="151"/>
      <c r="H145" s="151"/>
      <c r="I145" s="151"/>
      <c r="J145" s="151"/>
      <c r="K145" s="213">
        <v>1</v>
      </c>
      <c r="L145" s="194"/>
    </row>
    <row r="146" spans="2:12">
      <c r="B146" s="192" t="s">
        <v>242</v>
      </c>
      <c r="C146" s="193"/>
      <c r="D146" s="151">
        <v>1</v>
      </c>
      <c r="E146" s="151"/>
      <c r="F146" s="176"/>
      <c r="G146" s="151"/>
      <c r="H146" s="151"/>
      <c r="I146" s="151"/>
      <c r="J146" s="151"/>
      <c r="K146" s="213">
        <v>1</v>
      </c>
      <c r="L146" s="194"/>
    </row>
    <row r="147" spans="2:12">
      <c r="B147" s="189" t="s">
        <v>243</v>
      </c>
      <c r="C147" s="190"/>
      <c r="D147" s="156">
        <v>1</v>
      </c>
      <c r="E147" s="156"/>
      <c r="F147" s="178"/>
      <c r="G147" s="156"/>
      <c r="H147" s="156"/>
      <c r="I147" s="156"/>
      <c r="J147" s="156"/>
      <c r="K147" s="207">
        <v>1</v>
      </c>
      <c r="L147" s="191"/>
    </row>
    <row r="148" spans="2:12">
      <c r="B148" s="186" t="s">
        <v>245</v>
      </c>
      <c r="C148" s="187"/>
      <c r="D148" s="143">
        <v>5</v>
      </c>
      <c r="E148" s="143"/>
      <c r="F148" s="143"/>
      <c r="G148" s="214"/>
      <c r="H148" s="143"/>
      <c r="I148" s="143"/>
      <c r="J148" s="173"/>
      <c r="K148" s="208">
        <v>5</v>
      </c>
      <c r="L148" s="188"/>
    </row>
    <row r="149" spans="2:12">
      <c r="B149" s="192" t="s">
        <v>239</v>
      </c>
      <c r="C149" s="193"/>
      <c r="D149" s="151">
        <v>1</v>
      </c>
      <c r="E149" s="151"/>
      <c r="F149" s="151"/>
      <c r="G149" s="211"/>
      <c r="H149" s="151"/>
      <c r="I149" s="151"/>
      <c r="J149" s="176"/>
      <c r="K149" s="210">
        <v>1</v>
      </c>
      <c r="L149" s="194"/>
    </row>
    <row r="150" spans="2:12">
      <c r="B150" s="192" t="s">
        <v>240</v>
      </c>
      <c r="C150" s="193"/>
      <c r="D150" s="151">
        <v>1</v>
      </c>
      <c r="E150" s="151"/>
      <c r="F150" s="151"/>
      <c r="G150" s="211"/>
      <c r="H150" s="151"/>
      <c r="I150" s="151"/>
      <c r="J150" s="176"/>
      <c r="K150" s="210">
        <v>1</v>
      </c>
      <c r="L150" s="194"/>
    </row>
    <row r="151" spans="2:12">
      <c r="B151" s="192" t="s">
        <v>241</v>
      </c>
      <c r="C151" s="193"/>
      <c r="D151" s="151">
        <v>1</v>
      </c>
      <c r="E151" s="151"/>
      <c r="F151" s="151"/>
      <c r="G151" s="211"/>
      <c r="H151" s="151"/>
      <c r="I151" s="151"/>
      <c r="J151" s="176"/>
      <c r="K151" s="210">
        <v>1</v>
      </c>
      <c r="L151" s="194"/>
    </row>
    <row r="152" spans="2:12">
      <c r="B152" s="192" t="s">
        <v>242</v>
      </c>
      <c r="C152" s="193"/>
      <c r="D152" s="151">
        <v>1</v>
      </c>
      <c r="E152" s="151"/>
      <c r="F152" s="151"/>
      <c r="G152" s="211"/>
      <c r="H152" s="151"/>
      <c r="I152" s="151"/>
      <c r="J152" s="176"/>
      <c r="K152" s="210">
        <v>1</v>
      </c>
      <c r="L152" s="194"/>
    </row>
    <row r="153" spans="2:12">
      <c r="B153" s="189" t="s">
        <v>243</v>
      </c>
      <c r="C153" s="190"/>
      <c r="D153" s="156">
        <v>1</v>
      </c>
      <c r="E153" s="156"/>
      <c r="F153" s="156"/>
      <c r="G153" s="212"/>
      <c r="H153" s="156"/>
      <c r="I153" s="156"/>
      <c r="J153" s="178"/>
      <c r="K153" s="209">
        <v>1</v>
      </c>
      <c r="L153" s="191"/>
    </row>
    <row r="154" spans="2:12">
      <c r="B154" s="186" t="s">
        <v>246</v>
      </c>
      <c r="C154" s="187"/>
      <c r="D154" s="143">
        <v>5</v>
      </c>
      <c r="E154" s="143"/>
      <c r="F154" s="173"/>
      <c r="G154" s="143"/>
      <c r="H154" s="143"/>
      <c r="I154" s="143"/>
      <c r="J154" s="143"/>
      <c r="K154" s="206">
        <v>5</v>
      </c>
      <c r="L154" s="188"/>
    </row>
    <row r="155" spans="2:12">
      <c r="B155" s="192" t="s">
        <v>239</v>
      </c>
      <c r="C155" s="193"/>
      <c r="D155" s="151">
        <v>1</v>
      </c>
      <c r="E155" s="151"/>
      <c r="F155" s="176"/>
      <c r="G155" s="151"/>
      <c r="H155" s="151"/>
      <c r="I155" s="151"/>
      <c r="J155" s="151"/>
      <c r="K155" s="213">
        <v>1</v>
      </c>
      <c r="L155" s="194"/>
    </row>
    <row r="156" spans="2:12">
      <c r="B156" s="192" t="s">
        <v>240</v>
      </c>
      <c r="C156" s="193"/>
      <c r="D156" s="151">
        <v>1</v>
      </c>
      <c r="E156" s="151"/>
      <c r="F156" s="176"/>
      <c r="G156" s="151"/>
      <c r="H156" s="151"/>
      <c r="I156" s="151"/>
      <c r="J156" s="151"/>
      <c r="K156" s="213">
        <v>1</v>
      </c>
      <c r="L156" s="194"/>
    </row>
    <row r="157" spans="2:12">
      <c r="B157" s="192" t="s">
        <v>241</v>
      </c>
      <c r="C157" s="193"/>
      <c r="D157" s="151">
        <v>1</v>
      </c>
      <c r="E157" s="151"/>
      <c r="F157" s="176"/>
      <c r="G157" s="151"/>
      <c r="H157" s="151"/>
      <c r="I157" s="151"/>
      <c r="J157" s="151"/>
      <c r="K157" s="213">
        <v>1</v>
      </c>
      <c r="L157" s="194"/>
    </row>
    <row r="158" spans="2:12">
      <c r="B158" s="192" t="s">
        <v>242</v>
      </c>
      <c r="C158" s="193"/>
      <c r="D158" s="151">
        <v>1</v>
      </c>
      <c r="E158" s="151"/>
      <c r="F158" s="176"/>
      <c r="G158" s="151"/>
      <c r="H158" s="151"/>
      <c r="I158" s="151"/>
      <c r="J158" s="151"/>
      <c r="K158" s="213">
        <v>1</v>
      </c>
      <c r="L158" s="194"/>
    </row>
    <row r="159" spans="2:12">
      <c r="B159" s="189" t="s">
        <v>243</v>
      </c>
      <c r="C159" s="190"/>
      <c r="D159" s="156">
        <v>1</v>
      </c>
      <c r="E159" s="156"/>
      <c r="F159" s="178"/>
      <c r="G159" s="156"/>
      <c r="H159" s="156"/>
      <c r="I159" s="156"/>
      <c r="J159" s="156"/>
      <c r="K159" s="207">
        <v>1</v>
      </c>
      <c r="L159" s="191"/>
    </row>
    <row r="160" spans="2:12">
      <c r="B160" s="186" t="s">
        <v>247</v>
      </c>
      <c r="C160" s="187"/>
      <c r="D160" s="143">
        <v>5</v>
      </c>
      <c r="E160" s="143"/>
      <c r="F160" s="143"/>
      <c r="G160" s="214"/>
      <c r="H160" s="143"/>
      <c r="I160" s="143"/>
      <c r="J160" s="173"/>
      <c r="K160" s="208">
        <v>5</v>
      </c>
      <c r="L160" s="188"/>
    </row>
    <row r="161" spans="2:12">
      <c r="B161" s="192" t="s">
        <v>239</v>
      </c>
      <c r="C161" s="193"/>
      <c r="D161" s="151">
        <v>1</v>
      </c>
      <c r="E161" s="151"/>
      <c r="F161" s="151"/>
      <c r="G161" s="211"/>
      <c r="H161" s="151"/>
      <c r="I161" s="151"/>
      <c r="J161" s="176"/>
      <c r="K161" s="210">
        <v>1</v>
      </c>
      <c r="L161" s="194"/>
    </row>
    <row r="162" spans="2:12">
      <c r="B162" s="192" t="s">
        <v>240</v>
      </c>
      <c r="C162" s="193"/>
      <c r="D162" s="151">
        <v>1</v>
      </c>
      <c r="E162" s="151"/>
      <c r="F162" s="151"/>
      <c r="G162" s="211"/>
      <c r="H162" s="151"/>
      <c r="I162" s="151"/>
      <c r="J162" s="176"/>
      <c r="K162" s="210">
        <v>1</v>
      </c>
      <c r="L162" s="194"/>
    </row>
    <row r="163" spans="2:12">
      <c r="B163" s="192" t="s">
        <v>241</v>
      </c>
      <c r="C163" s="193"/>
      <c r="D163" s="151">
        <v>1</v>
      </c>
      <c r="E163" s="151"/>
      <c r="F163" s="151"/>
      <c r="G163" s="211"/>
      <c r="H163" s="151"/>
      <c r="I163" s="151"/>
      <c r="J163" s="176"/>
      <c r="K163" s="210">
        <v>1</v>
      </c>
      <c r="L163" s="194"/>
    </row>
    <row r="164" spans="2:12">
      <c r="B164" s="192" t="s">
        <v>242</v>
      </c>
      <c r="C164" s="193"/>
      <c r="D164" s="151">
        <v>1</v>
      </c>
      <c r="E164" s="151"/>
      <c r="F164" s="151"/>
      <c r="G164" s="211"/>
      <c r="H164" s="151"/>
      <c r="I164" s="151"/>
      <c r="J164" s="176"/>
      <c r="K164" s="210">
        <v>1</v>
      </c>
      <c r="L164" s="194"/>
    </row>
    <row r="165" spans="2:12">
      <c r="B165" s="189" t="s">
        <v>243</v>
      </c>
      <c r="C165" s="190"/>
      <c r="D165" s="156">
        <v>1</v>
      </c>
      <c r="E165" s="156"/>
      <c r="F165" s="156"/>
      <c r="G165" s="212"/>
      <c r="H165" s="156"/>
      <c r="I165" s="156"/>
      <c r="J165" s="178"/>
      <c r="K165" s="209">
        <v>1</v>
      </c>
      <c r="L165" s="191"/>
    </row>
    <row r="166" spans="2:12">
      <c r="B166" s="186" t="s">
        <v>248</v>
      </c>
      <c r="C166" s="187"/>
      <c r="D166" s="143">
        <v>5</v>
      </c>
      <c r="E166" s="143"/>
      <c r="F166" s="173"/>
      <c r="G166" s="143"/>
      <c r="H166" s="143"/>
      <c r="I166" s="143"/>
      <c r="J166" s="143"/>
      <c r="K166" s="206">
        <v>5</v>
      </c>
      <c r="L166" s="188"/>
    </row>
    <row r="167" spans="2:12">
      <c r="B167" s="192" t="s">
        <v>239</v>
      </c>
      <c r="C167" s="193"/>
      <c r="D167" s="151">
        <v>1</v>
      </c>
      <c r="E167" s="151"/>
      <c r="F167" s="176"/>
      <c r="G167" s="151"/>
      <c r="H167" s="151"/>
      <c r="I167" s="151"/>
      <c r="J167" s="151"/>
      <c r="K167" s="213">
        <v>1</v>
      </c>
      <c r="L167" s="194"/>
    </row>
    <row r="168" spans="2:12">
      <c r="B168" s="192" t="s">
        <v>240</v>
      </c>
      <c r="C168" s="193"/>
      <c r="D168" s="151">
        <v>1</v>
      </c>
      <c r="E168" s="151"/>
      <c r="F168" s="176"/>
      <c r="G168" s="151"/>
      <c r="H168" s="151"/>
      <c r="I168" s="151"/>
      <c r="J168" s="151"/>
      <c r="K168" s="213">
        <v>1</v>
      </c>
      <c r="L168" s="194"/>
    </row>
    <row r="169" spans="2:12">
      <c r="B169" s="192" t="s">
        <v>241</v>
      </c>
      <c r="C169" s="193"/>
      <c r="D169" s="151">
        <v>1</v>
      </c>
      <c r="E169" s="151"/>
      <c r="F169" s="176"/>
      <c r="G169" s="151"/>
      <c r="H169" s="151"/>
      <c r="I169" s="151"/>
      <c r="J169" s="151"/>
      <c r="K169" s="213">
        <v>1</v>
      </c>
      <c r="L169" s="194"/>
    </row>
    <row r="170" spans="2:12">
      <c r="B170" s="192" t="s">
        <v>242</v>
      </c>
      <c r="C170" s="193"/>
      <c r="D170" s="151">
        <v>1</v>
      </c>
      <c r="E170" s="151"/>
      <c r="F170" s="176"/>
      <c r="G170" s="151"/>
      <c r="H170" s="151"/>
      <c r="I170" s="151"/>
      <c r="J170" s="151"/>
      <c r="K170" s="213">
        <v>1</v>
      </c>
      <c r="L170" s="194"/>
    </row>
    <row r="171" spans="2:12">
      <c r="B171" s="189" t="s">
        <v>243</v>
      </c>
      <c r="C171" s="190"/>
      <c r="D171" s="156">
        <v>1</v>
      </c>
      <c r="E171" s="156"/>
      <c r="F171" s="178"/>
      <c r="G171" s="156"/>
      <c r="H171" s="156"/>
      <c r="I171" s="156"/>
      <c r="J171" s="156"/>
      <c r="K171" s="207">
        <v>1</v>
      </c>
      <c r="L171" s="191"/>
    </row>
    <row r="172" spans="2:12">
      <c r="B172" s="186" t="s">
        <v>249</v>
      </c>
      <c r="C172" s="187"/>
      <c r="D172" s="143">
        <v>1</v>
      </c>
      <c r="E172" s="143"/>
      <c r="F172" s="143"/>
      <c r="G172" s="214"/>
      <c r="H172" s="143"/>
      <c r="I172" s="143"/>
      <c r="J172" s="173"/>
      <c r="K172" s="208">
        <v>1</v>
      </c>
      <c r="L172" s="188"/>
    </row>
    <row r="173" spans="2:12">
      <c r="B173" s="189" t="s">
        <v>239</v>
      </c>
      <c r="C173" s="190"/>
      <c r="D173" s="156">
        <v>1</v>
      </c>
      <c r="E173" s="156"/>
      <c r="F173" s="156"/>
      <c r="G173" s="212"/>
      <c r="H173" s="156"/>
      <c r="I173" s="156"/>
      <c r="J173" s="178"/>
      <c r="K173" s="209">
        <v>1</v>
      </c>
      <c r="L173" s="191"/>
    </row>
    <row r="174" spans="2:12">
      <c r="B174" s="186" t="s">
        <v>250</v>
      </c>
      <c r="C174" s="187"/>
      <c r="D174" s="143"/>
      <c r="E174" s="143">
        <v>1</v>
      </c>
      <c r="F174" s="173"/>
      <c r="G174" s="143"/>
      <c r="H174" s="143"/>
      <c r="I174" s="143"/>
      <c r="J174" s="143"/>
      <c r="K174" s="206">
        <v>1</v>
      </c>
      <c r="L174" s="188"/>
    </row>
    <row r="175" spans="2:12">
      <c r="B175" s="189" t="s">
        <v>251</v>
      </c>
      <c r="C175" s="190"/>
      <c r="D175" s="156"/>
      <c r="E175" s="156">
        <v>1</v>
      </c>
      <c r="F175" s="178"/>
      <c r="G175" s="156"/>
      <c r="H175" s="156"/>
      <c r="I175" s="156"/>
      <c r="J175" s="156"/>
      <c r="K175" s="207">
        <v>1</v>
      </c>
      <c r="L175" s="191"/>
    </row>
    <row r="176" spans="2:12">
      <c r="B176" s="186" t="s">
        <v>199</v>
      </c>
      <c r="C176" s="187">
        <v>1</v>
      </c>
      <c r="D176" s="143">
        <v>3</v>
      </c>
      <c r="E176" s="143"/>
      <c r="F176" s="143"/>
      <c r="G176" s="142">
        <v>889200</v>
      </c>
      <c r="H176" s="172">
        <v>626400</v>
      </c>
      <c r="I176" s="143"/>
      <c r="J176" s="173"/>
      <c r="K176" s="208">
        <v>4</v>
      </c>
      <c r="L176" s="145">
        <v>1515600</v>
      </c>
    </row>
    <row r="177" spans="2:12">
      <c r="B177" s="189" t="s">
        <v>252</v>
      </c>
      <c r="C177" s="190">
        <v>1</v>
      </c>
      <c r="D177" s="156">
        <v>3</v>
      </c>
      <c r="E177" s="156"/>
      <c r="F177" s="156"/>
      <c r="G177" s="155">
        <v>889200</v>
      </c>
      <c r="H177" s="177">
        <v>626400</v>
      </c>
      <c r="I177" s="156"/>
      <c r="J177" s="178"/>
      <c r="K177" s="209">
        <v>4</v>
      </c>
      <c r="L177" s="158">
        <v>1515600</v>
      </c>
    </row>
    <row r="178" spans="2:12">
      <c r="B178" s="186" t="s">
        <v>253</v>
      </c>
      <c r="C178" s="187"/>
      <c r="D178" s="143">
        <v>1</v>
      </c>
      <c r="E178" s="143"/>
      <c r="F178" s="173"/>
      <c r="G178" s="143"/>
      <c r="H178" s="143"/>
      <c r="I178" s="143"/>
      <c r="J178" s="143"/>
      <c r="K178" s="206">
        <v>1</v>
      </c>
      <c r="L178" s="188"/>
    </row>
    <row r="179" spans="2:12">
      <c r="B179" s="189" t="s">
        <v>240</v>
      </c>
      <c r="C179" s="190"/>
      <c r="D179" s="156">
        <v>1</v>
      </c>
      <c r="E179" s="156"/>
      <c r="F179" s="178"/>
      <c r="G179" s="156"/>
      <c r="H179" s="156"/>
      <c r="I179" s="156"/>
      <c r="J179" s="156"/>
      <c r="K179" s="207">
        <v>1</v>
      </c>
      <c r="L179" s="191"/>
    </row>
    <row r="180" spans="2:12">
      <c r="B180" s="186" t="s">
        <v>200</v>
      </c>
      <c r="C180" s="187">
        <v>1</v>
      </c>
      <c r="D180" s="143">
        <v>1</v>
      </c>
      <c r="E180" s="143"/>
      <c r="F180" s="143"/>
      <c r="G180" s="142">
        <v>979488</v>
      </c>
      <c r="H180" s="172">
        <v>277965</v>
      </c>
      <c r="I180" s="143"/>
      <c r="J180" s="173"/>
      <c r="K180" s="208">
        <v>2</v>
      </c>
      <c r="L180" s="145">
        <v>1257453</v>
      </c>
    </row>
    <row r="181" spans="2:12">
      <c r="B181" s="189" t="s">
        <v>254</v>
      </c>
      <c r="C181" s="190">
        <v>1</v>
      </c>
      <c r="D181" s="156">
        <v>1</v>
      </c>
      <c r="E181" s="156"/>
      <c r="F181" s="156"/>
      <c r="G181" s="155">
        <v>979488</v>
      </c>
      <c r="H181" s="177">
        <v>277965</v>
      </c>
      <c r="I181" s="156"/>
      <c r="J181" s="178"/>
      <c r="K181" s="209">
        <v>2</v>
      </c>
      <c r="L181" s="158">
        <v>1257453</v>
      </c>
    </row>
    <row r="182" spans="2:12">
      <c r="B182" s="186" t="s">
        <v>201</v>
      </c>
      <c r="C182" s="187">
        <v>3</v>
      </c>
      <c r="D182" s="143">
        <v>4</v>
      </c>
      <c r="E182" s="143"/>
      <c r="F182" s="173"/>
      <c r="G182" s="172">
        <v>1643700</v>
      </c>
      <c r="H182" s="172">
        <v>2512200</v>
      </c>
      <c r="I182" s="143"/>
      <c r="J182" s="143"/>
      <c r="K182" s="206">
        <v>7</v>
      </c>
      <c r="L182" s="145">
        <v>4155900</v>
      </c>
    </row>
    <row r="183" spans="2:12">
      <c r="B183" s="189" t="s">
        <v>201</v>
      </c>
      <c r="C183" s="190">
        <v>3</v>
      </c>
      <c r="D183" s="156">
        <v>4</v>
      </c>
      <c r="E183" s="156"/>
      <c r="F183" s="178"/>
      <c r="G183" s="177">
        <v>1643700</v>
      </c>
      <c r="H183" s="177">
        <v>2512200</v>
      </c>
      <c r="I183" s="156"/>
      <c r="J183" s="156"/>
      <c r="K183" s="207">
        <v>7</v>
      </c>
      <c r="L183" s="158">
        <v>4155900</v>
      </c>
    </row>
    <row r="184" spans="2:12">
      <c r="B184" s="186" t="s">
        <v>203</v>
      </c>
      <c r="C184" s="187">
        <v>5</v>
      </c>
      <c r="D184" s="143">
        <v>11</v>
      </c>
      <c r="E184" s="143"/>
      <c r="F184" s="143"/>
      <c r="G184" s="142">
        <v>4122162</v>
      </c>
      <c r="H184" s="172">
        <v>5913530</v>
      </c>
      <c r="I184" s="143"/>
      <c r="J184" s="173"/>
      <c r="K184" s="208">
        <v>16</v>
      </c>
      <c r="L184" s="145">
        <v>10035692</v>
      </c>
    </row>
    <row r="185" spans="2:12">
      <c r="B185" s="192" t="s">
        <v>255</v>
      </c>
      <c r="C185" s="193">
        <v>4</v>
      </c>
      <c r="D185" s="151">
        <v>9</v>
      </c>
      <c r="E185" s="151"/>
      <c r="F185" s="151"/>
      <c r="G185" s="150">
        <v>3045042</v>
      </c>
      <c r="H185" s="154">
        <v>5283710</v>
      </c>
      <c r="I185" s="151"/>
      <c r="J185" s="176"/>
      <c r="K185" s="210">
        <v>13</v>
      </c>
      <c r="L185" s="153">
        <v>8328752</v>
      </c>
    </row>
    <row r="186" spans="2:12">
      <c r="B186" s="192" t="s">
        <v>256</v>
      </c>
      <c r="C186" s="193">
        <v>1</v>
      </c>
      <c r="D186" s="151"/>
      <c r="E186" s="151"/>
      <c r="F186" s="151"/>
      <c r="G186" s="150">
        <v>1077120</v>
      </c>
      <c r="H186" s="151"/>
      <c r="I186" s="151"/>
      <c r="J186" s="176"/>
      <c r="K186" s="210">
        <v>1</v>
      </c>
      <c r="L186" s="153">
        <v>1077120</v>
      </c>
    </row>
    <row r="187" spans="2:12">
      <c r="B187" s="192" t="s">
        <v>257</v>
      </c>
      <c r="C187" s="193"/>
      <c r="D187" s="151">
        <v>1</v>
      </c>
      <c r="E187" s="151"/>
      <c r="F187" s="151"/>
      <c r="G187" s="211"/>
      <c r="H187" s="154">
        <v>374220</v>
      </c>
      <c r="I187" s="151"/>
      <c r="J187" s="176"/>
      <c r="K187" s="210">
        <v>1</v>
      </c>
      <c r="L187" s="153">
        <v>374220</v>
      </c>
    </row>
    <row r="188" spans="2:12">
      <c r="B188" s="189" t="s">
        <v>258</v>
      </c>
      <c r="C188" s="190"/>
      <c r="D188" s="156">
        <v>1</v>
      </c>
      <c r="E188" s="156"/>
      <c r="F188" s="156"/>
      <c r="G188" s="212"/>
      <c r="H188" s="177">
        <v>255600</v>
      </c>
      <c r="I188" s="156"/>
      <c r="J188" s="178"/>
      <c r="K188" s="209">
        <v>1</v>
      </c>
      <c r="L188" s="158">
        <v>255600</v>
      </c>
    </row>
    <row r="189" spans="2:12">
      <c r="B189" s="160" t="s">
        <v>187</v>
      </c>
      <c r="C189" s="215">
        <v>46</v>
      </c>
      <c r="D189" s="216">
        <v>135</v>
      </c>
      <c r="E189" s="216">
        <v>1</v>
      </c>
      <c r="F189" s="217">
        <v>3</v>
      </c>
      <c r="G189" s="161">
        <v>24399215</v>
      </c>
      <c r="H189" s="162">
        <v>23526277</v>
      </c>
      <c r="I189" s="216"/>
      <c r="J189" s="163">
        <v>512358</v>
      </c>
      <c r="K189" s="218">
        <v>185</v>
      </c>
      <c r="L189" s="164">
        <v>48437850</v>
      </c>
    </row>
  </sheetData>
  <conditionalFormatting sqref="L6:L20">
    <cfRule type="cellIs" dxfId="0" priority="2" operator="greaterThan">
      <formula>100000</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3:HG845"/>
  <sheetViews>
    <sheetView showGridLines="0" tabSelected="1" zoomScale="70" zoomScaleNormal="70" workbookViewId="0">
      <pane xSplit="4" topLeftCell="E1" activePane="topRight" state="frozen"/>
      <selection activeCell="A145" sqref="A145"/>
      <selection pane="topRight" activeCell="B1" sqref="B1"/>
    </sheetView>
  </sheetViews>
  <sheetFormatPr defaultColWidth="8.6328125" defaultRowHeight="14.5" outlineLevelCol="1"/>
  <cols>
    <col min="1" max="1" width="4.54296875" customWidth="1"/>
    <col min="2" max="2" width="15.453125" customWidth="1"/>
    <col min="3" max="3" width="13.453125" customWidth="1"/>
    <col min="4" max="4" width="20.453125" customWidth="1"/>
    <col min="5" max="5" width="47.26953125" customWidth="1"/>
    <col min="6" max="7" width="9.453125" customWidth="1"/>
    <col min="8" max="8" width="21.81640625" customWidth="1" outlineLevel="1"/>
    <col min="9" max="9" width="22.7265625" customWidth="1" outlineLevel="1"/>
    <col min="10" max="12" width="9.453125" customWidth="1" outlineLevel="1"/>
    <col min="13" max="13" width="19.26953125" customWidth="1" outlineLevel="1"/>
    <col min="14" max="14" width="35.7265625" customWidth="1" outlineLevel="1"/>
    <col min="15" max="15" width="63.7265625" customWidth="1" outlineLevel="1"/>
    <col min="16" max="16" width="30.54296875" customWidth="1" outlineLevel="1"/>
    <col min="17" max="18" width="15.26953125" style="219" customWidth="1"/>
    <col min="19" max="20" width="16.26953125" style="219" customWidth="1"/>
    <col min="21" max="21" width="43.7265625" style="219" customWidth="1"/>
    <col min="22" max="22" width="16.1796875" style="219" customWidth="1"/>
    <col min="23" max="23" width="21" style="219" customWidth="1"/>
    <col min="24" max="24" width="16.453125" customWidth="1"/>
    <col min="25" max="25" width="15" customWidth="1"/>
    <col min="26" max="26" width="18.54296875" customWidth="1"/>
    <col min="27" max="27" width="9.453125" customWidth="1"/>
    <col min="28" max="171" width="3.54296875" style="219" customWidth="1"/>
    <col min="172" max="172" width="12.54296875" style="219" customWidth="1"/>
    <col min="173" max="202" width="8.54296875" style="220" customWidth="1"/>
    <col min="203" max="213" width="8.7265625" style="220"/>
    <col min="214" max="214" width="13.453125" customWidth="1"/>
  </cols>
  <sheetData>
    <row r="3" spans="1:215" ht="16.5">
      <c r="B3" s="221" t="s">
        <v>232</v>
      </c>
      <c r="C3" s="222">
        <f>SUM(Q10:Q228)</f>
        <v>96875700</v>
      </c>
      <c r="E3" s="223" t="s">
        <v>259</v>
      </c>
      <c r="F3" s="224" t="e">
        <f ca="1">SUMIFS($S$10:$S$146,$X$10:$X$146,E3)/$C$4</f>
        <v>#VALUE!</v>
      </c>
      <c r="G3" s="225"/>
      <c r="AB3" s="226"/>
      <c r="AC3" s="226"/>
      <c r="AD3" s="226"/>
      <c r="AE3" s="226"/>
      <c r="AF3" s="226"/>
      <c r="AG3" s="226"/>
      <c r="AH3" s="226"/>
      <c r="AI3" s="226"/>
      <c r="AJ3" s="226"/>
      <c r="AK3" s="226"/>
      <c r="AL3" s="226"/>
      <c r="AM3" s="226"/>
      <c r="AN3" s="226"/>
      <c r="AO3" s="226"/>
      <c r="AP3" s="226"/>
      <c r="AQ3" s="226"/>
      <c r="AR3" s="226"/>
      <c r="AS3" s="226"/>
      <c r="AT3" s="226"/>
      <c r="AU3" s="226"/>
      <c r="AV3" s="226"/>
      <c r="BB3" s="227" t="s">
        <v>40</v>
      </c>
      <c r="BC3" s="227"/>
      <c r="BD3" s="227"/>
      <c r="BE3" s="227"/>
      <c r="BF3" s="227"/>
      <c r="BG3" s="227"/>
      <c r="BH3" s="227"/>
      <c r="BI3" s="227"/>
      <c r="BJ3" s="227"/>
      <c r="BK3" s="227"/>
      <c r="BL3" s="227"/>
      <c r="BM3" s="227"/>
      <c r="CB3" s="228" t="s">
        <v>41</v>
      </c>
      <c r="CC3" s="229"/>
      <c r="CD3" s="229"/>
      <c r="CE3" s="230"/>
      <c r="CF3" s="228" t="s">
        <v>42</v>
      </c>
      <c r="CG3" s="229"/>
      <c r="CH3" s="229"/>
      <c r="CI3" s="230"/>
      <c r="CJ3" s="228" t="s">
        <v>43</v>
      </c>
      <c r="CK3" s="229"/>
      <c r="CL3" s="229"/>
      <c r="CM3" s="230"/>
      <c r="CN3" s="228" t="s">
        <v>44</v>
      </c>
      <c r="CO3" s="229"/>
      <c r="CP3" s="229"/>
      <c r="CQ3" s="230"/>
      <c r="CR3" s="228" t="s">
        <v>45</v>
      </c>
      <c r="CS3" s="229"/>
      <c r="CT3" s="229"/>
      <c r="CU3" s="230"/>
      <c r="CV3" s="228" t="s">
        <v>46</v>
      </c>
      <c r="CW3" s="229"/>
      <c r="CX3" s="229"/>
      <c r="CY3" s="230"/>
      <c r="CZ3" s="231"/>
      <c r="DA3" s="231"/>
      <c r="DC3" s="232" t="s">
        <v>15</v>
      </c>
      <c r="DD3" s="232"/>
      <c r="DE3" s="232"/>
      <c r="DF3" s="232"/>
      <c r="DG3" s="232"/>
      <c r="DH3" s="232"/>
      <c r="DL3" s="232" t="s">
        <v>16</v>
      </c>
      <c r="DM3" s="232"/>
      <c r="DN3" s="232"/>
      <c r="DO3" s="232"/>
      <c r="DP3" s="232"/>
      <c r="DQ3" s="233"/>
      <c r="DR3" s="233"/>
      <c r="DS3" s="232"/>
      <c r="DW3" s="234" t="s">
        <v>47</v>
      </c>
      <c r="DX3" s="234"/>
      <c r="DY3" s="234"/>
      <c r="DZ3" s="234"/>
      <c r="EA3" s="234"/>
      <c r="EB3" s="234"/>
      <c r="EF3" s="235" t="s">
        <v>30</v>
      </c>
      <c r="EG3" s="235"/>
      <c r="EH3" s="235"/>
      <c r="EI3" s="235"/>
      <c r="EJ3" s="235"/>
      <c r="EK3" s="235"/>
    </row>
    <row r="4" spans="1:215" ht="16.5">
      <c r="B4" s="221" t="s">
        <v>260</v>
      </c>
      <c r="C4" s="236" t="e">
        <f ca="1">SUM(S10:S228)</f>
        <v>#VALUE!</v>
      </c>
      <c r="E4" s="223" t="s">
        <v>261</v>
      </c>
      <c r="F4" s="224" t="e">
        <f ca="1">SUMIFS($S$10:$S$146,$X$10:$X$146,E4)/$C$4</f>
        <v>#VALUE!</v>
      </c>
      <c r="G4" s="225"/>
      <c r="H4" s="237"/>
      <c r="AB4" s="226"/>
      <c r="AC4" s="226"/>
      <c r="AD4" s="226"/>
      <c r="AE4" s="226"/>
      <c r="AF4" s="226"/>
      <c r="AG4" s="226"/>
      <c r="AH4" s="226"/>
      <c r="AI4" s="226"/>
      <c r="AJ4" s="226"/>
      <c r="AK4" s="226"/>
      <c r="AL4" s="226"/>
      <c r="AM4" s="226"/>
      <c r="AN4" s="226"/>
      <c r="AO4" s="226"/>
      <c r="AP4" s="226"/>
      <c r="AQ4" s="226"/>
      <c r="AR4" s="226"/>
      <c r="AS4" s="226"/>
      <c r="AT4" s="226"/>
      <c r="AU4" s="226"/>
      <c r="AV4" s="226"/>
      <c r="BL4" s="238" t="s">
        <v>9</v>
      </c>
      <c r="BM4" s="238"/>
      <c r="BN4" s="239" t="s">
        <v>48</v>
      </c>
      <c r="BO4" s="240"/>
      <c r="BP4" s="240"/>
      <c r="BQ4" s="241"/>
      <c r="BR4" s="241"/>
      <c r="BS4" s="242"/>
      <c r="BT4" s="239" t="s">
        <v>49</v>
      </c>
      <c r="BU4" s="240"/>
      <c r="BV4" s="240"/>
      <c r="BW4" s="242"/>
      <c r="BX4" s="239" t="s">
        <v>50</v>
      </c>
      <c r="BY4" s="240"/>
      <c r="BZ4" s="240"/>
      <c r="CA4" s="242"/>
      <c r="CB4" s="239" t="s">
        <v>51</v>
      </c>
      <c r="CC4" s="240"/>
      <c r="CD4" s="240"/>
      <c r="CE4" s="242"/>
      <c r="CF4" s="239" t="s">
        <v>52</v>
      </c>
      <c r="CG4" s="240"/>
      <c r="CH4" s="240"/>
      <c r="CI4" s="242"/>
      <c r="CZ4" s="243" t="s">
        <v>10</v>
      </c>
      <c r="DA4" s="244"/>
      <c r="DB4" s="244"/>
      <c r="DI4" s="243" t="s">
        <v>11</v>
      </c>
      <c r="DJ4" s="244"/>
      <c r="DK4" s="244"/>
      <c r="DQ4" s="245"/>
      <c r="DR4" s="245"/>
      <c r="DT4" s="243" t="s">
        <v>28</v>
      </c>
      <c r="DU4" s="244"/>
      <c r="DV4" s="244"/>
      <c r="EC4" s="243" t="s">
        <v>12</v>
      </c>
      <c r="ED4" s="244"/>
      <c r="EE4" s="244"/>
      <c r="EL4" s="243" t="s">
        <v>21</v>
      </c>
      <c r="EM4" s="244"/>
      <c r="EN4" s="244"/>
      <c r="EO4" s="246" t="s">
        <v>14</v>
      </c>
      <c r="EP4" s="247"/>
      <c r="EQ4" s="247"/>
      <c r="ER4" s="247"/>
      <c r="ES4" s="247"/>
    </row>
    <row r="5" spans="1:215" ht="14.25" customHeight="1">
      <c r="B5" s="221" t="s">
        <v>262</v>
      </c>
      <c r="C5" s="248" t="e">
        <f ca="1">C3/C4</f>
        <v>#VALUE!</v>
      </c>
      <c r="E5" s="223" t="s">
        <v>263</v>
      </c>
      <c r="F5" s="224" t="e">
        <f ca="1">SUMIFS($S$10:$S$146,$X$10:$X$146,E5)/$C$4</f>
        <v>#VALUE!</v>
      </c>
      <c r="G5" s="225"/>
      <c r="H5" s="237"/>
      <c r="V5" s="249"/>
      <c r="AB5" s="226"/>
      <c r="AC5" s="226"/>
      <c r="AD5" s="226"/>
      <c r="AE5" s="226"/>
      <c r="AF5" s="226"/>
      <c r="AG5" s="226"/>
      <c r="AH5" s="226"/>
      <c r="AI5" s="226"/>
      <c r="AJ5" s="226"/>
      <c r="AK5" s="226"/>
      <c r="AL5" s="226"/>
      <c r="AM5" s="226"/>
      <c r="AN5" s="226"/>
      <c r="AO5" s="226"/>
      <c r="AP5" s="226"/>
      <c r="AQ5" s="226"/>
      <c r="AR5" s="226"/>
      <c r="AS5" s="226"/>
      <c r="AT5" s="226"/>
      <c r="AU5" s="226"/>
      <c r="AV5" s="226"/>
    </row>
    <row r="6" spans="1:215" ht="14.25" customHeight="1">
      <c r="FQ6" s="250" t="s">
        <v>264</v>
      </c>
      <c r="FR6" s="250" t="s">
        <v>265</v>
      </c>
      <c r="FS6" s="250" t="s">
        <v>266</v>
      </c>
      <c r="FT6" s="250" t="s">
        <v>267</v>
      </c>
      <c r="FU6" s="250" t="s">
        <v>268</v>
      </c>
      <c r="FV6" s="251" t="s">
        <v>269</v>
      </c>
      <c r="FW6" s="251" t="s">
        <v>270</v>
      </c>
      <c r="FX6" s="251" t="s">
        <v>271</v>
      </c>
      <c r="FY6" s="251" t="s">
        <v>272</v>
      </c>
      <c r="FZ6" s="251" t="s">
        <v>273</v>
      </c>
      <c r="GA6" s="251" t="s">
        <v>274</v>
      </c>
      <c r="GB6" s="251" t="s">
        <v>275</v>
      </c>
      <c r="GC6" s="251" t="s">
        <v>276</v>
      </c>
      <c r="GD6" s="251" t="s">
        <v>264</v>
      </c>
      <c r="GE6" s="251" t="s">
        <v>265</v>
      </c>
      <c r="GF6" s="251" t="s">
        <v>266</v>
      </c>
      <c r="GG6" s="251" t="s">
        <v>267</v>
      </c>
      <c r="GH6" s="251" t="s">
        <v>268</v>
      </c>
      <c r="GI6" s="252" t="s">
        <v>269</v>
      </c>
      <c r="GJ6" s="252" t="s">
        <v>270</v>
      </c>
      <c r="GK6" s="252" t="s">
        <v>271</v>
      </c>
      <c r="GL6" s="252" t="s">
        <v>272</v>
      </c>
      <c r="GM6" s="252" t="s">
        <v>273</v>
      </c>
      <c r="GN6" s="252" t="s">
        <v>274</v>
      </c>
      <c r="GO6" s="252" t="s">
        <v>275</v>
      </c>
      <c r="GP6" s="252" t="s">
        <v>276</v>
      </c>
      <c r="GQ6" s="252" t="s">
        <v>264</v>
      </c>
      <c r="GR6" s="252" t="s">
        <v>265</v>
      </c>
      <c r="GS6" s="252" t="s">
        <v>266</v>
      </c>
      <c r="GT6" s="252" t="s">
        <v>267</v>
      </c>
      <c r="GU6" s="253" t="s">
        <v>268</v>
      </c>
      <c r="GV6" s="251" t="s">
        <v>269</v>
      </c>
      <c r="GW6" s="251" t="s">
        <v>270</v>
      </c>
      <c r="GX6" s="251" t="s">
        <v>271</v>
      </c>
      <c r="GY6" s="251" t="s">
        <v>272</v>
      </c>
      <c r="GZ6" s="251" t="s">
        <v>273</v>
      </c>
      <c r="HA6" s="251" t="s">
        <v>274</v>
      </c>
      <c r="HB6" s="251" t="s">
        <v>275</v>
      </c>
      <c r="HC6" s="251" t="s">
        <v>276</v>
      </c>
      <c r="HD6" s="251" t="s">
        <v>264</v>
      </c>
      <c r="HE6" s="251" t="s">
        <v>265</v>
      </c>
    </row>
    <row r="7" spans="1:215" s="226" customFormat="1" ht="13">
      <c r="F7" s="254"/>
      <c r="G7" s="254"/>
      <c r="H7" s="254"/>
      <c r="I7" s="254"/>
      <c r="J7" s="254"/>
      <c r="K7" s="254"/>
      <c r="L7" s="254"/>
      <c r="Q7" s="255"/>
      <c r="R7" s="255"/>
      <c r="S7" s="255"/>
      <c r="T7" s="255"/>
      <c r="U7" s="255"/>
      <c r="V7" s="255"/>
      <c r="W7" s="255"/>
      <c r="AB7" s="255" t="s">
        <v>277</v>
      </c>
      <c r="AC7" s="255" t="s">
        <v>277</v>
      </c>
      <c r="AD7" s="255" t="s">
        <v>277</v>
      </c>
      <c r="AE7" s="255" t="s">
        <v>277</v>
      </c>
      <c r="AF7" s="255" t="s">
        <v>277</v>
      </c>
      <c r="AG7" s="255" t="s">
        <v>277</v>
      </c>
      <c r="AH7" s="255" t="s">
        <v>277</v>
      </c>
      <c r="AI7" s="255" t="s">
        <v>277</v>
      </c>
      <c r="AJ7" s="255" t="s">
        <v>277</v>
      </c>
      <c r="AK7" s="255" t="s">
        <v>277</v>
      </c>
      <c r="AL7" s="255" t="s">
        <v>277</v>
      </c>
      <c r="AM7" s="255" t="s">
        <v>277</v>
      </c>
      <c r="AN7" s="255" t="s">
        <v>277</v>
      </c>
      <c r="AO7" s="255" t="s">
        <v>277</v>
      </c>
      <c r="AP7" s="255" t="s">
        <v>277</v>
      </c>
      <c r="AQ7" s="255" t="s">
        <v>277</v>
      </c>
      <c r="AR7" s="255" t="s">
        <v>277</v>
      </c>
      <c r="AS7" s="255" t="s">
        <v>278</v>
      </c>
      <c r="AT7" s="255" t="s">
        <v>278</v>
      </c>
      <c r="AU7" s="255" t="s">
        <v>278</v>
      </c>
      <c r="AV7" s="255" t="s">
        <v>278</v>
      </c>
      <c r="AW7" s="255" t="s">
        <v>278</v>
      </c>
      <c r="AX7" s="255" t="s">
        <v>278</v>
      </c>
      <c r="AY7" s="255" t="s">
        <v>278</v>
      </c>
      <c r="AZ7" s="255" t="s">
        <v>278</v>
      </c>
      <c r="BA7" s="255" t="s">
        <v>278</v>
      </c>
      <c r="BB7" s="255" t="s">
        <v>278</v>
      </c>
      <c r="BC7" s="255" t="s">
        <v>278</v>
      </c>
      <c r="BD7" s="255" t="s">
        <v>278</v>
      </c>
      <c r="BE7" s="255" t="s">
        <v>278</v>
      </c>
      <c r="BF7" s="255" t="s">
        <v>278</v>
      </c>
      <c r="BG7" s="255" t="s">
        <v>278</v>
      </c>
      <c r="BH7" s="255" t="s">
        <v>278</v>
      </c>
      <c r="BI7" s="255" t="s">
        <v>278</v>
      </c>
      <c r="BJ7" s="255" t="s">
        <v>278</v>
      </c>
      <c r="BK7" s="255" t="s">
        <v>278</v>
      </c>
      <c r="BL7" s="255" t="s">
        <v>278</v>
      </c>
      <c r="BM7" s="255" t="s">
        <v>278</v>
      </c>
      <c r="BN7" s="255" t="s">
        <v>278</v>
      </c>
      <c r="BO7" s="255" t="s">
        <v>278</v>
      </c>
      <c r="BP7" s="255" t="s">
        <v>278</v>
      </c>
      <c r="BQ7" s="255" t="s">
        <v>278</v>
      </c>
      <c r="BR7" s="255" t="s">
        <v>278</v>
      </c>
      <c r="BS7" s="255" t="s">
        <v>278</v>
      </c>
      <c r="BT7" s="255" t="s">
        <v>278</v>
      </c>
      <c r="BU7" s="255" t="s">
        <v>278</v>
      </c>
      <c r="BV7" s="255" t="s">
        <v>278</v>
      </c>
      <c r="BW7" s="255" t="s">
        <v>278</v>
      </c>
      <c r="BX7" s="255" t="s">
        <v>278</v>
      </c>
      <c r="BY7" s="255" t="s">
        <v>278</v>
      </c>
      <c r="BZ7" s="255" t="s">
        <v>278</v>
      </c>
      <c r="CA7" s="255" t="s">
        <v>278</v>
      </c>
      <c r="CB7" s="255" t="s">
        <v>278</v>
      </c>
      <c r="CC7" s="255" t="s">
        <v>278</v>
      </c>
      <c r="CD7" s="255" t="s">
        <v>278</v>
      </c>
      <c r="CE7" s="255" t="s">
        <v>278</v>
      </c>
      <c r="CF7" s="255" t="s">
        <v>278</v>
      </c>
      <c r="CG7" s="255" t="s">
        <v>278</v>
      </c>
      <c r="CH7" s="255" t="s">
        <v>278</v>
      </c>
      <c r="CI7" s="255" t="s">
        <v>278</v>
      </c>
      <c r="CJ7" s="255" t="s">
        <v>278</v>
      </c>
      <c r="CK7" s="255" t="s">
        <v>278</v>
      </c>
      <c r="CL7" s="255" t="s">
        <v>278</v>
      </c>
      <c r="CM7" s="255" t="s">
        <v>278</v>
      </c>
      <c r="CN7" s="255" t="s">
        <v>279</v>
      </c>
      <c r="CO7" s="255" t="s">
        <v>279</v>
      </c>
      <c r="CP7" s="255" t="s">
        <v>279</v>
      </c>
      <c r="CQ7" s="255" t="s">
        <v>279</v>
      </c>
      <c r="CR7" s="255" t="s">
        <v>279</v>
      </c>
      <c r="CS7" s="255" t="s">
        <v>279</v>
      </c>
      <c r="CT7" s="255" t="s">
        <v>279</v>
      </c>
      <c r="CU7" s="255" t="s">
        <v>279</v>
      </c>
      <c r="CV7" s="255" t="s">
        <v>279</v>
      </c>
      <c r="CW7" s="255" t="s">
        <v>279</v>
      </c>
      <c r="CX7" s="255" t="s">
        <v>279</v>
      </c>
      <c r="CY7" s="255" t="s">
        <v>279</v>
      </c>
      <c r="CZ7" s="255" t="s">
        <v>279</v>
      </c>
      <c r="DA7" s="255" t="s">
        <v>279</v>
      </c>
      <c r="DB7" s="255" t="s">
        <v>279</v>
      </c>
      <c r="DC7" s="255" t="s">
        <v>279</v>
      </c>
      <c r="DD7" s="255" t="s">
        <v>279</v>
      </c>
      <c r="DE7" s="255" t="s">
        <v>279</v>
      </c>
      <c r="DF7" s="255" t="s">
        <v>279</v>
      </c>
      <c r="DG7" s="255" t="s">
        <v>279</v>
      </c>
      <c r="DH7" s="255" t="s">
        <v>279</v>
      </c>
      <c r="DI7" s="255" t="s">
        <v>279</v>
      </c>
      <c r="DJ7" s="255" t="s">
        <v>279</v>
      </c>
      <c r="DK7" s="255" t="s">
        <v>279</v>
      </c>
      <c r="DL7" s="255" t="s">
        <v>279</v>
      </c>
      <c r="DM7" s="255" t="s">
        <v>279</v>
      </c>
      <c r="DN7" s="255" t="s">
        <v>279</v>
      </c>
      <c r="DO7" s="255" t="s">
        <v>279</v>
      </c>
      <c r="DP7" s="255" t="s">
        <v>279</v>
      </c>
      <c r="DQ7" s="255" t="s">
        <v>279</v>
      </c>
      <c r="DR7" s="255" t="s">
        <v>279</v>
      </c>
      <c r="DS7" s="255" t="s">
        <v>279</v>
      </c>
      <c r="DT7" s="255" t="s">
        <v>279</v>
      </c>
      <c r="DU7" s="255" t="s">
        <v>279</v>
      </c>
      <c r="DV7" s="255" t="s">
        <v>279</v>
      </c>
      <c r="DW7" s="255" t="s">
        <v>279</v>
      </c>
      <c r="DX7" s="255" t="s">
        <v>279</v>
      </c>
      <c r="DY7" s="255" t="s">
        <v>279</v>
      </c>
      <c r="DZ7" s="255" t="s">
        <v>279</v>
      </c>
      <c r="EA7" s="255" t="s">
        <v>279</v>
      </c>
      <c r="EB7" s="255" t="s">
        <v>279</v>
      </c>
      <c r="EC7" s="255" t="s">
        <v>279</v>
      </c>
      <c r="ED7" s="255" t="s">
        <v>279</v>
      </c>
      <c r="EE7" s="255" t="s">
        <v>279</v>
      </c>
      <c r="EF7" s="255" t="s">
        <v>279</v>
      </c>
      <c r="EG7" s="255" t="s">
        <v>279</v>
      </c>
      <c r="EH7" s="255" t="s">
        <v>279</v>
      </c>
      <c r="EI7" s="255" t="s">
        <v>279</v>
      </c>
      <c r="EJ7" s="255" t="s">
        <v>279</v>
      </c>
      <c r="EK7" s="255" t="s">
        <v>279</v>
      </c>
      <c r="EL7" s="255" t="s">
        <v>279</v>
      </c>
      <c r="EM7" s="255" t="s">
        <v>279</v>
      </c>
      <c r="EN7" s="255" t="s">
        <v>280</v>
      </c>
      <c r="EO7" s="255" t="s">
        <v>281</v>
      </c>
      <c r="EP7" s="255" t="s">
        <v>281</v>
      </c>
      <c r="EQ7" s="255" t="s">
        <v>281</v>
      </c>
      <c r="ER7" s="255" t="s">
        <v>281</v>
      </c>
      <c r="ES7" s="255" t="s">
        <v>281</v>
      </c>
      <c r="ET7" s="255" t="s">
        <v>281</v>
      </c>
      <c r="EU7" s="255" t="s">
        <v>281</v>
      </c>
      <c r="EV7" s="255" t="s">
        <v>281</v>
      </c>
      <c r="EW7" s="255" t="s">
        <v>281</v>
      </c>
      <c r="EX7" s="255" t="s">
        <v>281</v>
      </c>
      <c r="EY7" s="255" t="s">
        <v>281</v>
      </c>
      <c r="EZ7" s="255" t="s">
        <v>281</v>
      </c>
      <c r="FA7" s="255" t="s">
        <v>281</v>
      </c>
      <c r="FB7" s="255" t="s">
        <v>281</v>
      </c>
      <c r="FC7" s="255" t="s">
        <v>281</v>
      </c>
      <c r="FD7" s="255" t="s">
        <v>281</v>
      </c>
      <c r="FE7" s="255" t="s">
        <v>281</v>
      </c>
      <c r="FF7" s="255" t="s">
        <v>281</v>
      </c>
      <c r="FG7" s="255" t="s">
        <v>281</v>
      </c>
      <c r="FH7" s="255" t="s">
        <v>281</v>
      </c>
      <c r="FI7" s="255" t="s">
        <v>281</v>
      </c>
      <c r="FJ7" s="255" t="s">
        <v>281</v>
      </c>
      <c r="FK7" s="255" t="s">
        <v>281</v>
      </c>
      <c r="FL7" s="255" t="s">
        <v>281</v>
      </c>
      <c r="FM7" s="255" t="s">
        <v>281</v>
      </c>
      <c r="FN7" s="255" t="s">
        <v>281</v>
      </c>
      <c r="FO7" s="255" t="s">
        <v>281</v>
      </c>
      <c r="FP7" s="256" t="s">
        <v>282</v>
      </c>
      <c r="FQ7" s="257">
        <v>46033</v>
      </c>
      <c r="FR7" s="257">
        <v>46061</v>
      </c>
      <c r="FS7" s="257">
        <v>46089</v>
      </c>
      <c r="FT7" s="257">
        <v>46117</v>
      </c>
      <c r="FU7" s="257">
        <v>46145</v>
      </c>
      <c r="FV7" s="258">
        <v>46173</v>
      </c>
      <c r="FW7" s="258">
        <v>46201</v>
      </c>
      <c r="FX7" s="258">
        <v>46229</v>
      </c>
      <c r="FY7" s="258">
        <v>46257</v>
      </c>
      <c r="FZ7" s="258">
        <v>46285</v>
      </c>
      <c r="GA7" s="258">
        <v>46313</v>
      </c>
      <c r="GB7" s="258">
        <v>46341</v>
      </c>
      <c r="GC7" s="258">
        <v>46369</v>
      </c>
      <c r="GD7" s="258">
        <v>46397</v>
      </c>
      <c r="GE7" s="258">
        <v>46425</v>
      </c>
      <c r="GF7" s="258">
        <v>46453</v>
      </c>
      <c r="GG7" s="258">
        <v>46481</v>
      </c>
      <c r="GH7" s="258">
        <v>46509</v>
      </c>
      <c r="GI7" s="259">
        <v>46537</v>
      </c>
      <c r="GJ7" s="259">
        <v>46565</v>
      </c>
      <c r="GK7" s="259">
        <v>46593</v>
      </c>
      <c r="GL7" s="259">
        <v>46621</v>
      </c>
      <c r="GM7" s="259">
        <v>46649</v>
      </c>
      <c r="GN7" s="259">
        <v>46677</v>
      </c>
      <c r="GO7" s="259">
        <v>46705</v>
      </c>
      <c r="GP7" s="259">
        <v>46733</v>
      </c>
      <c r="GQ7" s="260"/>
      <c r="GR7" s="260"/>
      <c r="GS7" s="260"/>
      <c r="GT7" s="260"/>
      <c r="GU7" s="260"/>
      <c r="GV7" s="258"/>
      <c r="GW7" s="258"/>
      <c r="GX7" s="258"/>
      <c r="GY7" s="258"/>
      <c r="GZ7" s="258"/>
      <c r="HA7" s="258"/>
      <c r="HB7" s="258"/>
      <c r="HC7" s="258"/>
      <c r="HD7" s="258"/>
      <c r="HE7" s="258"/>
    </row>
    <row r="8" spans="1:215" s="226" customFormat="1" ht="13">
      <c r="C8" s="261"/>
      <c r="D8" s="261"/>
      <c r="E8" s="261"/>
      <c r="F8" s="262"/>
      <c r="G8" s="262"/>
      <c r="H8" s="262"/>
      <c r="I8" s="262"/>
      <c r="J8" s="262"/>
      <c r="K8" s="262"/>
      <c r="L8" s="262"/>
      <c r="M8" s="261"/>
      <c r="N8" s="261"/>
      <c r="O8" s="261"/>
      <c r="P8" s="261"/>
      <c r="Q8" s="263">
        <f>SUBTOTAL(9,Q10:Q228)</f>
        <v>96875700</v>
      </c>
      <c r="R8" s="263"/>
      <c r="S8" s="264" t="e">
        <f ca="1">SUBTOTAL(9,S10:S228)</f>
        <v>#VALUE!</v>
      </c>
      <c r="T8" s="264"/>
      <c r="U8" s="262"/>
      <c r="V8" s="262"/>
      <c r="W8" s="262"/>
      <c r="X8" s="501" t="s">
        <v>283</v>
      </c>
      <c r="Y8" s="501"/>
      <c r="Z8" s="501"/>
      <c r="AA8" s="501"/>
      <c r="AB8" s="256" t="s">
        <v>284</v>
      </c>
      <c r="AC8" s="265" t="s">
        <v>285</v>
      </c>
      <c r="AD8" s="265" t="s">
        <v>285</v>
      </c>
      <c r="AE8" s="265" t="s">
        <v>285</v>
      </c>
      <c r="AF8" s="265" t="s">
        <v>285</v>
      </c>
      <c r="AG8" s="266" t="s">
        <v>286</v>
      </c>
      <c r="AH8" s="266" t="s">
        <v>286</v>
      </c>
      <c r="AI8" s="266" t="s">
        <v>286</v>
      </c>
      <c r="AJ8" s="266" t="s">
        <v>286</v>
      </c>
      <c r="AK8" s="266" t="s">
        <v>287</v>
      </c>
      <c r="AL8" s="266" t="s">
        <v>287</v>
      </c>
      <c r="AM8" s="266" t="s">
        <v>287</v>
      </c>
      <c r="AN8" s="266" t="s">
        <v>287</v>
      </c>
      <c r="AO8" s="266" t="s">
        <v>288</v>
      </c>
      <c r="AP8" s="266" t="s">
        <v>288</v>
      </c>
      <c r="AQ8" s="266" t="s">
        <v>288</v>
      </c>
      <c r="AR8" s="266" t="s">
        <v>288</v>
      </c>
      <c r="AS8" s="266" t="s">
        <v>289</v>
      </c>
      <c r="AT8" s="266" t="s">
        <v>289</v>
      </c>
      <c r="AU8" s="266" t="s">
        <v>290</v>
      </c>
      <c r="AV8" s="266" t="s">
        <v>291</v>
      </c>
      <c r="AW8" s="266" t="s">
        <v>291</v>
      </c>
      <c r="AX8" s="266" t="s">
        <v>291</v>
      </c>
      <c r="AY8" s="266" t="s">
        <v>291</v>
      </c>
      <c r="AZ8" s="266" t="s">
        <v>292</v>
      </c>
      <c r="BA8" s="266" t="s">
        <v>292</v>
      </c>
      <c r="BB8" s="266" t="s">
        <v>292</v>
      </c>
      <c r="BC8" s="266" t="s">
        <v>292</v>
      </c>
      <c r="BD8" s="266" t="s">
        <v>293</v>
      </c>
      <c r="BE8" s="266" t="s">
        <v>293</v>
      </c>
      <c r="BF8" s="266" t="s">
        <v>293</v>
      </c>
      <c r="BG8" s="266" t="s">
        <v>293</v>
      </c>
      <c r="BH8" s="266" t="s">
        <v>294</v>
      </c>
      <c r="BI8" s="266" t="s">
        <v>294</v>
      </c>
      <c r="BJ8" s="266" t="s">
        <v>294</v>
      </c>
      <c r="BK8" s="266" t="s">
        <v>294</v>
      </c>
      <c r="BL8" s="266" t="s">
        <v>295</v>
      </c>
      <c r="BM8" s="266" t="s">
        <v>295</v>
      </c>
      <c r="BN8" s="266" t="s">
        <v>295</v>
      </c>
      <c r="BO8" s="266" t="s">
        <v>295</v>
      </c>
      <c r="BP8" s="266" t="s">
        <v>296</v>
      </c>
      <c r="BQ8" s="266" t="s">
        <v>296</v>
      </c>
      <c r="BR8" s="266" t="s">
        <v>296</v>
      </c>
      <c r="BS8" s="266" t="s">
        <v>296</v>
      </c>
      <c r="BT8" s="266" t="s">
        <v>297</v>
      </c>
      <c r="BU8" s="266" t="s">
        <v>297</v>
      </c>
      <c r="BV8" s="266" t="s">
        <v>297</v>
      </c>
      <c r="BW8" s="266" t="s">
        <v>297</v>
      </c>
      <c r="BX8" s="266" t="s">
        <v>298</v>
      </c>
      <c r="BY8" s="266" t="s">
        <v>298</v>
      </c>
      <c r="BZ8" s="266" t="s">
        <v>298</v>
      </c>
      <c r="CA8" s="266" t="s">
        <v>298</v>
      </c>
      <c r="CB8" s="266" t="s">
        <v>299</v>
      </c>
      <c r="CC8" s="266" t="s">
        <v>299</v>
      </c>
      <c r="CD8" s="266" t="s">
        <v>299</v>
      </c>
      <c r="CE8" s="266" t="s">
        <v>299</v>
      </c>
      <c r="CF8" s="266" t="s">
        <v>300</v>
      </c>
      <c r="CG8" s="266" t="s">
        <v>300</v>
      </c>
      <c r="CH8" s="266" t="s">
        <v>300</v>
      </c>
      <c r="CI8" s="266" t="s">
        <v>300</v>
      </c>
      <c r="CJ8" s="266" t="s">
        <v>301</v>
      </c>
      <c r="CK8" s="266" t="s">
        <v>301</v>
      </c>
      <c r="CL8" s="266" t="s">
        <v>301</v>
      </c>
      <c r="CM8" s="266" t="s">
        <v>301</v>
      </c>
      <c r="CN8" s="266" t="s">
        <v>302</v>
      </c>
      <c r="CO8" s="266" t="s">
        <v>302</v>
      </c>
      <c r="CP8" s="266" t="s">
        <v>302</v>
      </c>
      <c r="CQ8" s="266" t="s">
        <v>302</v>
      </c>
      <c r="CR8" s="266" t="s">
        <v>303</v>
      </c>
      <c r="CS8" s="266" t="s">
        <v>303</v>
      </c>
      <c r="CT8" s="266" t="s">
        <v>303</v>
      </c>
      <c r="CU8" s="266" t="s">
        <v>303</v>
      </c>
      <c r="CV8" s="266" t="s">
        <v>304</v>
      </c>
      <c r="CW8" s="266" t="s">
        <v>304</v>
      </c>
      <c r="CX8" s="266" t="s">
        <v>304</v>
      </c>
      <c r="CY8" s="266" t="s">
        <v>304</v>
      </c>
      <c r="CZ8" s="266" t="s">
        <v>305</v>
      </c>
      <c r="DA8" s="266" t="s">
        <v>305</v>
      </c>
      <c r="DB8" s="266" t="s">
        <v>305</v>
      </c>
      <c r="DC8" s="266" t="s">
        <v>305</v>
      </c>
      <c r="DD8" s="266" t="s">
        <v>306</v>
      </c>
      <c r="DE8" s="266" t="s">
        <v>306</v>
      </c>
      <c r="DF8" s="266" t="s">
        <v>306</v>
      </c>
      <c r="DG8" s="266" t="s">
        <v>306</v>
      </c>
      <c r="DH8" s="266" t="s">
        <v>307</v>
      </c>
      <c r="DI8" s="266" t="s">
        <v>307</v>
      </c>
      <c r="DJ8" s="266" t="s">
        <v>307</v>
      </c>
      <c r="DK8" s="266" t="s">
        <v>307</v>
      </c>
      <c r="DL8" s="266" t="s">
        <v>308</v>
      </c>
      <c r="DM8" s="266" t="s">
        <v>308</v>
      </c>
      <c r="DN8" s="266" t="s">
        <v>308</v>
      </c>
      <c r="DO8" s="266" t="s">
        <v>308</v>
      </c>
      <c r="DP8" s="266" t="s">
        <v>309</v>
      </c>
      <c r="DQ8" s="266" t="s">
        <v>309</v>
      </c>
      <c r="DR8" s="266" t="s">
        <v>309</v>
      </c>
      <c r="DS8" s="266" t="s">
        <v>309</v>
      </c>
      <c r="DT8" s="266" t="s">
        <v>310</v>
      </c>
      <c r="DU8" s="266" t="s">
        <v>310</v>
      </c>
      <c r="DV8" s="266" t="s">
        <v>310</v>
      </c>
      <c r="DW8" s="266" t="s">
        <v>310</v>
      </c>
      <c r="DX8" s="266" t="s">
        <v>311</v>
      </c>
      <c r="DY8" s="266" t="s">
        <v>311</v>
      </c>
      <c r="DZ8" s="266" t="s">
        <v>311</v>
      </c>
      <c r="EA8" s="266" t="s">
        <v>311</v>
      </c>
      <c r="EB8" s="266" t="s">
        <v>312</v>
      </c>
      <c r="EC8" s="266" t="s">
        <v>312</v>
      </c>
      <c r="ED8" s="266" t="s">
        <v>312</v>
      </c>
      <c r="EE8" s="266" t="s">
        <v>312</v>
      </c>
      <c r="EF8" s="266" t="s">
        <v>313</v>
      </c>
      <c r="EG8" s="266" t="s">
        <v>313</v>
      </c>
      <c r="EH8" s="266" t="s">
        <v>313</v>
      </c>
      <c r="EI8" s="266" t="s">
        <v>313</v>
      </c>
      <c r="EJ8" s="266" t="s">
        <v>314</v>
      </c>
      <c r="EK8" s="266" t="s">
        <v>314</v>
      </c>
      <c r="EL8" s="266" t="s">
        <v>314</v>
      </c>
      <c r="EM8" s="266" t="s">
        <v>314</v>
      </c>
      <c r="EN8" s="266" t="s">
        <v>280</v>
      </c>
      <c r="EO8" s="266" t="s">
        <v>280</v>
      </c>
      <c r="EP8" s="266" t="s">
        <v>280</v>
      </c>
      <c r="EQ8" s="266" t="s">
        <v>280</v>
      </c>
      <c r="ER8" s="266" t="s">
        <v>315</v>
      </c>
      <c r="ES8" s="266" t="s">
        <v>315</v>
      </c>
      <c r="ET8" s="266" t="s">
        <v>315</v>
      </c>
      <c r="EU8" s="266" t="s">
        <v>315</v>
      </c>
      <c r="EV8" s="266" t="s">
        <v>316</v>
      </c>
      <c r="EW8" s="266" t="s">
        <v>316</v>
      </c>
      <c r="EX8" s="266" t="s">
        <v>316</v>
      </c>
      <c r="EY8" s="266" t="s">
        <v>316</v>
      </c>
      <c r="EZ8" s="266" t="s">
        <v>317</v>
      </c>
      <c r="FA8" s="266" t="s">
        <v>317</v>
      </c>
      <c r="FB8" s="266" t="s">
        <v>317</v>
      </c>
      <c r="FC8" s="266" t="s">
        <v>317</v>
      </c>
      <c r="FD8" s="266" t="s">
        <v>318</v>
      </c>
      <c r="FE8" s="266" t="s">
        <v>318</v>
      </c>
      <c r="FF8" s="266" t="s">
        <v>318</v>
      </c>
      <c r="FG8" s="266" t="s">
        <v>318</v>
      </c>
      <c r="FH8" s="266" t="s">
        <v>319</v>
      </c>
      <c r="FI8" s="266" t="s">
        <v>319</v>
      </c>
      <c r="FJ8" s="266" t="s">
        <v>319</v>
      </c>
      <c r="FK8" s="266" t="s">
        <v>319</v>
      </c>
      <c r="FL8" s="266" t="s">
        <v>320</v>
      </c>
      <c r="FM8" s="266" t="s">
        <v>320</v>
      </c>
      <c r="FN8" s="266" t="s">
        <v>320</v>
      </c>
      <c r="FO8" s="266" t="s">
        <v>320</v>
      </c>
      <c r="FP8" s="267" t="s">
        <v>321</v>
      </c>
      <c r="FQ8" s="257">
        <v>46060</v>
      </c>
      <c r="FR8" s="257">
        <v>46088</v>
      </c>
      <c r="FS8" s="257">
        <v>46116</v>
      </c>
      <c r="FT8" s="257">
        <v>46144</v>
      </c>
      <c r="FU8" s="257">
        <v>46172</v>
      </c>
      <c r="FV8" s="258">
        <v>46200</v>
      </c>
      <c r="FW8" s="258">
        <v>46228</v>
      </c>
      <c r="FX8" s="258">
        <v>46256</v>
      </c>
      <c r="FY8" s="258">
        <v>46284</v>
      </c>
      <c r="FZ8" s="258">
        <v>46312</v>
      </c>
      <c r="GA8" s="258">
        <v>46340</v>
      </c>
      <c r="GB8" s="258">
        <v>46368</v>
      </c>
      <c r="GC8" s="258">
        <v>46396</v>
      </c>
      <c r="GD8" s="258">
        <v>46424</v>
      </c>
      <c r="GE8" s="258">
        <v>46452</v>
      </c>
      <c r="GF8" s="258">
        <v>46480</v>
      </c>
      <c r="GG8" s="258">
        <v>46508</v>
      </c>
      <c r="GH8" s="258">
        <v>46536</v>
      </c>
      <c r="GI8" s="259">
        <v>46564</v>
      </c>
      <c r="GJ8" s="259">
        <v>46592</v>
      </c>
      <c r="GK8" s="259">
        <v>46620</v>
      </c>
      <c r="GL8" s="259">
        <v>46648</v>
      </c>
      <c r="GM8" s="259">
        <v>46676</v>
      </c>
      <c r="GN8" s="259">
        <v>46704</v>
      </c>
      <c r="GO8" s="259">
        <v>46732</v>
      </c>
      <c r="GP8" s="259">
        <v>46760</v>
      </c>
      <c r="GQ8" s="268"/>
      <c r="GR8" s="268"/>
      <c r="GS8" s="268"/>
      <c r="GT8" s="268"/>
      <c r="GU8" s="269"/>
      <c r="GV8" s="258"/>
      <c r="GW8" s="258"/>
      <c r="GX8" s="258"/>
      <c r="GY8" s="258"/>
      <c r="GZ8" s="258"/>
      <c r="HA8" s="258"/>
      <c r="HB8" s="258"/>
      <c r="HC8" s="258"/>
      <c r="HD8" s="258"/>
      <c r="HE8" s="258"/>
      <c r="HF8" s="270" t="e">
        <f ca="1">SUM(HF10:HF175)</f>
        <v>#VALUE!</v>
      </c>
      <c r="HG8" s="271" t="e">
        <f ca="1">SUM(HG10:HG175)</f>
        <v>#VALUE!</v>
      </c>
    </row>
    <row r="9" spans="1:215" s="290" customFormat="1" ht="66" customHeight="1">
      <c r="A9" s="272"/>
      <c r="B9" s="273" t="s">
        <v>322</v>
      </c>
      <c r="C9" s="273" t="s">
        <v>183</v>
      </c>
      <c r="D9" s="273" t="s">
        <v>323</v>
      </c>
      <c r="E9" s="273" t="s">
        <v>324</v>
      </c>
      <c r="F9" s="273" t="s">
        <v>182</v>
      </c>
      <c r="G9" s="274" t="s">
        <v>325</v>
      </c>
      <c r="H9" s="274" t="s">
        <v>326</v>
      </c>
      <c r="I9" s="274" t="s">
        <v>327</v>
      </c>
      <c r="J9" s="274" t="s">
        <v>206</v>
      </c>
      <c r="K9" s="274" t="s">
        <v>328</v>
      </c>
      <c r="L9" s="274" t="s">
        <v>329</v>
      </c>
      <c r="M9" s="274" t="s">
        <v>330</v>
      </c>
      <c r="N9" s="275" t="s">
        <v>331</v>
      </c>
      <c r="O9" s="275" t="s">
        <v>332</v>
      </c>
      <c r="P9" s="275" t="s">
        <v>333</v>
      </c>
      <c r="Q9" s="276" t="s">
        <v>234</v>
      </c>
      <c r="R9" s="275" t="s">
        <v>334</v>
      </c>
      <c r="S9" s="277" t="s">
        <v>335</v>
      </c>
      <c r="T9" s="277" t="s">
        <v>336</v>
      </c>
      <c r="U9" s="275" t="s">
        <v>337</v>
      </c>
      <c r="V9" s="275" t="s">
        <v>338</v>
      </c>
      <c r="W9" s="275" t="s">
        <v>339</v>
      </c>
      <c r="X9" s="278" t="s">
        <v>340</v>
      </c>
      <c r="Y9" s="279" t="s">
        <v>250</v>
      </c>
      <c r="Z9" s="278" t="s">
        <v>341</v>
      </c>
      <c r="AA9" s="280" t="s">
        <v>342</v>
      </c>
      <c r="AB9" s="281" t="s">
        <v>343</v>
      </c>
      <c r="AC9" s="282">
        <v>46090</v>
      </c>
      <c r="AD9" s="283">
        <v>46097</v>
      </c>
      <c r="AE9" s="283">
        <v>46104</v>
      </c>
      <c r="AF9" s="283">
        <v>46111</v>
      </c>
      <c r="AG9" s="283">
        <v>46118</v>
      </c>
      <c r="AH9" s="283">
        <v>46125</v>
      </c>
      <c r="AI9" s="283">
        <v>46132</v>
      </c>
      <c r="AJ9" s="283">
        <v>46139</v>
      </c>
      <c r="AK9" s="283">
        <v>46146</v>
      </c>
      <c r="AL9" s="283">
        <v>46153</v>
      </c>
      <c r="AM9" s="283">
        <v>46160</v>
      </c>
      <c r="AN9" s="283">
        <v>46167</v>
      </c>
      <c r="AO9" s="283">
        <v>46174</v>
      </c>
      <c r="AP9" s="283">
        <v>46181</v>
      </c>
      <c r="AQ9" s="283">
        <v>46188</v>
      </c>
      <c r="AR9" s="283">
        <v>46195</v>
      </c>
      <c r="AS9" s="283">
        <v>46202</v>
      </c>
      <c r="AT9" s="283">
        <v>46209</v>
      </c>
      <c r="AU9" s="283">
        <v>46216</v>
      </c>
      <c r="AV9" s="283">
        <v>46223</v>
      </c>
      <c r="AW9" s="283">
        <v>46230</v>
      </c>
      <c r="AX9" s="283">
        <v>46237</v>
      </c>
      <c r="AY9" s="283">
        <v>46244</v>
      </c>
      <c r="AZ9" s="283">
        <v>46251</v>
      </c>
      <c r="BA9" s="283">
        <v>46258</v>
      </c>
      <c r="BB9" s="283">
        <v>46265</v>
      </c>
      <c r="BC9" s="283">
        <v>46272</v>
      </c>
      <c r="BD9" s="283">
        <v>46279</v>
      </c>
      <c r="BE9" s="283">
        <v>46286</v>
      </c>
      <c r="BF9" s="283">
        <v>46293</v>
      </c>
      <c r="BG9" s="283">
        <v>46300</v>
      </c>
      <c r="BH9" s="283">
        <v>46307</v>
      </c>
      <c r="BI9" s="283">
        <v>46314</v>
      </c>
      <c r="BJ9" s="283">
        <v>46321</v>
      </c>
      <c r="BK9" s="283">
        <v>46328</v>
      </c>
      <c r="BL9" s="283">
        <v>46335</v>
      </c>
      <c r="BM9" s="283">
        <v>46342</v>
      </c>
      <c r="BN9" s="283">
        <v>46349</v>
      </c>
      <c r="BO9" s="283">
        <v>46356</v>
      </c>
      <c r="BP9" s="283">
        <v>46363</v>
      </c>
      <c r="BQ9" s="283">
        <v>46370</v>
      </c>
      <c r="BR9" s="284">
        <v>46377</v>
      </c>
      <c r="BS9" s="284">
        <v>46384</v>
      </c>
      <c r="BT9" s="283">
        <v>46391</v>
      </c>
      <c r="BU9" s="283">
        <v>46398</v>
      </c>
      <c r="BV9" s="283">
        <v>46405</v>
      </c>
      <c r="BW9" s="283">
        <v>46412</v>
      </c>
      <c r="BX9" s="283">
        <v>46419</v>
      </c>
      <c r="BY9" s="283">
        <v>46426</v>
      </c>
      <c r="BZ9" s="283">
        <v>46433</v>
      </c>
      <c r="CA9" s="283">
        <v>46440</v>
      </c>
      <c r="CB9" s="283">
        <v>46447</v>
      </c>
      <c r="CC9" s="283">
        <v>46454</v>
      </c>
      <c r="CD9" s="283">
        <v>46461</v>
      </c>
      <c r="CE9" s="283">
        <v>46468</v>
      </c>
      <c r="CF9" s="283">
        <v>46475</v>
      </c>
      <c r="CG9" s="283">
        <v>46482</v>
      </c>
      <c r="CH9" s="283">
        <v>46489</v>
      </c>
      <c r="CI9" s="283">
        <v>46496</v>
      </c>
      <c r="CJ9" s="283">
        <v>46503</v>
      </c>
      <c r="CK9" s="283">
        <v>46510</v>
      </c>
      <c r="CL9" s="283">
        <v>46517</v>
      </c>
      <c r="CM9" s="283">
        <v>46524</v>
      </c>
      <c r="CN9" s="283">
        <v>46531</v>
      </c>
      <c r="CO9" s="283">
        <v>46538</v>
      </c>
      <c r="CP9" s="283">
        <v>46545</v>
      </c>
      <c r="CQ9" s="283">
        <v>46552</v>
      </c>
      <c r="CR9" s="283">
        <v>46559</v>
      </c>
      <c r="CS9" s="283">
        <v>46566</v>
      </c>
      <c r="CT9" s="283">
        <v>46573</v>
      </c>
      <c r="CU9" s="283">
        <v>46580</v>
      </c>
      <c r="CV9" s="283">
        <v>46587</v>
      </c>
      <c r="CW9" s="283">
        <v>46594</v>
      </c>
      <c r="CX9" s="283">
        <v>46601</v>
      </c>
      <c r="CY9" s="283">
        <v>46608</v>
      </c>
      <c r="CZ9" s="283">
        <v>46615</v>
      </c>
      <c r="DA9" s="283">
        <v>46622</v>
      </c>
      <c r="DB9" s="283">
        <v>46629</v>
      </c>
      <c r="DC9" s="283">
        <v>46636</v>
      </c>
      <c r="DD9" s="283">
        <v>46643</v>
      </c>
      <c r="DE9" s="283">
        <v>46650</v>
      </c>
      <c r="DF9" s="283">
        <v>46657</v>
      </c>
      <c r="DG9" s="283">
        <v>46664</v>
      </c>
      <c r="DH9" s="283">
        <v>46671</v>
      </c>
      <c r="DI9" s="283">
        <v>46678</v>
      </c>
      <c r="DJ9" s="283">
        <v>46685</v>
      </c>
      <c r="DK9" s="283">
        <v>46692</v>
      </c>
      <c r="DL9" s="283">
        <v>46699</v>
      </c>
      <c r="DM9" s="283">
        <v>46706</v>
      </c>
      <c r="DN9" s="283">
        <v>46713</v>
      </c>
      <c r="DO9" s="283">
        <v>46720</v>
      </c>
      <c r="DP9" s="283">
        <v>46727</v>
      </c>
      <c r="DQ9" s="283">
        <v>46734</v>
      </c>
      <c r="DR9" s="284">
        <v>46741</v>
      </c>
      <c r="DS9" s="284">
        <v>46748</v>
      </c>
      <c r="DT9" s="283">
        <v>46755</v>
      </c>
      <c r="DU9" s="283">
        <v>46762</v>
      </c>
      <c r="DV9" s="283">
        <v>46769</v>
      </c>
      <c r="DW9" s="283">
        <v>46776</v>
      </c>
      <c r="DX9" s="283">
        <v>46783</v>
      </c>
      <c r="DY9" s="283">
        <v>46790</v>
      </c>
      <c r="DZ9" s="283">
        <v>46797</v>
      </c>
      <c r="EA9" s="283">
        <v>46804</v>
      </c>
      <c r="EB9" s="283">
        <v>46811</v>
      </c>
      <c r="EC9" s="283">
        <v>46818</v>
      </c>
      <c r="ED9" s="283">
        <v>46825</v>
      </c>
      <c r="EE9" s="283">
        <v>46832</v>
      </c>
      <c r="EF9" s="283">
        <v>46839</v>
      </c>
      <c r="EG9" s="283">
        <v>46846</v>
      </c>
      <c r="EH9" s="283">
        <v>46853</v>
      </c>
      <c r="EI9" s="283">
        <v>46860</v>
      </c>
      <c r="EJ9" s="283">
        <v>46867</v>
      </c>
      <c r="EK9" s="283">
        <v>46874</v>
      </c>
      <c r="EL9" s="283">
        <v>46881</v>
      </c>
      <c r="EM9" s="283">
        <v>46888</v>
      </c>
      <c r="EN9" s="283">
        <v>46895</v>
      </c>
      <c r="EO9" s="283">
        <v>46902</v>
      </c>
      <c r="EP9" s="283">
        <v>46909</v>
      </c>
      <c r="EQ9" s="283">
        <v>46916</v>
      </c>
      <c r="ER9" s="283">
        <v>46923</v>
      </c>
      <c r="ES9" s="283">
        <v>46930</v>
      </c>
      <c r="ET9" s="283">
        <v>46937</v>
      </c>
      <c r="EU9" s="283">
        <v>46944</v>
      </c>
      <c r="EV9" s="283">
        <v>46951</v>
      </c>
      <c r="EW9" s="283">
        <v>46958</v>
      </c>
      <c r="EX9" s="283">
        <v>46965</v>
      </c>
      <c r="EY9" s="283">
        <v>46972</v>
      </c>
      <c r="EZ9" s="283">
        <v>46979</v>
      </c>
      <c r="FA9" s="283">
        <v>46986</v>
      </c>
      <c r="FB9" s="283">
        <v>46993</v>
      </c>
      <c r="FC9" s="283">
        <v>47000</v>
      </c>
      <c r="FD9" s="283">
        <v>47007</v>
      </c>
      <c r="FE9" s="283">
        <v>47014</v>
      </c>
      <c r="FF9" s="283">
        <v>47021</v>
      </c>
      <c r="FG9" s="283">
        <v>47028</v>
      </c>
      <c r="FH9" s="283">
        <v>47035</v>
      </c>
      <c r="FI9" s="283">
        <v>47042</v>
      </c>
      <c r="FJ9" s="283">
        <v>47049</v>
      </c>
      <c r="FK9" s="283">
        <v>47056</v>
      </c>
      <c r="FL9" s="283">
        <v>47063</v>
      </c>
      <c r="FM9" s="283">
        <v>47070</v>
      </c>
      <c r="FN9" s="283">
        <v>47077</v>
      </c>
      <c r="FO9" s="283">
        <v>47084</v>
      </c>
      <c r="FP9" s="283">
        <v>47091</v>
      </c>
      <c r="FQ9" s="285" t="s">
        <v>292</v>
      </c>
      <c r="FR9" s="285" t="s">
        <v>293</v>
      </c>
      <c r="FS9" s="285" t="s">
        <v>294</v>
      </c>
      <c r="FT9" s="285" t="s">
        <v>295</v>
      </c>
      <c r="FU9" s="285" t="s">
        <v>296</v>
      </c>
      <c r="FV9" s="285" t="s">
        <v>297</v>
      </c>
      <c r="FW9" s="285" t="s">
        <v>298</v>
      </c>
      <c r="FX9" s="285" t="s">
        <v>299</v>
      </c>
      <c r="FY9" s="285" t="s">
        <v>300</v>
      </c>
      <c r="FZ9" s="285" t="s">
        <v>301</v>
      </c>
      <c r="GA9" s="252" t="s">
        <v>302</v>
      </c>
      <c r="GB9" s="252" t="s">
        <v>303</v>
      </c>
      <c r="GC9" s="252" t="s">
        <v>304</v>
      </c>
      <c r="GD9" s="252" t="s">
        <v>305</v>
      </c>
      <c r="GE9" s="252" t="s">
        <v>306</v>
      </c>
      <c r="GF9" s="252" t="s">
        <v>307</v>
      </c>
      <c r="GG9" s="252" t="s">
        <v>308</v>
      </c>
      <c r="GH9" s="252" t="s">
        <v>309</v>
      </c>
      <c r="GI9" s="252" t="s">
        <v>310</v>
      </c>
      <c r="GJ9" s="252" t="s">
        <v>311</v>
      </c>
      <c r="GK9" s="252" t="s">
        <v>312</v>
      </c>
      <c r="GL9" s="252" t="s">
        <v>313</v>
      </c>
      <c r="GM9" s="252" t="s">
        <v>314</v>
      </c>
      <c r="GN9" s="251" t="s">
        <v>280</v>
      </c>
      <c r="GO9" s="251" t="s">
        <v>315</v>
      </c>
      <c r="GP9" s="286" t="s">
        <v>309</v>
      </c>
      <c r="GQ9" s="286" t="s">
        <v>310</v>
      </c>
      <c r="GR9" s="286" t="s">
        <v>311</v>
      </c>
      <c r="GS9" s="286" t="s">
        <v>312</v>
      </c>
      <c r="GT9" s="286" t="s">
        <v>313</v>
      </c>
      <c r="GU9" s="287" t="s">
        <v>314</v>
      </c>
      <c r="GV9" s="288" t="s">
        <v>280</v>
      </c>
      <c r="GW9" s="288" t="s">
        <v>315</v>
      </c>
      <c r="GX9" s="288" t="s">
        <v>316</v>
      </c>
      <c r="GY9" s="288" t="s">
        <v>317</v>
      </c>
      <c r="GZ9" s="288" t="s">
        <v>318</v>
      </c>
      <c r="HA9" s="288" t="s">
        <v>319</v>
      </c>
      <c r="HB9" s="288" t="s">
        <v>320</v>
      </c>
      <c r="HC9" s="288" t="s">
        <v>344</v>
      </c>
      <c r="HD9" s="288" t="s">
        <v>345</v>
      </c>
      <c r="HE9" s="288" t="s">
        <v>346</v>
      </c>
      <c r="HF9" s="289" t="s">
        <v>213</v>
      </c>
      <c r="HG9" s="271" t="s">
        <v>347</v>
      </c>
    </row>
    <row r="10" spans="1:215" s="306" customFormat="1" ht="15.75" customHeight="1">
      <c r="A10" s="291"/>
      <c r="B10" s="292" t="s">
        <v>348</v>
      </c>
      <c r="C10" s="292" t="s">
        <v>53</v>
      </c>
      <c r="D10" s="292" t="s">
        <v>53</v>
      </c>
      <c r="E10" s="292" t="s">
        <v>349</v>
      </c>
      <c r="F10" s="292" t="s">
        <v>186</v>
      </c>
      <c r="G10" s="292" t="s">
        <v>350</v>
      </c>
      <c r="H10" s="292" t="s">
        <v>351</v>
      </c>
      <c r="I10" s="292" t="s">
        <v>352</v>
      </c>
      <c r="J10" s="292" t="s">
        <v>186</v>
      </c>
      <c r="K10" s="292" t="s">
        <v>353</v>
      </c>
      <c r="L10" s="292" t="s">
        <v>354</v>
      </c>
      <c r="M10" s="292" t="s">
        <v>355</v>
      </c>
      <c r="N10" s="292" t="str">
        <f t="shared" ref="N10:N16" si="0">_xlfn.CONCAT(C10,"-",D10)</f>
        <v>PMO-PMO</v>
      </c>
      <c r="O10" s="292" t="str">
        <f t="shared" ref="O10:O16" si="1">_xlfn.CONCAT(Y10,"-",Z10,"-",F10,"-",X10)</f>
        <v>Technology-Principal-US-Consulting</v>
      </c>
      <c r="P10" s="292" t="str">
        <f t="shared" ref="P10:P16" si="2">_xlfn.CONCAT(C10," - ",Y10)</f>
        <v>PMO - Technology</v>
      </c>
      <c r="Q10" s="293">
        <f t="shared" ref="Q10:Q41" si="3">AB10*SUM(AZ10:ET10)</f>
        <v>62046</v>
      </c>
      <c r="R10" s="294">
        <f t="shared" ref="R10:R41" si="4">AB10*SUM(BC10:BN10)</f>
        <v>4596</v>
      </c>
      <c r="S10" s="295" t="e">
        <f t="shared" ref="S10:S16" ca="1" si="5">SUM(GP10:HN10)</f>
        <v>#VALUE!</v>
      </c>
      <c r="T10" s="295">
        <f t="shared" ref="T10:T41" si="6">SUM(AZ10:EZ10)</f>
        <v>162</v>
      </c>
      <c r="U10" s="296" t="str">
        <f t="shared" ref="U10:U16" si="7">_xlfn.CONCAT(Y10," - ",Z10)</f>
        <v>Technology - Principal</v>
      </c>
      <c r="V10" s="295" t="str">
        <f t="shared" ref="V10:V16" si="8">VLOOKUP(O10,$B$187:$H$848,4,0)</f>
        <v>15+ years</v>
      </c>
      <c r="W10" s="292" t="str">
        <f t="shared" ref="W10:W16" si="9">IF(F10="US", "Onshore",IF(F10="India","Offshore", "Nearshore"))</f>
        <v>Onshore</v>
      </c>
      <c r="X10" s="292" t="s">
        <v>261</v>
      </c>
      <c r="Y10" s="292" t="s">
        <v>259</v>
      </c>
      <c r="Z10" s="292" t="s">
        <v>242</v>
      </c>
      <c r="AA10" s="297">
        <f>[1]Resourcing!QD14</f>
        <v>0</v>
      </c>
      <c r="AB10" s="298">
        <f t="shared" ref="AB10:AB16" si="10">IFERROR(VLOOKUP(O10,$B$187:$S$848,6,FALSE()),"combination not found")</f>
        <v>383</v>
      </c>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v>1</v>
      </c>
      <c r="BD10" s="299">
        <v>1</v>
      </c>
      <c r="BE10" s="299">
        <v>1</v>
      </c>
      <c r="BF10" s="299">
        <v>1</v>
      </c>
      <c r="BG10" s="299">
        <v>1</v>
      </c>
      <c r="BH10" s="299">
        <v>1</v>
      </c>
      <c r="BI10" s="299">
        <v>1</v>
      </c>
      <c r="BJ10" s="299">
        <v>1</v>
      </c>
      <c r="BK10" s="299">
        <v>1</v>
      </c>
      <c r="BL10" s="299">
        <v>1</v>
      </c>
      <c r="BM10" s="299">
        <v>1</v>
      </c>
      <c r="BN10" s="299">
        <v>1</v>
      </c>
      <c r="BO10" s="299">
        <v>2</v>
      </c>
      <c r="BP10" s="299">
        <v>2</v>
      </c>
      <c r="BQ10" s="299">
        <v>2</v>
      </c>
      <c r="BR10" s="299"/>
      <c r="BS10" s="299"/>
      <c r="BT10" s="299">
        <v>2</v>
      </c>
      <c r="BU10" s="299">
        <v>2</v>
      </c>
      <c r="BV10" s="299">
        <v>2</v>
      </c>
      <c r="BW10" s="299">
        <v>2</v>
      </c>
      <c r="BX10" s="299">
        <v>2</v>
      </c>
      <c r="BY10" s="299">
        <v>2</v>
      </c>
      <c r="BZ10" s="299">
        <v>2</v>
      </c>
      <c r="CA10" s="299">
        <v>2</v>
      </c>
      <c r="CB10" s="299">
        <v>2</v>
      </c>
      <c r="CC10" s="299">
        <v>2</v>
      </c>
      <c r="CD10" s="299">
        <v>2</v>
      </c>
      <c r="CE10" s="299">
        <v>2</v>
      </c>
      <c r="CF10" s="299">
        <v>2</v>
      </c>
      <c r="CG10" s="299">
        <v>2</v>
      </c>
      <c r="CH10" s="299">
        <v>2</v>
      </c>
      <c r="CI10" s="299">
        <v>2</v>
      </c>
      <c r="CJ10" s="299">
        <v>2</v>
      </c>
      <c r="CK10" s="299">
        <v>2</v>
      </c>
      <c r="CL10" s="299">
        <v>2</v>
      </c>
      <c r="CM10" s="299">
        <v>2</v>
      </c>
      <c r="CN10" s="299">
        <v>2</v>
      </c>
      <c r="CO10" s="299">
        <v>2</v>
      </c>
      <c r="CP10" s="299">
        <v>2</v>
      </c>
      <c r="CQ10" s="299">
        <v>2</v>
      </c>
      <c r="CR10" s="299">
        <v>2</v>
      </c>
      <c r="CS10" s="299">
        <v>2</v>
      </c>
      <c r="CT10" s="299">
        <v>2</v>
      </c>
      <c r="CU10" s="299">
        <v>2</v>
      </c>
      <c r="CV10" s="299">
        <v>2</v>
      </c>
      <c r="CW10" s="299">
        <v>2</v>
      </c>
      <c r="CX10" s="299">
        <v>2</v>
      </c>
      <c r="CY10" s="299">
        <v>2</v>
      </c>
      <c r="CZ10" s="299">
        <v>2</v>
      </c>
      <c r="DA10" s="299">
        <v>2</v>
      </c>
      <c r="DB10" s="299">
        <v>2</v>
      </c>
      <c r="DC10" s="299">
        <v>2</v>
      </c>
      <c r="DD10" s="299">
        <v>2</v>
      </c>
      <c r="DE10" s="299">
        <v>2</v>
      </c>
      <c r="DF10" s="299">
        <v>2</v>
      </c>
      <c r="DG10" s="299">
        <v>2</v>
      </c>
      <c r="DH10" s="292">
        <v>2</v>
      </c>
      <c r="DI10" s="292">
        <v>2</v>
      </c>
      <c r="DJ10" s="292">
        <v>2</v>
      </c>
      <c r="DK10" s="292">
        <v>2</v>
      </c>
      <c r="DL10" s="299">
        <v>2</v>
      </c>
      <c r="DM10" s="299">
        <v>2</v>
      </c>
      <c r="DN10" s="299">
        <v>2</v>
      </c>
      <c r="DO10" s="299">
        <v>2</v>
      </c>
      <c r="DP10" s="299">
        <v>2</v>
      </c>
      <c r="DQ10" s="299">
        <v>2</v>
      </c>
      <c r="DR10" s="299"/>
      <c r="DS10" s="299"/>
      <c r="DT10" s="299">
        <v>2</v>
      </c>
      <c r="DU10" s="299">
        <v>2</v>
      </c>
      <c r="DV10" s="299">
        <v>2</v>
      </c>
      <c r="DW10" s="299">
        <v>2</v>
      </c>
      <c r="DX10" s="299">
        <v>2</v>
      </c>
      <c r="DY10" s="299">
        <v>2</v>
      </c>
      <c r="DZ10" s="299">
        <v>2</v>
      </c>
      <c r="EA10" s="299">
        <v>2</v>
      </c>
      <c r="EB10" s="299">
        <v>2</v>
      </c>
      <c r="EC10" s="299">
        <v>2</v>
      </c>
      <c r="ED10" s="299">
        <v>2</v>
      </c>
      <c r="EE10" s="299">
        <v>2</v>
      </c>
      <c r="EF10" s="299">
        <v>2</v>
      </c>
      <c r="EG10" s="299">
        <v>2</v>
      </c>
      <c r="EH10" s="299">
        <v>2</v>
      </c>
      <c r="EI10" s="299">
        <v>2</v>
      </c>
      <c r="EJ10" s="299">
        <v>2</v>
      </c>
      <c r="EK10" s="299">
        <v>2</v>
      </c>
      <c r="EL10" s="299">
        <v>2</v>
      </c>
      <c r="EM10" s="299">
        <v>2</v>
      </c>
      <c r="EN10" s="299">
        <v>2</v>
      </c>
      <c r="EO10" s="299">
        <v>2</v>
      </c>
      <c r="EP10" s="299"/>
      <c r="EQ10" s="299"/>
      <c r="ER10" s="299"/>
      <c r="ES10" s="299"/>
      <c r="ET10" s="299"/>
      <c r="EU10" s="299"/>
      <c r="EV10" s="299"/>
      <c r="EW10" s="299"/>
      <c r="EX10" s="299"/>
      <c r="EY10" s="299"/>
      <c r="EZ10" s="299"/>
      <c r="FA10" s="299"/>
      <c r="FB10" s="299"/>
      <c r="FC10" s="299"/>
      <c r="FD10" s="299"/>
      <c r="FE10" s="299"/>
      <c r="FF10" s="299"/>
      <c r="FG10" s="299"/>
      <c r="FH10" s="299"/>
      <c r="FI10" s="299"/>
      <c r="FJ10" s="299"/>
      <c r="FK10" s="299"/>
      <c r="FL10" s="299"/>
      <c r="FM10" s="299"/>
      <c r="FN10" s="299"/>
      <c r="FO10" s="299"/>
      <c r="FP10" s="299"/>
      <c r="FQ10" s="300" t="e">
        <f t="shared" ref="FQ10:FZ12" ca="1" si="11">SUMIF($AC$11:$FP$11,FQ$12,$AC10:$FP10)</f>
        <v>#VALUE!</v>
      </c>
      <c r="FR10" s="300" t="e">
        <f t="shared" ca="1" si="11"/>
        <v>#VALUE!</v>
      </c>
      <c r="FS10" s="300" t="e">
        <f t="shared" ca="1" si="11"/>
        <v>#VALUE!</v>
      </c>
      <c r="FT10" s="300" t="e">
        <f t="shared" ca="1" si="11"/>
        <v>#VALUE!</v>
      </c>
      <c r="FU10" s="300" t="e">
        <f t="shared" ca="1" si="11"/>
        <v>#VALUE!</v>
      </c>
      <c r="FV10" s="300" t="e">
        <f t="shared" ca="1" si="11"/>
        <v>#VALUE!</v>
      </c>
      <c r="FW10" s="300" t="e">
        <f t="shared" ca="1" si="11"/>
        <v>#VALUE!</v>
      </c>
      <c r="FX10" s="300" t="e">
        <f t="shared" ca="1" si="11"/>
        <v>#VALUE!</v>
      </c>
      <c r="FY10" s="300" t="e">
        <f t="shared" ca="1" si="11"/>
        <v>#VALUE!</v>
      </c>
      <c r="FZ10" s="300" t="e">
        <f t="shared" ca="1" si="11"/>
        <v>#VALUE!</v>
      </c>
      <c r="GA10" s="301" t="e">
        <f t="shared" ref="GA10:GO12" ca="1" si="12">SUMIF($AC$11:$FP$11,GA$12,$AC10:$FP10)</f>
        <v>#VALUE!</v>
      </c>
      <c r="GB10" s="301" t="e">
        <f t="shared" ca="1" si="12"/>
        <v>#VALUE!</v>
      </c>
      <c r="GC10" s="301" t="e">
        <f t="shared" ca="1" si="12"/>
        <v>#VALUE!</v>
      </c>
      <c r="GD10" s="301" t="e">
        <f t="shared" ca="1" si="12"/>
        <v>#VALUE!</v>
      </c>
      <c r="GE10" s="301" t="e">
        <f t="shared" ca="1" si="12"/>
        <v>#VALUE!</v>
      </c>
      <c r="GF10" s="301" t="e">
        <f t="shared" ca="1" si="12"/>
        <v>#VALUE!</v>
      </c>
      <c r="GG10" s="301" t="e">
        <f t="shared" ca="1" si="12"/>
        <v>#VALUE!</v>
      </c>
      <c r="GH10" s="301" t="e">
        <f t="shared" ca="1" si="12"/>
        <v>#VALUE!</v>
      </c>
      <c r="GI10" s="301" t="e">
        <f t="shared" ca="1" si="12"/>
        <v>#VALUE!</v>
      </c>
      <c r="GJ10" s="301" t="e">
        <f t="shared" ca="1" si="12"/>
        <v>#VALUE!</v>
      </c>
      <c r="GK10" s="301" t="e">
        <f t="shared" ca="1" si="12"/>
        <v>#VALUE!</v>
      </c>
      <c r="GL10" s="301" t="e">
        <f t="shared" ca="1" si="12"/>
        <v>#VALUE!</v>
      </c>
      <c r="GM10" s="301" t="e">
        <f t="shared" ca="1" si="12"/>
        <v>#VALUE!</v>
      </c>
      <c r="GN10" s="302" t="e">
        <f t="shared" ca="1" si="12"/>
        <v>#VALUE!</v>
      </c>
      <c r="GO10" s="302" t="e">
        <f t="shared" ca="1" si="12"/>
        <v>#VALUE!</v>
      </c>
      <c r="GP10" s="301">
        <f t="shared" ref="GP10:HE16" si="13">SUMIF($AB$8:$FO$8,GP$9,$AB10:$FO10)</f>
        <v>4</v>
      </c>
      <c r="GQ10" s="301">
        <f t="shared" si="13"/>
        <v>8</v>
      </c>
      <c r="GR10" s="301">
        <f t="shared" si="13"/>
        <v>8</v>
      </c>
      <c r="GS10" s="301">
        <f t="shared" si="13"/>
        <v>8</v>
      </c>
      <c r="GT10" s="301">
        <f t="shared" si="13"/>
        <v>8</v>
      </c>
      <c r="GU10" s="303">
        <f t="shared" si="13"/>
        <v>8</v>
      </c>
      <c r="GV10" s="302">
        <f t="shared" si="13"/>
        <v>4</v>
      </c>
      <c r="GW10" s="302">
        <f t="shared" si="13"/>
        <v>0</v>
      </c>
      <c r="GX10" s="302">
        <f t="shared" si="13"/>
        <v>0</v>
      </c>
      <c r="GY10" s="302">
        <f t="shared" si="13"/>
        <v>0</v>
      </c>
      <c r="GZ10" s="302">
        <f t="shared" si="13"/>
        <v>0</v>
      </c>
      <c r="HA10" s="302">
        <f t="shared" si="13"/>
        <v>0</v>
      </c>
      <c r="HB10" s="302">
        <f t="shared" si="13"/>
        <v>0</v>
      </c>
      <c r="HC10" s="302">
        <f t="shared" si="13"/>
        <v>0</v>
      </c>
      <c r="HD10" s="302">
        <f t="shared" si="13"/>
        <v>0</v>
      </c>
      <c r="HE10" s="302">
        <f t="shared" si="13"/>
        <v>0</v>
      </c>
      <c r="HF10" s="304" t="e">
        <f t="shared" ref="HF10:HF16" ca="1" si="14">SUM(FQ10:HE10)</f>
        <v>#VALUE!</v>
      </c>
      <c r="HG10" s="305" t="e">
        <f t="shared" ref="HG10:HG16" ca="1" si="15">HF10-S10</f>
        <v>#VALUE!</v>
      </c>
    </row>
    <row r="11" spans="1:215" s="306" customFormat="1" ht="15.75" customHeight="1">
      <c r="A11" s="291"/>
      <c r="B11" s="292" t="s">
        <v>348</v>
      </c>
      <c r="C11" s="292" t="s">
        <v>53</v>
      </c>
      <c r="D11" s="292" t="s">
        <v>53</v>
      </c>
      <c r="E11" s="292" t="s">
        <v>356</v>
      </c>
      <c r="F11" s="292" t="s">
        <v>186</v>
      </c>
      <c r="G11" s="292" t="s">
        <v>350</v>
      </c>
      <c r="H11" s="292" t="s">
        <v>351</v>
      </c>
      <c r="I11" s="292" t="s">
        <v>352</v>
      </c>
      <c r="J11" s="292" t="s">
        <v>186</v>
      </c>
      <c r="K11" s="292" t="s">
        <v>353</v>
      </c>
      <c r="L11" s="292" t="s">
        <v>354</v>
      </c>
      <c r="M11" s="292" t="s">
        <v>355</v>
      </c>
      <c r="N11" s="292" t="str">
        <f t="shared" si="0"/>
        <v>PMO-PMO</v>
      </c>
      <c r="O11" s="292" t="str">
        <f t="shared" si="1"/>
        <v>Technology-Managing Director-US-Consulting</v>
      </c>
      <c r="P11" s="292" t="str">
        <f t="shared" si="2"/>
        <v>PMO - Technology</v>
      </c>
      <c r="Q11" s="293">
        <f t="shared" si="3"/>
        <v>524710</v>
      </c>
      <c r="R11" s="294">
        <f t="shared" si="4"/>
        <v>45960</v>
      </c>
      <c r="S11" s="295" t="e">
        <f t="shared" ca="1" si="5"/>
        <v>#VALUE!</v>
      </c>
      <c r="T11" s="295">
        <f t="shared" si="6"/>
        <v>1370</v>
      </c>
      <c r="U11" s="296" t="str">
        <f t="shared" si="7"/>
        <v>Technology - Managing Director</v>
      </c>
      <c r="V11" s="295" t="str">
        <f t="shared" si="8"/>
        <v>10-15 years</v>
      </c>
      <c r="W11" s="292" t="str">
        <f t="shared" si="9"/>
        <v>Onshore</v>
      </c>
      <c r="X11" s="292" t="s">
        <v>261</v>
      </c>
      <c r="Y11" s="292" t="s">
        <v>259</v>
      </c>
      <c r="Z11" s="292" t="s">
        <v>357</v>
      </c>
      <c r="AA11" s="297">
        <f>[1]Resourcing!QD15</f>
        <v>0</v>
      </c>
      <c r="AB11" s="298">
        <f t="shared" si="10"/>
        <v>383</v>
      </c>
      <c r="AC11" s="299"/>
      <c r="AD11" s="299"/>
      <c r="AE11" s="299"/>
      <c r="AF11" s="299"/>
      <c r="AG11" s="299"/>
      <c r="AH11" s="299"/>
      <c r="AI11" s="299"/>
      <c r="AJ11" s="299"/>
      <c r="AK11" s="299"/>
      <c r="AL11" s="299"/>
      <c r="AM11" s="299"/>
      <c r="AN11" s="299"/>
      <c r="AO11" s="299"/>
      <c r="AP11" s="299"/>
      <c r="AQ11" s="299"/>
      <c r="AR11" s="299"/>
      <c r="AS11" s="299"/>
      <c r="AT11" s="299"/>
      <c r="AU11" s="299"/>
      <c r="AV11" s="299"/>
      <c r="AW11" s="299"/>
      <c r="AX11" s="299"/>
      <c r="AY11" s="299"/>
      <c r="AZ11" s="299"/>
      <c r="BA11" s="299"/>
      <c r="BB11" s="299"/>
      <c r="BC11" s="299">
        <v>10</v>
      </c>
      <c r="BD11" s="299">
        <v>10</v>
      </c>
      <c r="BE11" s="299">
        <v>10</v>
      </c>
      <c r="BF11" s="299">
        <v>10</v>
      </c>
      <c r="BG11" s="299">
        <v>10</v>
      </c>
      <c r="BH11" s="299">
        <v>10</v>
      </c>
      <c r="BI11" s="299">
        <v>10</v>
      </c>
      <c r="BJ11" s="299">
        <v>10</v>
      </c>
      <c r="BK11" s="299">
        <v>10</v>
      </c>
      <c r="BL11" s="299">
        <v>10</v>
      </c>
      <c r="BM11" s="299">
        <v>10</v>
      </c>
      <c r="BN11" s="299">
        <v>10</v>
      </c>
      <c r="BO11" s="299">
        <v>16</v>
      </c>
      <c r="BP11" s="299">
        <v>16</v>
      </c>
      <c r="BQ11" s="299">
        <v>16</v>
      </c>
      <c r="BR11" s="299"/>
      <c r="BS11" s="299"/>
      <c r="BT11" s="299">
        <v>16</v>
      </c>
      <c r="BU11" s="299">
        <v>16</v>
      </c>
      <c r="BV11" s="299">
        <v>16</v>
      </c>
      <c r="BW11" s="299">
        <v>16</v>
      </c>
      <c r="BX11" s="299">
        <v>16</v>
      </c>
      <c r="BY11" s="299">
        <v>16</v>
      </c>
      <c r="BZ11" s="299">
        <v>16</v>
      </c>
      <c r="CA11" s="299">
        <v>16</v>
      </c>
      <c r="CB11" s="299">
        <v>16</v>
      </c>
      <c r="CC11" s="299">
        <v>16</v>
      </c>
      <c r="CD11" s="299">
        <v>16</v>
      </c>
      <c r="CE11" s="299">
        <v>16</v>
      </c>
      <c r="CF11" s="299">
        <v>16</v>
      </c>
      <c r="CG11" s="299">
        <v>16</v>
      </c>
      <c r="CH11" s="299">
        <v>16</v>
      </c>
      <c r="CI11" s="299">
        <v>16</v>
      </c>
      <c r="CJ11" s="299">
        <v>16</v>
      </c>
      <c r="CK11" s="299">
        <v>16</v>
      </c>
      <c r="CL11" s="299">
        <v>16</v>
      </c>
      <c r="CM11" s="299">
        <v>16</v>
      </c>
      <c r="CN11" s="299">
        <v>16</v>
      </c>
      <c r="CO11" s="299">
        <v>16</v>
      </c>
      <c r="CP11" s="299">
        <v>16</v>
      </c>
      <c r="CQ11" s="299">
        <v>16</v>
      </c>
      <c r="CR11" s="299">
        <v>16</v>
      </c>
      <c r="CS11" s="299">
        <v>16</v>
      </c>
      <c r="CT11" s="299">
        <v>16</v>
      </c>
      <c r="CU11" s="299">
        <v>16</v>
      </c>
      <c r="CV11" s="299">
        <v>16</v>
      </c>
      <c r="CW11" s="299">
        <v>16</v>
      </c>
      <c r="CX11" s="299">
        <v>16</v>
      </c>
      <c r="CY11" s="299">
        <v>16</v>
      </c>
      <c r="CZ11" s="299">
        <v>16</v>
      </c>
      <c r="DA11" s="299">
        <v>16</v>
      </c>
      <c r="DB11" s="299">
        <v>16</v>
      </c>
      <c r="DC11" s="299">
        <v>16</v>
      </c>
      <c r="DD11" s="299">
        <v>16</v>
      </c>
      <c r="DE11" s="299">
        <v>16</v>
      </c>
      <c r="DF11" s="299">
        <v>16</v>
      </c>
      <c r="DG11" s="299">
        <v>16</v>
      </c>
      <c r="DH11" s="292">
        <v>16</v>
      </c>
      <c r="DI11" s="292">
        <v>16</v>
      </c>
      <c r="DJ11" s="292">
        <v>16</v>
      </c>
      <c r="DK11" s="292">
        <v>16</v>
      </c>
      <c r="DL11" s="299">
        <v>16</v>
      </c>
      <c r="DM11" s="299">
        <v>16</v>
      </c>
      <c r="DN11" s="299">
        <v>16</v>
      </c>
      <c r="DO11" s="299">
        <v>16</v>
      </c>
      <c r="DP11" s="299">
        <v>16</v>
      </c>
      <c r="DQ11" s="299">
        <v>16</v>
      </c>
      <c r="DR11" s="299"/>
      <c r="DS11" s="299"/>
      <c r="DT11" s="299">
        <v>16</v>
      </c>
      <c r="DU11" s="299">
        <v>16</v>
      </c>
      <c r="DV11" s="299">
        <v>16</v>
      </c>
      <c r="DW11" s="299">
        <v>16</v>
      </c>
      <c r="DX11" s="299">
        <v>16</v>
      </c>
      <c r="DY11" s="299">
        <v>16</v>
      </c>
      <c r="DZ11" s="299">
        <v>16</v>
      </c>
      <c r="EA11" s="299">
        <v>16</v>
      </c>
      <c r="EB11" s="299">
        <v>16</v>
      </c>
      <c r="EC11" s="299">
        <v>16</v>
      </c>
      <c r="ED11" s="299">
        <v>16</v>
      </c>
      <c r="EE11" s="299">
        <v>16</v>
      </c>
      <c r="EF11" s="299">
        <v>16</v>
      </c>
      <c r="EG11" s="299">
        <v>16</v>
      </c>
      <c r="EH11" s="299">
        <v>16</v>
      </c>
      <c r="EI11" s="299">
        <v>16</v>
      </c>
      <c r="EJ11" s="299">
        <v>16</v>
      </c>
      <c r="EK11" s="299">
        <v>16</v>
      </c>
      <c r="EL11" s="299">
        <v>16</v>
      </c>
      <c r="EM11" s="299">
        <v>16</v>
      </c>
      <c r="EN11" s="299">
        <v>16</v>
      </c>
      <c r="EO11" s="299">
        <v>16</v>
      </c>
      <c r="EP11" s="299">
        <v>10</v>
      </c>
      <c r="EQ11" s="299">
        <v>10</v>
      </c>
      <c r="ER11" s="299">
        <v>10</v>
      </c>
      <c r="ES11" s="299">
        <v>10</v>
      </c>
      <c r="ET11" s="299">
        <v>10</v>
      </c>
      <c r="EU11" s="299"/>
      <c r="EV11" s="299"/>
      <c r="EW11" s="299"/>
      <c r="EX11" s="299"/>
      <c r="EY11" s="299"/>
      <c r="EZ11" s="299"/>
      <c r="FA11" s="299"/>
      <c r="FB11" s="299"/>
      <c r="FC11" s="299"/>
      <c r="FD11" s="299"/>
      <c r="FE11" s="299"/>
      <c r="FF11" s="299"/>
      <c r="FG11" s="299"/>
      <c r="FH11" s="299"/>
      <c r="FI11" s="299"/>
      <c r="FJ11" s="299"/>
      <c r="FK11" s="299"/>
      <c r="FL11" s="299"/>
      <c r="FM11" s="299"/>
      <c r="FN11" s="299"/>
      <c r="FO11" s="299"/>
      <c r="FP11" s="299"/>
      <c r="FQ11" s="300" t="e">
        <f t="shared" ca="1" si="11"/>
        <v>#VALUE!</v>
      </c>
      <c r="FR11" s="300" t="e">
        <f t="shared" ca="1" si="11"/>
        <v>#VALUE!</v>
      </c>
      <c r="FS11" s="300" t="e">
        <f t="shared" ca="1" si="11"/>
        <v>#VALUE!</v>
      </c>
      <c r="FT11" s="300" t="e">
        <f t="shared" ca="1" si="11"/>
        <v>#VALUE!</v>
      </c>
      <c r="FU11" s="300" t="e">
        <f t="shared" ca="1" si="11"/>
        <v>#VALUE!</v>
      </c>
      <c r="FV11" s="300" t="e">
        <f t="shared" ca="1" si="11"/>
        <v>#VALUE!</v>
      </c>
      <c r="FW11" s="300" t="e">
        <f t="shared" ca="1" si="11"/>
        <v>#VALUE!</v>
      </c>
      <c r="FX11" s="300" t="e">
        <f t="shared" ca="1" si="11"/>
        <v>#VALUE!</v>
      </c>
      <c r="FY11" s="300" t="e">
        <f t="shared" ca="1" si="11"/>
        <v>#VALUE!</v>
      </c>
      <c r="FZ11" s="300" t="e">
        <f t="shared" ca="1" si="11"/>
        <v>#VALUE!</v>
      </c>
      <c r="GA11" s="301" t="e">
        <f t="shared" ca="1" si="12"/>
        <v>#VALUE!</v>
      </c>
      <c r="GB11" s="301" t="e">
        <f t="shared" ca="1" si="12"/>
        <v>#VALUE!</v>
      </c>
      <c r="GC11" s="301" t="e">
        <f t="shared" ca="1" si="12"/>
        <v>#VALUE!</v>
      </c>
      <c r="GD11" s="301" t="e">
        <f t="shared" ca="1" si="12"/>
        <v>#VALUE!</v>
      </c>
      <c r="GE11" s="301" t="e">
        <f t="shared" ca="1" si="12"/>
        <v>#VALUE!</v>
      </c>
      <c r="GF11" s="301" t="e">
        <f t="shared" ca="1" si="12"/>
        <v>#VALUE!</v>
      </c>
      <c r="GG11" s="301" t="e">
        <f t="shared" ca="1" si="12"/>
        <v>#VALUE!</v>
      </c>
      <c r="GH11" s="301" t="e">
        <f t="shared" ca="1" si="12"/>
        <v>#VALUE!</v>
      </c>
      <c r="GI11" s="301" t="e">
        <f t="shared" ca="1" si="12"/>
        <v>#VALUE!</v>
      </c>
      <c r="GJ11" s="301" t="e">
        <f t="shared" ca="1" si="12"/>
        <v>#VALUE!</v>
      </c>
      <c r="GK11" s="301" t="e">
        <f t="shared" ca="1" si="12"/>
        <v>#VALUE!</v>
      </c>
      <c r="GL11" s="301" t="e">
        <f t="shared" ca="1" si="12"/>
        <v>#VALUE!</v>
      </c>
      <c r="GM11" s="301" t="e">
        <f t="shared" ca="1" si="12"/>
        <v>#VALUE!</v>
      </c>
      <c r="GN11" s="302" t="e">
        <f t="shared" ca="1" si="12"/>
        <v>#VALUE!</v>
      </c>
      <c r="GO11" s="302" t="e">
        <f t="shared" ca="1" si="12"/>
        <v>#VALUE!</v>
      </c>
      <c r="GP11" s="301">
        <f t="shared" si="13"/>
        <v>32</v>
      </c>
      <c r="GQ11" s="301">
        <f t="shared" si="13"/>
        <v>64</v>
      </c>
      <c r="GR11" s="301">
        <f t="shared" si="13"/>
        <v>64</v>
      </c>
      <c r="GS11" s="301">
        <f t="shared" si="13"/>
        <v>64</v>
      </c>
      <c r="GT11" s="301">
        <f t="shared" si="13"/>
        <v>64</v>
      </c>
      <c r="GU11" s="303">
        <f t="shared" si="13"/>
        <v>64</v>
      </c>
      <c r="GV11" s="302">
        <f t="shared" si="13"/>
        <v>52</v>
      </c>
      <c r="GW11" s="302">
        <f t="shared" si="13"/>
        <v>30</v>
      </c>
      <c r="GX11" s="302">
        <f t="shared" si="13"/>
        <v>0</v>
      </c>
      <c r="GY11" s="302">
        <f t="shared" si="13"/>
        <v>0</v>
      </c>
      <c r="GZ11" s="302">
        <f t="shared" si="13"/>
        <v>0</v>
      </c>
      <c r="HA11" s="302">
        <f t="shared" si="13"/>
        <v>0</v>
      </c>
      <c r="HB11" s="302">
        <f t="shared" si="13"/>
        <v>0</v>
      </c>
      <c r="HC11" s="302">
        <f t="shared" si="13"/>
        <v>0</v>
      </c>
      <c r="HD11" s="302">
        <f t="shared" si="13"/>
        <v>0</v>
      </c>
      <c r="HE11" s="302">
        <f t="shared" si="13"/>
        <v>0</v>
      </c>
      <c r="HF11" s="304" t="e">
        <f t="shared" ca="1" si="14"/>
        <v>#VALUE!</v>
      </c>
      <c r="HG11" s="305" t="e">
        <f t="shared" ca="1" si="15"/>
        <v>#VALUE!</v>
      </c>
    </row>
    <row r="12" spans="1:215" s="306" customFormat="1" ht="15.75" customHeight="1">
      <c r="A12" s="291"/>
      <c r="B12" s="292" t="s">
        <v>348</v>
      </c>
      <c r="C12" s="292" t="s">
        <v>53</v>
      </c>
      <c r="D12" s="292" t="s">
        <v>53</v>
      </c>
      <c r="E12" s="292" t="s">
        <v>358</v>
      </c>
      <c r="F12" s="292" t="s">
        <v>186</v>
      </c>
      <c r="G12" s="292" t="s">
        <v>350</v>
      </c>
      <c r="H12" s="292" t="s">
        <v>351</v>
      </c>
      <c r="I12" s="292" t="s">
        <v>352</v>
      </c>
      <c r="J12" s="292" t="s">
        <v>186</v>
      </c>
      <c r="K12" s="292" t="s">
        <v>353</v>
      </c>
      <c r="L12" s="292" t="s">
        <v>359</v>
      </c>
      <c r="M12" s="292" t="s">
        <v>360</v>
      </c>
      <c r="N12" s="292" t="str">
        <f t="shared" si="0"/>
        <v>PMO-PMO</v>
      </c>
      <c r="O12" s="292" t="str">
        <f t="shared" si="1"/>
        <v>Technology-Senior Manager-US-Consulting</v>
      </c>
      <c r="P12" s="292" t="str">
        <f t="shared" si="2"/>
        <v>PMO - Technology</v>
      </c>
      <c r="Q12" s="293">
        <f t="shared" si="3"/>
        <v>979488</v>
      </c>
      <c r="R12" s="294">
        <f t="shared" si="4"/>
        <v>131328</v>
      </c>
      <c r="S12" s="295" t="e">
        <f t="shared" ca="1" si="5"/>
        <v>#VALUE!</v>
      </c>
      <c r="T12" s="295">
        <f t="shared" si="6"/>
        <v>2864</v>
      </c>
      <c r="U12" s="296" t="str">
        <f t="shared" si="7"/>
        <v>Technology - Senior Manager</v>
      </c>
      <c r="V12" s="295" t="str">
        <f t="shared" si="8"/>
        <v>7-10 years</v>
      </c>
      <c r="W12" s="292" t="str">
        <f t="shared" si="9"/>
        <v>Onshore</v>
      </c>
      <c r="X12" s="292" t="s">
        <v>261</v>
      </c>
      <c r="Y12" s="292" t="s">
        <v>259</v>
      </c>
      <c r="Z12" s="292" t="s">
        <v>361</v>
      </c>
      <c r="AA12" s="297">
        <f>[1]Resourcing!QD16</f>
        <v>0</v>
      </c>
      <c r="AB12" s="298">
        <f t="shared" si="10"/>
        <v>342</v>
      </c>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v>32</v>
      </c>
      <c r="BD12" s="299">
        <v>32</v>
      </c>
      <c r="BE12" s="299">
        <v>32</v>
      </c>
      <c r="BF12" s="299">
        <v>32</v>
      </c>
      <c r="BG12" s="299">
        <v>32</v>
      </c>
      <c r="BH12" s="299">
        <v>32</v>
      </c>
      <c r="BI12" s="299">
        <v>32</v>
      </c>
      <c r="BJ12" s="299">
        <v>32</v>
      </c>
      <c r="BK12" s="299">
        <v>32</v>
      </c>
      <c r="BL12" s="299">
        <v>32</v>
      </c>
      <c r="BM12" s="299">
        <v>32</v>
      </c>
      <c r="BN12" s="299">
        <v>32</v>
      </c>
      <c r="BO12" s="299">
        <v>32</v>
      </c>
      <c r="BP12" s="299">
        <v>32</v>
      </c>
      <c r="BQ12" s="299">
        <v>32</v>
      </c>
      <c r="BR12" s="299"/>
      <c r="BS12" s="299"/>
      <c r="BT12" s="299">
        <v>32</v>
      </c>
      <c r="BU12" s="299">
        <v>32</v>
      </c>
      <c r="BV12" s="299">
        <v>32</v>
      </c>
      <c r="BW12" s="299">
        <v>32</v>
      </c>
      <c r="BX12" s="299">
        <v>32</v>
      </c>
      <c r="BY12" s="299">
        <v>32</v>
      </c>
      <c r="BZ12" s="299">
        <v>32</v>
      </c>
      <c r="CA12" s="299">
        <v>32</v>
      </c>
      <c r="CB12" s="299">
        <v>32</v>
      </c>
      <c r="CC12" s="299">
        <v>32</v>
      </c>
      <c r="CD12" s="299">
        <v>32</v>
      </c>
      <c r="CE12" s="299">
        <v>32</v>
      </c>
      <c r="CF12" s="299">
        <v>32</v>
      </c>
      <c r="CG12" s="299">
        <v>32</v>
      </c>
      <c r="CH12" s="299">
        <v>32</v>
      </c>
      <c r="CI12" s="299">
        <v>32</v>
      </c>
      <c r="CJ12" s="299">
        <v>32</v>
      </c>
      <c r="CK12" s="299">
        <v>32</v>
      </c>
      <c r="CL12" s="299">
        <v>32</v>
      </c>
      <c r="CM12" s="299">
        <v>32</v>
      </c>
      <c r="CN12" s="299">
        <v>32</v>
      </c>
      <c r="CO12" s="299">
        <v>32</v>
      </c>
      <c r="CP12" s="299">
        <v>32</v>
      </c>
      <c r="CQ12" s="299">
        <v>32</v>
      </c>
      <c r="CR12" s="299">
        <v>32</v>
      </c>
      <c r="CS12" s="299">
        <v>32</v>
      </c>
      <c r="CT12" s="299">
        <v>32</v>
      </c>
      <c r="CU12" s="299">
        <v>32</v>
      </c>
      <c r="CV12" s="299">
        <v>32</v>
      </c>
      <c r="CW12" s="299">
        <v>32</v>
      </c>
      <c r="CX12" s="299">
        <v>32</v>
      </c>
      <c r="CY12" s="299">
        <v>32</v>
      </c>
      <c r="CZ12" s="299">
        <v>32</v>
      </c>
      <c r="DA12" s="299">
        <v>32</v>
      </c>
      <c r="DB12" s="299">
        <v>32</v>
      </c>
      <c r="DC12" s="299">
        <v>32</v>
      </c>
      <c r="DD12" s="299">
        <v>32</v>
      </c>
      <c r="DE12" s="299">
        <v>32</v>
      </c>
      <c r="DF12" s="299">
        <v>32</v>
      </c>
      <c r="DG12" s="299">
        <v>32</v>
      </c>
      <c r="DH12" s="292">
        <v>32</v>
      </c>
      <c r="DI12" s="292">
        <v>32</v>
      </c>
      <c r="DJ12" s="292">
        <v>32</v>
      </c>
      <c r="DK12" s="292">
        <v>32</v>
      </c>
      <c r="DL12" s="299">
        <v>32</v>
      </c>
      <c r="DM12" s="299">
        <v>32</v>
      </c>
      <c r="DN12" s="299">
        <v>32</v>
      </c>
      <c r="DO12" s="299">
        <v>32</v>
      </c>
      <c r="DP12" s="299">
        <v>32</v>
      </c>
      <c r="DQ12" s="299">
        <v>32</v>
      </c>
      <c r="DR12" s="299"/>
      <c r="DS12" s="299"/>
      <c r="DT12" s="299">
        <v>32</v>
      </c>
      <c r="DU12" s="299">
        <v>32</v>
      </c>
      <c r="DV12" s="299">
        <v>32</v>
      </c>
      <c r="DW12" s="299">
        <v>32</v>
      </c>
      <c r="DX12" s="299">
        <v>32</v>
      </c>
      <c r="DY12" s="299">
        <v>32</v>
      </c>
      <c r="DZ12" s="299">
        <v>32</v>
      </c>
      <c r="EA12" s="299">
        <v>32</v>
      </c>
      <c r="EB12" s="299">
        <v>32</v>
      </c>
      <c r="EC12" s="299">
        <v>32</v>
      </c>
      <c r="ED12" s="299">
        <v>32</v>
      </c>
      <c r="EE12" s="299">
        <v>32</v>
      </c>
      <c r="EF12" s="299">
        <v>32</v>
      </c>
      <c r="EG12" s="299">
        <v>32</v>
      </c>
      <c r="EH12" s="299">
        <v>32</v>
      </c>
      <c r="EI12" s="299">
        <v>32</v>
      </c>
      <c r="EJ12" s="299">
        <v>32</v>
      </c>
      <c r="EK12" s="299">
        <v>32</v>
      </c>
      <c r="EL12" s="299">
        <v>32</v>
      </c>
      <c r="EM12" s="299">
        <v>32</v>
      </c>
      <c r="EN12" s="299">
        <v>32</v>
      </c>
      <c r="EO12" s="299">
        <v>32</v>
      </c>
      <c r="EP12" s="299">
        <v>16</v>
      </c>
      <c r="EQ12" s="299">
        <v>16</v>
      </c>
      <c r="ER12" s="299">
        <v>16</v>
      </c>
      <c r="ES12" s="299">
        <v>16</v>
      </c>
      <c r="ET12" s="299">
        <v>16</v>
      </c>
      <c r="EU12" s="299"/>
      <c r="EV12" s="299"/>
      <c r="EW12" s="299"/>
      <c r="EX12" s="299"/>
      <c r="EY12" s="299"/>
      <c r="EZ12" s="299"/>
      <c r="FA12" s="299"/>
      <c r="FB12" s="299"/>
      <c r="FC12" s="299"/>
      <c r="FD12" s="299"/>
      <c r="FE12" s="299"/>
      <c r="FF12" s="299"/>
      <c r="FG12" s="299"/>
      <c r="FH12" s="299"/>
      <c r="FI12" s="299"/>
      <c r="FJ12" s="299"/>
      <c r="FK12" s="299"/>
      <c r="FL12" s="299"/>
      <c r="FM12" s="299"/>
      <c r="FN12" s="299"/>
      <c r="FO12" s="299"/>
      <c r="FP12" s="299"/>
      <c r="FQ12" s="300" t="e">
        <f t="shared" ca="1" si="11"/>
        <v>#VALUE!</v>
      </c>
      <c r="FR12" s="300" t="e">
        <f t="shared" ca="1" si="11"/>
        <v>#VALUE!</v>
      </c>
      <c r="FS12" s="300" t="e">
        <f t="shared" ca="1" si="11"/>
        <v>#VALUE!</v>
      </c>
      <c r="FT12" s="300" t="e">
        <f t="shared" ca="1" si="11"/>
        <v>#VALUE!</v>
      </c>
      <c r="FU12" s="300" t="e">
        <f t="shared" ca="1" si="11"/>
        <v>#VALUE!</v>
      </c>
      <c r="FV12" s="300" t="e">
        <f t="shared" ca="1" si="11"/>
        <v>#VALUE!</v>
      </c>
      <c r="FW12" s="300" t="e">
        <f t="shared" ca="1" si="11"/>
        <v>#VALUE!</v>
      </c>
      <c r="FX12" s="300" t="e">
        <f t="shared" ca="1" si="11"/>
        <v>#VALUE!</v>
      </c>
      <c r="FY12" s="300" t="e">
        <f t="shared" ca="1" si="11"/>
        <v>#VALUE!</v>
      </c>
      <c r="FZ12" s="300" t="e">
        <f t="shared" ca="1" si="11"/>
        <v>#VALUE!</v>
      </c>
      <c r="GA12" s="301" t="e">
        <f t="shared" ca="1" si="12"/>
        <v>#VALUE!</v>
      </c>
      <c r="GB12" s="301" t="e">
        <f t="shared" ca="1" si="12"/>
        <v>#VALUE!</v>
      </c>
      <c r="GC12" s="301" t="e">
        <f t="shared" ca="1" si="12"/>
        <v>#VALUE!</v>
      </c>
      <c r="GD12" s="301" t="e">
        <f t="shared" ca="1" si="12"/>
        <v>#VALUE!</v>
      </c>
      <c r="GE12" s="301" t="e">
        <f t="shared" ca="1" si="12"/>
        <v>#VALUE!</v>
      </c>
      <c r="GF12" s="301" t="e">
        <f t="shared" ca="1" si="12"/>
        <v>#VALUE!</v>
      </c>
      <c r="GG12" s="301" t="e">
        <f t="shared" ca="1" si="12"/>
        <v>#VALUE!</v>
      </c>
      <c r="GH12" s="301" t="e">
        <f t="shared" ca="1" si="12"/>
        <v>#VALUE!</v>
      </c>
      <c r="GI12" s="301" t="e">
        <f t="shared" ca="1" si="12"/>
        <v>#VALUE!</v>
      </c>
      <c r="GJ12" s="301" t="e">
        <f t="shared" ca="1" si="12"/>
        <v>#VALUE!</v>
      </c>
      <c r="GK12" s="301" t="e">
        <f t="shared" ca="1" si="12"/>
        <v>#VALUE!</v>
      </c>
      <c r="GL12" s="301" t="e">
        <f t="shared" ca="1" si="12"/>
        <v>#VALUE!</v>
      </c>
      <c r="GM12" s="301" t="e">
        <f t="shared" ca="1" si="12"/>
        <v>#VALUE!</v>
      </c>
      <c r="GN12" s="302" t="e">
        <f t="shared" ca="1" si="12"/>
        <v>#VALUE!</v>
      </c>
      <c r="GO12" s="302" t="e">
        <f t="shared" ca="1" si="12"/>
        <v>#VALUE!</v>
      </c>
      <c r="GP12" s="301">
        <f t="shared" si="13"/>
        <v>64</v>
      </c>
      <c r="GQ12" s="301">
        <f t="shared" si="13"/>
        <v>128</v>
      </c>
      <c r="GR12" s="301">
        <f t="shared" si="13"/>
        <v>128</v>
      </c>
      <c r="GS12" s="301">
        <f t="shared" si="13"/>
        <v>128</v>
      </c>
      <c r="GT12" s="301">
        <f t="shared" si="13"/>
        <v>128</v>
      </c>
      <c r="GU12" s="303">
        <f t="shared" si="13"/>
        <v>128</v>
      </c>
      <c r="GV12" s="302">
        <f t="shared" si="13"/>
        <v>96</v>
      </c>
      <c r="GW12" s="302">
        <f t="shared" si="13"/>
        <v>48</v>
      </c>
      <c r="GX12" s="302">
        <f t="shared" si="13"/>
        <v>0</v>
      </c>
      <c r="GY12" s="302">
        <f t="shared" si="13"/>
        <v>0</v>
      </c>
      <c r="GZ12" s="302">
        <f t="shared" si="13"/>
        <v>0</v>
      </c>
      <c r="HA12" s="302">
        <f t="shared" si="13"/>
        <v>0</v>
      </c>
      <c r="HB12" s="302">
        <f t="shared" si="13"/>
        <v>0</v>
      </c>
      <c r="HC12" s="302">
        <f t="shared" si="13"/>
        <v>0</v>
      </c>
      <c r="HD12" s="302">
        <f t="shared" si="13"/>
        <v>0</v>
      </c>
      <c r="HE12" s="302">
        <f t="shared" si="13"/>
        <v>0</v>
      </c>
      <c r="HF12" s="304" t="e">
        <f t="shared" ca="1" si="14"/>
        <v>#VALUE!</v>
      </c>
      <c r="HG12" s="305" t="e">
        <f t="shared" ca="1" si="15"/>
        <v>#VALUE!</v>
      </c>
    </row>
    <row r="13" spans="1:215" s="306" customFormat="1" ht="15.75" customHeight="1">
      <c r="A13" s="291"/>
      <c r="B13" s="292" t="s">
        <v>348</v>
      </c>
      <c r="C13" s="292" t="s">
        <v>53</v>
      </c>
      <c r="D13" s="292" t="s">
        <v>53</v>
      </c>
      <c r="E13" s="292" t="s">
        <v>362</v>
      </c>
      <c r="F13" s="292" t="s">
        <v>186</v>
      </c>
      <c r="G13" s="292" t="s">
        <v>350</v>
      </c>
      <c r="H13" s="292" t="s">
        <v>351</v>
      </c>
      <c r="I13" s="292" t="s">
        <v>352</v>
      </c>
      <c r="J13" s="292" t="s">
        <v>186</v>
      </c>
      <c r="K13" s="292" t="s">
        <v>353</v>
      </c>
      <c r="L13" s="292" t="s">
        <v>359</v>
      </c>
      <c r="M13" s="292" t="s">
        <v>363</v>
      </c>
      <c r="N13" s="292" t="str">
        <f t="shared" si="0"/>
        <v>PMO-PMO</v>
      </c>
      <c r="O13" s="292" t="str">
        <f t="shared" si="1"/>
        <v>Technology-Senior Consultant-US-Consulting</v>
      </c>
      <c r="P13" s="292" t="str">
        <f t="shared" si="2"/>
        <v>PMO - Technology</v>
      </c>
      <c r="Q13" s="293">
        <f t="shared" si="3"/>
        <v>1017900</v>
      </c>
      <c r="R13" s="294">
        <f t="shared" si="4"/>
        <v>140400</v>
      </c>
      <c r="S13" s="295" t="e">
        <f t="shared" ca="1" si="5"/>
        <v>#VALUE!</v>
      </c>
      <c r="T13" s="295">
        <f t="shared" si="6"/>
        <v>3915</v>
      </c>
      <c r="U13" s="296" t="str">
        <f t="shared" si="7"/>
        <v>Technology - Senior Consultant</v>
      </c>
      <c r="V13" s="295" t="str">
        <f t="shared" si="8"/>
        <v>3-5 years</v>
      </c>
      <c r="W13" s="292" t="str">
        <f t="shared" si="9"/>
        <v>Onshore</v>
      </c>
      <c r="X13" s="292" t="s">
        <v>261</v>
      </c>
      <c r="Y13" s="292" t="s">
        <v>259</v>
      </c>
      <c r="Z13" s="292" t="s">
        <v>364</v>
      </c>
      <c r="AA13" s="297">
        <f>[1]Resourcing!QD17</f>
        <v>402.16037037037</v>
      </c>
      <c r="AB13" s="298">
        <f t="shared" si="10"/>
        <v>260</v>
      </c>
      <c r="AC13" s="299"/>
      <c r="AD13" s="299"/>
      <c r="AE13" s="299"/>
      <c r="AF13" s="299"/>
      <c r="AG13" s="299"/>
      <c r="AH13" s="299"/>
      <c r="AI13" s="299"/>
      <c r="AJ13" s="299"/>
      <c r="AK13" s="299"/>
      <c r="AL13" s="299"/>
      <c r="AM13" s="299"/>
      <c r="AN13" s="299"/>
      <c r="AO13" s="299"/>
      <c r="AP13" s="299"/>
      <c r="AQ13" s="299"/>
      <c r="AR13" s="299"/>
      <c r="AS13" s="299"/>
      <c r="AT13" s="299"/>
      <c r="AU13" s="299"/>
      <c r="AV13" s="299"/>
      <c r="AW13" s="299"/>
      <c r="AX13" s="299"/>
      <c r="AY13" s="299"/>
      <c r="AZ13" s="299"/>
      <c r="BA13" s="299"/>
      <c r="BB13" s="299"/>
      <c r="BC13" s="299">
        <v>45</v>
      </c>
      <c r="BD13" s="299">
        <v>45</v>
      </c>
      <c r="BE13" s="299">
        <v>45</v>
      </c>
      <c r="BF13" s="299">
        <v>45</v>
      </c>
      <c r="BG13" s="299">
        <v>45</v>
      </c>
      <c r="BH13" s="299">
        <v>45</v>
      </c>
      <c r="BI13" s="299">
        <v>45</v>
      </c>
      <c r="BJ13" s="299">
        <v>45</v>
      </c>
      <c r="BK13" s="299">
        <v>45</v>
      </c>
      <c r="BL13" s="299">
        <v>45</v>
      </c>
      <c r="BM13" s="299">
        <v>45</v>
      </c>
      <c r="BN13" s="299">
        <v>45</v>
      </c>
      <c r="BO13" s="299">
        <v>45</v>
      </c>
      <c r="BP13" s="299">
        <v>45</v>
      </c>
      <c r="BQ13" s="299">
        <v>45</v>
      </c>
      <c r="BR13" s="299"/>
      <c r="BS13" s="299"/>
      <c r="BT13" s="299">
        <v>45</v>
      </c>
      <c r="BU13" s="299">
        <v>45</v>
      </c>
      <c r="BV13" s="299">
        <v>45</v>
      </c>
      <c r="BW13" s="299">
        <v>45</v>
      </c>
      <c r="BX13" s="299">
        <v>45</v>
      </c>
      <c r="BY13" s="299">
        <v>45</v>
      </c>
      <c r="BZ13" s="299">
        <v>45</v>
      </c>
      <c r="CA13" s="299">
        <v>45</v>
      </c>
      <c r="CB13" s="299">
        <v>45</v>
      </c>
      <c r="CC13" s="299">
        <v>45</v>
      </c>
      <c r="CD13" s="299">
        <v>45</v>
      </c>
      <c r="CE13" s="299">
        <v>45</v>
      </c>
      <c r="CF13" s="299">
        <v>45</v>
      </c>
      <c r="CG13" s="299">
        <v>45</v>
      </c>
      <c r="CH13" s="299">
        <v>45</v>
      </c>
      <c r="CI13" s="299">
        <v>45</v>
      </c>
      <c r="CJ13" s="299">
        <v>45</v>
      </c>
      <c r="CK13" s="299">
        <v>45</v>
      </c>
      <c r="CL13" s="299">
        <v>45</v>
      </c>
      <c r="CM13" s="299">
        <v>45</v>
      </c>
      <c r="CN13" s="299">
        <v>45</v>
      </c>
      <c r="CO13" s="299">
        <v>45</v>
      </c>
      <c r="CP13" s="299">
        <v>45</v>
      </c>
      <c r="CQ13" s="299">
        <v>45</v>
      </c>
      <c r="CR13" s="299">
        <v>45</v>
      </c>
      <c r="CS13" s="299">
        <v>45</v>
      </c>
      <c r="CT13" s="299">
        <v>45</v>
      </c>
      <c r="CU13" s="299">
        <v>45</v>
      </c>
      <c r="CV13" s="299">
        <v>45</v>
      </c>
      <c r="CW13" s="299">
        <v>45</v>
      </c>
      <c r="CX13" s="299">
        <v>45</v>
      </c>
      <c r="CY13" s="299">
        <v>45</v>
      </c>
      <c r="CZ13" s="299">
        <v>45</v>
      </c>
      <c r="DA13" s="299">
        <v>45</v>
      </c>
      <c r="DB13" s="299">
        <v>45</v>
      </c>
      <c r="DC13" s="299">
        <v>45</v>
      </c>
      <c r="DD13" s="299">
        <v>45</v>
      </c>
      <c r="DE13" s="299">
        <v>45</v>
      </c>
      <c r="DF13" s="299">
        <v>45</v>
      </c>
      <c r="DG13" s="299">
        <v>45</v>
      </c>
      <c r="DH13" s="292">
        <v>45</v>
      </c>
      <c r="DI13" s="292">
        <v>45</v>
      </c>
      <c r="DJ13" s="292">
        <v>45</v>
      </c>
      <c r="DK13" s="292">
        <v>45</v>
      </c>
      <c r="DL13" s="299">
        <v>45</v>
      </c>
      <c r="DM13" s="299">
        <v>45</v>
      </c>
      <c r="DN13" s="299">
        <v>45</v>
      </c>
      <c r="DO13" s="299">
        <v>45</v>
      </c>
      <c r="DP13" s="299">
        <v>45</v>
      </c>
      <c r="DQ13" s="299">
        <v>45</v>
      </c>
      <c r="DR13" s="299"/>
      <c r="DS13" s="299"/>
      <c r="DT13" s="299">
        <v>45</v>
      </c>
      <c r="DU13" s="299">
        <v>45</v>
      </c>
      <c r="DV13" s="299">
        <v>45</v>
      </c>
      <c r="DW13" s="299">
        <v>45</v>
      </c>
      <c r="DX13" s="299">
        <v>45</v>
      </c>
      <c r="DY13" s="299">
        <v>45</v>
      </c>
      <c r="DZ13" s="299">
        <v>45</v>
      </c>
      <c r="EA13" s="299">
        <v>45</v>
      </c>
      <c r="EB13" s="299">
        <v>45</v>
      </c>
      <c r="EC13" s="299">
        <v>45</v>
      </c>
      <c r="ED13" s="299">
        <v>45</v>
      </c>
      <c r="EE13" s="299">
        <v>45</v>
      </c>
      <c r="EF13" s="299">
        <v>45</v>
      </c>
      <c r="EG13" s="299">
        <v>45</v>
      </c>
      <c r="EH13" s="299">
        <v>45</v>
      </c>
      <c r="EI13" s="299">
        <v>45</v>
      </c>
      <c r="EJ13" s="299">
        <v>45</v>
      </c>
      <c r="EK13" s="299">
        <v>45</v>
      </c>
      <c r="EL13" s="299">
        <v>45</v>
      </c>
      <c r="EM13" s="299">
        <v>45</v>
      </c>
      <c r="EN13" s="299">
        <v>45</v>
      </c>
      <c r="EO13" s="299">
        <v>45</v>
      </c>
      <c r="EP13" s="299"/>
      <c r="EQ13" s="299"/>
      <c r="ER13" s="299"/>
      <c r="ES13" s="299"/>
      <c r="ET13" s="299"/>
      <c r="EU13" s="299"/>
      <c r="EV13" s="299"/>
      <c r="EW13" s="299"/>
      <c r="EX13" s="299"/>
      <c r="EY13" s="299"/>
      <c r="EZ13" s="299"/>
      <c r="FA13" s="299"/>
      <c r="FB13" s="299"/>
      <c r="FC13" s="299"/>
      <c r="FD13" s="299"/>
      <c r="FE13" s="299"/>
      <c r="FF13" s="299"/>
      <c r="FG13" s="299"/>
      <c r="FH13" s="299"/>
      <c r="FI13" s="299"/>
      <c r="FJ13" s="299"/>
      <c r="FK13" s="299"/>
      <c r="FL13" s="299"/>
      <c r="FM13" s="299"/>
      <c r="FN13" s="299"/>
      <c r="FO13" s="299"/>
      <c r="FP13" s="299"/>
      <c r="FQ13" s="300">
        <v>90</v>
      </c>
      <c r="FR13" s="300" t="e">
        <f t="shared" ref="FR13:GA22" ca="1" si="16">SUMIF($AC$11:$FP$11,FR$12,$AC13:$FP13)</f>
        <v>#VALUE!</v>
      </c>
      <c r="FS13" s="300" t="e">
        <f t="shared" ca="1" si="16"/>
        <v>#VALUE!</v>
      </c>
      <c r="FT13" s="300" t="e">
        <f t="shared" ca="1" si="16"/>
        <v>#VALUE!</v>
      </c>
      <c r="FU13" s="300" t="e">
        <f t="shared" ca="1" si="16"/>
        <v>#VALUE!</v>
      </c>
      <c r="FV13" s="300" t="e">
        <f t="shared" ca="1" si="16"/>
        <v>#VALUE!</v>
      </c>
      <c r="FW13" s="300" t="e">
        <f t="shared" ca="1" si="16"/>
        <v>#VALUE!</v>
      </c>
      <c r="FX13" s="300" t="e">
        <f t="shared" ca="1" si="16"/>
        <v>#VALUE!</v>
      </c>
      <c r="FY13" s="300" t="e">
        <f t="shared" ca="1" si="16"/>
        <v>#VALUE!</v>
      </c>
      <c r="FZ13" s="300" t="e">
        <f t="shared" ca="1" si="16"/>
        <v>#VALUE!</v>
      </c>
      <c r="GA13" s="301" t="e">
        <f t="shared" ca="1" si="16"/>
        <v>#VALUE!</v>
      </c>
      <c r="GB13" s="301" t="e">
        <f t="shared" ref="GB13:GO22" ca="1" si="17">SUMIF($AC$11:$FP$11,GB$12,$AC13:$FP13)</f>
        <v>#VALUE!</v>
      </c>
      <c r="GC13" s="301" t="e">
        <f t="shared" ca="1" si="17"/>
        <v>#VALUE!</v>
      </c>
      <c r="GD13" s="301" t="e">
        <f t="shared" ca="1" si="17"/>
        <v>#VALUE!</v>
      </c>
      <c r="GE13" s="301" t="e">
        <f t="shared" ca="1" si="17"/>
        <v>#VALUE!</v>
      </c>
      <c r="GF13" s="301" t="e">
        <f t="shared" ca="1" si="17"/>
        <v>#VALUE!</v>
      </c>
      <c r="GG13" s="301" t="e">
        <f t="shared" ca="1" si="17"/>
        <v>#VALUE!</v>
      </c>
      <c r="GH13" s="301" t="e">
        <f t="shared" ca="1" si="17"/>
        <v>#VALUE!</v>
      </c>
      <c r="GI13" s="301" t="e">
        <f t="shared" ca="1" si="17"/>
        <v>#VALUE!</v>
      </c>
      <c r="GJ13" s="301" t="e">
        <f t="shared" ca="1" si="17"/>
        <v>#VALUE!</v>
      </c>
      <c r="GK13" s="301" t="e">
        <f t="shared" ca="1" si="17"/>
        <v>#VALUE!</v>
      </c>
      <c r="GL13" s="301" t="e">
        <f t="shared" ca="1" si="17"/>
        <v>#VALUE!</v>
      </c>
      <c r="GM13" s="301" t="e">
        <f t="shared" ca="1" si="17"/>
        <v>#VALUE!</v>
      </c>
      <c r="GN13" s="302" t="e">
        <f t="shared" ca="1" si="17"/>
        <v>#VALUE!</v>
      </c>
      <c r="GO13" s="302" t="e">
        <f t="shared" ca="1" si="17"/>
        <v>#VALUE!</v>
      </c>
      <c r="GP13" s="301">
        <f t="shared" si="13"/>
        <v>90</v>
      </c>
      <c r="GQ13" s="301">
        <f t="shared" si="13"/>
        <v>180</v>
      </c>
      <c r="GR13" s="301">
        <f t="shared" si="13"/>
        <v>180</v>
      </c>
      <c r="GS13" s="301">
        <f t="shared" si="13"/>
        <v>180</v>
      </c>
      <c r="GT13" s="301">
        <f t="shared" si="13"/>
        <v>180</v>
      </c>
      <c r="GU13" s="303">
        <f t="shared" si="13"/>
        <v>180</v>
      </c>
      <c r="GV13" s="302">
        <f t="shared" si="13"/>
        <v>90</v>
      </c>
      <c r="GW13" s="302">
        <f t="shared" si="13"/>
        <v>0</v>
      </c>
      <c r="GX13" s="302">
        <f t="shared" si="13"/>
        <v>0</v>
      </c>
      <c r="GY13" s="302">
        <f t="shared" si="13"/>
        <v>0</v>
      </c>
      <c r="GZ13" s="302">
        <f t="shared" si="13"/>
        <v>0</v>
      </c>
      <c r="HA13" s="302">
        <f t="shared" si="13"/>
        <v>0</v>
      </c>
      <c r="HB13" s="302">
        <f t="shared" si="13"/>
        <v>0</v>
      </c>
      <c r="HC13" s="302">
        <f t="shared" si="13"/>
        <v>0</v>
      </c>
      <c r="HD13" s="302">
        <f t="shared" si="13"/>
        <v>0</v>
      </c>
      <c r="HE13" s="302">
        <f t="shared" si="13"/>
        <v>0</v>
      </c>
      <c r="HF13" s="304" t="e">
        <f t="shared" ca="1" si="14"/>
        <v>#VALUE!</v>
      </c>
      <c r="HG13" s="305" t="e">
        <f t="shared" ca="1" si="15"/>
        <v>#VALUE!</v>
      </c>
    </row>
    <row r="14" spans="1:215" s="306" customFormat="1" ht="15.75" customHeight="1">
      <c r="A14" s="291"/>
      <c r="B14" s="292" t="s">
        <v>348</v>
      </c>
      <c r="C14" s="292" t="s">
        <v>53</v>
      </c>
      <c r="D14" s="292" t="s">
        <v>53</v>
      </c>
      <c r="E14" s="292" t="s">
        <v>365</v>
      </c>
      <c r="F14" s="292" t="s">
        <v>184</v>
      </c>
      <c r="G14" s="292" t="s">
        <v>350</v>
      </c>
      <c r="H14" s="292" t="s">
        <v>351</v>
      </c>
      <c r="I14" s="292" t="s">
        <v>352</v>
      </c>
      <c r="J14" s="292" t="s">
        <v>184</v>
      </c>
      <c r="K14" s="292" t="s">
        <v>353</v>
      </c>
      <c r="L14" s="292" t="s">
        <v>354</v>
      </c>
      <c r="M14" s="292" t="s">
        <v>355</v>
      </c>
      <c r="N14" s="292" t="str">
        <f t="shared" si="0"/>
        <v>PMO-PMO</v>
      </c>
      <c r="O14" s="292" t="str">
        <f t="shared" si="1"/>
        <v>Technology-Principal-India-Consulting</v>
      </c>
      <c r="P14" s="292" t="str">
        <f t="shared" si="2"/>
        <v>PMO - Technology</v>
      </c>
      <c r="Q14" s="293">
        <f t="shared" si="3"/>
        <v>95040</v>
      </c>
      <c r="R14" s="294">
        <f t="shared" si="4"/>
        <v>8640</v>
      </c>
      <c r="S14" s="295" t="e">
        <f t="shared" ca="1" si="5"/>
        <v>#VALUE!</v>
      </c>
      <c r="T14" s="295">
        <f t="shared" si="6"/>
        <v>528</v>
      </c>
      <c r="U14" s="296" t="str">
        <f t="shared" si="7"/>
        <v>Technology - Principal</v>
      </c>
      <c r="V14" s="295" t="str">
        <f t="shared" si="8"/>
        <v>15+ years</v>
      </c>
      <c r="W14" s="292" t="str">
        <f t="shared" si="9"/>
        <v>Offshore</v>
      </c>
      <c r="X14" s="292" t="s">
        <v>261</v>
      </c>
      <c r="Y14" s="292" t="s">
        <v>259</v>
      </c>
      <c r="Z14" s="292" t="s">
        <v>242</v>
      </c>
      <c r="AA14" s="297">
        <f>[1]Resourcing!QD18</f>
        <v>403.10062773722598</v>
      </c>
      <c r="AB14" s="298">
        <f t="shared" si="10"/>
        <v>180</v>
      </c>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v>4</v>
      </c>
      <c r="BD14" s="299">
        <v>4</v>
      </c>
      <c r="BE14" s="299">
        <v>4</v>
      </c>
      <c r="BF14" s="299">
        <v>4</v>
      </c>
      <c r="BG14" s="299">
        <v>4</v>
      </c>
      <c r="BH14" s="299">
        <v>4</v>
      </c>
      <c r="BI14" s="299">
        <v>4</v>
      </c>
      <c r="BJ14" s="299">
        <v>4</v>
      </c>
      <c r="BK14" s="299">
        <v>4</v>
      </c>
      <c r="BL14" s="299">
        <v>4</v>
      </c>
      <c r="BM14" s="299">
        <v>4</v>
      </c>
      <c r="BN14" s="299">
        <v>4</v>
      </c>
      <c r="BO14" s="299">
        <v>6</v>
      </c>
      <c r="BP14" s="299">
        <v>6</v>
      </c>
      <c r="BQ14" s="299">
        <v>6</v>
      </c>
      <c r="BR14" s="299"/>
      <c r="BS14" s="299"/>
      <c r="BT14" s="299">
        <v>6</v>
      </c>
      <c r="BU14" s="299">
        <v>6</v>
      </c>
      <c r="BV14" s="299">
        <v>6</v>
      </c>
      <c r="BW14" s="299">
        <v>6</v>
      </c>
      <c r="BX14" s="299">
        <v>6</v>
      </c>
      <c r="BY14" s="299">
        <v>6</v>
      </c>
      <c r="BZ14" s="299">
        <v>6</v>
      </c>
      <c r="CA14" s="299">
        <v>6</v>
      </c>
      <c r="CB14" s="299">
        <v>6</v>
      </c>
      <c r="CC14" s="299">
        <v>6</v>
      </c>
      <c r="CD14" s="299">
        <v>6</v>
      </c>
      <c r="CE14" s="299">
        <v>6</v>
      </c>
      <c r="CF14" s="299">
        <v>6</v>
      </c>
      <c r="CG14" s="299">
        <v>6</v>
      </c>
      <c r="CH14" s="299">
        <v>6</v>
      </c>
      <c r="CI14" s="299">
        <v>6</v>
      </c>
      <c r="CJ14" s="299">
        <v>6</v>
      </c>
      <c r="CK14" s="299">
        <v>6</v>
      </c>
      <c r="CL14" s="299">
        <v>6</v>
      </c>
      <c r="CM14" s="299">
        <v>6</v>
      </c>
      <c r="CN14" s="299">
        <v>6</v>
      </c>
      <c r="CO14" s="299">
        <v>6</v>
      </c>
      <c r="CP14" s="299">
        <v>6</v>
      </c>
      <c r="CQ14" s="299">
        <v>6</v>
      </c>
      <c r="CR14" s="299">
        <v>6</v>
      </c>
      <c r="CS14" s="299">
        <v>6</v>
      </c>
      <c r="CT14" s="299">
        <v>6</v>
      </c>
      <c r="CU14" s="299">
        <v>6</v>
      </c>
      <c r="CV14" s="299">
        <v>6</v>
      </c>
      <c r="CW14" s="299">
        <v>6</v>
      </c>
      <c r="CX14" s="299">
        <v>6</v>
      </c>
      <c r="CY14" s="299">
        <v>6</v>
      </c>
      <c r="CZ14" s="299">
        <v>6</v>
      </c>
      <c r="DA14" s="299">
        <v>6</v>
      </c>
      <c r="DB14" s="299">
        <v>6</v>
      </c>
      <c r="DC14" s="299">
        <v>6</v>
      </c>
      <c r="DD14" s="299">
        <v>6</v>
      </c>
      <c r="DE14" s="299">
        <v>6</v>
      </c>
      <c r="DF14" s="299">
        <v>6</v>
      </c>
      <c r="DG14" s="299">
        <v>6</v>
      </c>
      <c r="DH14" s="292">
        <v>6</v>
      </c>
      <c r="DI14" s="292">
        <v>6</v>
      </c>
      <c r="DJ14" s="292">
        <v>6</v>
      </c>
      <c r="DK14" s="292">
        <v>6</v>
      </c>
      <c r="DL14" s="299">
        <v>6</v>
      </c>
      <c r="DM14" s="299">
        <v>6</v>
      </c>
      <c r="DN14" s="299">
        <v>6</v>
      </c>
      <c r="DO14" s="299">
        <v>6</v>
      </c>
      <c r="DP14" s="299">
        <v>6</v>
      </c>
      <c r="DQ14" s="299">
        <v>6</v>
      </c>
      <c r="DR14" s="299"/>
      <c r="DS14" s="299"/>
      <c r="DT14" s="299">
        <v>6</v>
      </c>
      <c r="DU14" s="299">
        <v>6</v>
      </c>
      <c r="DV14" s="299">
        <v>6</v>
      </c>
      <c r="DW14" s="299">
        <v>6</v>
      </c>
      <c r="DX14" s="299">
        <v>6</v>
      </c>
      <c r="DY14" s="299">
        <v>6</v>
      </c>
      <c r="DZ14" s="299">
        <v>6</v>
      </c>
      <c r="EA14" s="299">
        <v>6</v>
      </c>
      <c r="EB14" s="299">
        <v>6</v>
      </c>
      <c r="EC14" s="299">
        <v>6</v>
      </c>
      <c r="ED14" s="299">
        <v>6</v>
      </c>
      <c r="EE14" s="299">
        <v>6</v>
      </c>
      <c r="EF14" s="299">
        <v>6</v>
      </c>
      <c r="EG14" s="299">
        <v>6</v>
      </c>
      <c r="EH14" s="299">
        <v>6</v>
      </c>
      <c r="EI14" s="299">
        <v>6</v>
      </c>
      <c r="EJ14" s="299">
        <v>6</v>
      </c>
      <c r="EK14" s="299">
        <v>6</v>
      </c>
      <c r="EL14" s="299">
        <v>6</v>
      </c>
      <c r="EM14" s="299">
        <v>6</v>
      </c>
      <c r="EN14" s="299">
        <v>6</v>
      </c>
      <c r="EO14" s="299">
        <v>6</v>
      </c>
      <c r="EP14" s="299">
        <v>6</v>
      </c>
      <c r="EQ14" s="299">
        <v>6</v>
      </c>
      <c r="ER14" s="299">
        <v>6</v>
      </c>
      <c r="ES14" s="299">
        <v>6</v>
      </c>
      <c r="ET14" s="299">
        <v>6</v>
      </c>
      <c r="EU14" s="299"/>
      <c r="EV14" s="299"/>
      <c r="EW14" s="299"/>
      <c r="EX14" s="299"/>
      <c r="EY14" s="299"/>
      <c r="EZ14" s="299"/>
      <c r="FA14" s="299"/>
      <c r="FB14" s="299"/>
      <c r="FC14" s="299"/>
      <c r="FD14" s="299"/>
      <c r="FE14" s="299"/>
      <c r="FF14" s="299"/>
      <c r="FG14" s="299"/>
      <c r="FH14" s="299"/>
      <c r="FI14" s="299"/>
      <c r="FJ14" s="299"/>
      <c r="FK14" s="299"/>
      <c r="FL14" s="299"/>
      <c r="FM14" s="299"/>
      <c r="FN14" s="299"/>
      <c r="FO14" s="299"/>
      <c r="FP14" s="299"/>
      <c r="FQ14" s="300" t="e">
        <f t="shared" ref="FQ14:FQ45" ca="1" si="18">SUMIF($AC$11:$FP$11,FQ$12,$AC14:$FP14)</f>
        <v>#VALUE!</v>
      </c>
      <c r="FR14" s="300" t="e">
        <f t="shared" ca="1" si="16"/>
        <v>#VALUE!</v>
      </c>
      <c r="FS14" s="300" t="e">
        <f t="shared" ca="1" si="16"/>
        <v>#VALUE!</v>
      </c>
      <c r="FT14" s="300" t="e">
        <f t="shared" ca="1" si="16"/>
        <v>#VALUE!</v>
      </c>
      <c r="FU14" s="300" t="e">
        <f t="shared" ca="1" si="16"/>
        <v>#VALUE!</v>
      </c>
      <c r="FV14" s="300" t="e">
        <f t="shared" ca="1" si="16"/>
        <v>#VALUE!</v>
      </c>
      <c r="FW14" s="300" t="e">
        <f t="shared" ca="1" si="16"/>
        <v>#VALUE!</v>
      </c>
      <c r="FX14" s="300" t="e">
        <f t="shared" ca="1" si="16"/>
        <v>#VALUE!</v>
      </c>
      <c r="FY14" s="300" t="e">
        <f t="shared" ca="1" si="16"/>
        <v>#VALUE!</v>
      </c>
      <c r="FZ14" s="300" t="e">
        <f t="shared" ca="1" si="16"/>
        <v>#VALUE!</v>
      </c>
      <c r="GA14" s="301" t="e">
        <f t="shared" ca="1" si="16"/>
        <v>#VALUE!</v>
      </c>
      <c r="GB14" s="301" t="e">
        <f t="shared" ca="1" si="17"/>
        <v>#VALUE!</v>
      </c>
      <c r="GC14" s="301" t="e">
        <f t="shared" ca="1" si="17"/>
        <v>#VALUE!</v>
      </c>
      <c r="GD14" s="301" t="e">
        <f t="shared" ca="1" si="17"/>
        <v>#VALUE!</v>
      </c>
      <c r="GE14" s="301" t="e">
        <f t="shared" ca="1" si="17"/>
        <v>#VALUE!</v>
      </c>
      <c r="GF14" s="301" t="e">
        <f t="shared" ca="1" si="17"/>
        <v>#VALUE!</v>
      </c>
      <c r="GG14" s="301" t="e">
        <f t="shared" ca="1" si="17"/>
        <v>#VALUE!</v>
      </c>
      <c r="GH14" s="301" t="e">
        <f t="shared" ca="1" si="17"/>
        <v>#VALUE!</v>
      </c>
      <c r="GI14" s="301" t="e">
        <f t="shared" ca="1" si="17"/>
        <v>#VALUE!</v>
      </c>
      <c r="GJ14" s="301" t="e">
        <f t="shared" ca="1" si="17"/>
        <v>#VALUE!</v>
      </c>
      <c r="GK14" s="301" t="e">
        <f t="shared" ca="1" si="17"/>
        <v>#VALUE!</v>
      </c>
      <c r="GL14" s="301" t="e">
        <f t="shared" ca="1" si="17"/>
        <v>#VALUE!</v>
      </c>
      <c r="GM14" s="301" t="e">
        <f t="shared" ca="1" si="17"/>
        <v>#VALUE!</v>
      </c>
      <c r="GN14" s="302" t="e">
        <f t="shared" ca="1" si="17"/>
        <v>#VALUE!</v>
      </c>
      <c r="GO14" s="302" t="e">
        <f t="shared" ca="1" si="17"/>
        <v>#VALUE!</v>
      </c>
      <c r="GP14" s="301">
        <f t="shared" si="13"/>
        <v>12</v>
      </c>
      <c r="GQ14" s="301">
        <f t="shared" si="13"/>
        <v>24</v>
      </c>
      <c r="GR14" s="301">
        <f t="shared" si="13"/>
        <v>24</v>
      </c>
      <c r="GS14" s="301">
        <f t="shared" si="13"/>
        <v>24</v>
      </c>
      <c r="GT14" s="301">
        <f t="shared" si="13"/>
        <v>24</v>
      </c>
      <c r="GU14" s="303">
        <f t="shared" si="13"/>
        <v>24</v>
      </c>
      <c r="GV14" s="302">
        <f t="shared" si="13"/>
        <v>24</v>
      </c>
      <c r="GW14" s="302">
        <f t="shared" si="13"/>
        <v>18</v>
      </c>
      <c r="GX14" s="302">
        <f t="shared" si="13"/>
        <v>0</v>
      </c>
      <c r="GY14" s="302">
        <f t="shared" si="13"/>
        <v>0</v>
      </c>
      <c r="GZ14" s="302">
        <f t="shared" si="13"/>
        <v>0</v>
      </c>
      <c r="HA14" s="302">
        <f t="shared" si="13"/>
        <v>0</v>
      </c>
      <c r="HB14" s="302">
        <f t="shared" si="13"/>
        <v>0</v>
      </c>
      <c r="HC14" s="302">
        <f t="shared" si="13"/>
        <v>0</v>
      </c>
      <c r="HD14" s="302">
        <f t="shared" si="13"/>
        <v>0</v>
      </c>
      <c r="HE14" s="302">
        <f t="shared" si="13"/>
        <v>0</v>
      </c>
      <c r="HF14" s="304" t="e">
        <f t="shared" ca="1" si="14"/>
        <v>#VALUE!</v>
      </c>
      <c r="HG14" s="305" t="e">
        <f t="shared" ca="1" si="15"/>
        <v>#VALUE!</v>
      </c>
    </row>
    <row r="15" spans="1:215" s="306" customFormat="1" ht="15" customHeight="1">
      <c r="A15" s="291"/>
      <c r="B15" s="292" t="s">
        <v>348</v>
      </c>
      <c r="C15" s="292" t="s">
        <v>53</v>
      </c>
      <c r="D15" s="292" t="s">
        <v>53</v>
      </c>
      <c r="E15" s="292" t="s">
        <v>366</v>
      </c>
      <c r="F15" s="292" t="s">
        <v>184</v>
      </c>
      <c r="G15" s="292" t="s">
        <v>350</v>
      </c>
      <c r="H15" s="292" t="s">
        <v>351</v>
      </c>
      <c r="I15" s="292" t="s">
        <v>352</v>
      </c>
      <c r="J15" s="292" t="s">
        <v>184</v>
      </c>
      <c r="K15" s="292" t="s">
        <v>353</v>
      </c>
      <c r="L15" s="292" t="s">
        <v>359</v>
      </c>
      <c r="M15" s="292" t="s">
        <v>360</v>
      </c>
      <c r="N15" s="292" t="str">
        <f t="shared" si="0"/>
        <v>PMO-PMO</v>
      </c>
      <c r="O15" s="292" t="str">
        <f t="shared" si="1"/>
        <v>Technology-Senior Manager-India-Consulting</v>
      </c>
      <c r="P15" s="292" t="str">
        <f t="shared" si="2"/>
        <v>PMO - Technology</v>
      </c>
      <c r="Q15" s="293">
        <f t="shared" si="3"/>
        <v>394496</v>
      </c>
      <c r="R15" s="294">
        <f t="shared" si="4"/>
        <v>51456</v>
      </c>
      <c r="S15" s="295" t="e">
        <f t="shared" ca="1" si="5"/>
        <v>#VALUE!</v>
      </c>
      <c r="T15" s="295">
        <f t="shared" si="6"/>
        <v>2944</v>
      </c>
      <c r="U15" s="296" t="str">
        <f t="shared" si="7"/>
        <v>Technology - Senior Manager</v>
      </c>
      <c r="V15" s="295" t="str">
        <f t="shared" si="8"/>
        <v>7-10 years</v>
      </c>
      <c r="W15" s="292" t="str">
        <f t="shared" si="9"/>
        <v>Offshore</v>
      </c>
      <c r="X15" s="292" t="s">
        <v>261</v>
      </c>
      <c r="Y15" s="292" t="s">
        <v>259</v>
      </c>
      <c r="Z15" s="292" t="s">
        <v>361</v>
      </c>
      <c r="AA15" s="297">
        <f>[1]Resourcing!QD19</f>
        <v>380.11731843575399</v>
      </c>
      <c r="AB15" s="298">
        <f t="shared" si="10"/>
        <v>134</v>
      </c>
      <c r="AC15" s="299"/>
      <c r="AD15" s="299"/>
      <c r="AE15" s="299"/>
      <c r="AF15" s="299"/>
      <c r="AG15" s="299"/>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299">
        <v>32</v>
      </c>
      <c r="BD15" s="299">
        <v>32</v>
      </c>
      <c r="BE15" s="299">
        <v>32</v>
      </c>
      <c r="BF15" s="299">
        <v>32</v>
      </c>
      <c r="BG15" s="299">
        <v>32</v>
      </c>
      <c r="BH15" s="299">
        <v>32</v>
      </c>
      <c r="BI15" s="299">
        <v>32</v>
      </c>
      <c r="BJ15" s="299">
        <v>32</v>
      </c>
      <c r="BK15" s="299">
        <v>32</v>
      </c>
      <c r="BL15" s="299">
        <v>32</v>
      </c>
      <c r="BM15" s="299">
        <v>32</v>
      </c>
      <c r="BN15" s="299">
        <v>32</v>
      </c>
      <c r="BO15" s="299">
        <v>32</v>
      </c>
      <c r="BP15" s="299">
        <v>32</v>
      </c>
      <c r="BQ15" s="299">
        <v>32</v>
      </c>
      <c r="BR15" s="299"/>
      <c r="BS15" s="299"/>
      <c r="BT15" s="299">
        <v>32</v>
      </c>
      <c r="BU15" s="299">
        <v>32</v>
      </c>
      <c r="BV15" s="299">
        <v>32</v>
      </c>
      <c r="BW15" s="299">
        <v>32</v>
      </c>
      <c r="BX15" s="299">
        <v>32</v>
      </c>
      <c r="BY15" s="299">
        <v>32</v>
      </c>
      <c r="BZ15" s="299">
        <v>32</v>
      </c>
      <c r="CA15" s="299">
        <v>32</v>
      </c>
      <c r="CB15" s="299">
        <v>32</v>
      </c>
      <c r="CC15" s="299">
        <v>32</v>
      </c>
      <c r="CD15" s="299">
        <v>32</v>
      </c>
      <c r="CE15" s="299">
        <v>32</v>
      </c>
      <c r="CF15" s="299">
        <v>32</v>
      </c>
      <c r="CG15" s="299">
        <v>32</v>
      </c>
      <c r="CH15" s="299">
        <v>32</v>
      </c>
      <c r="CI15" s="299">
        <v>32</v>
      </c>
      <c r="CJ15" s="299">
        <v>32</v>
      </c>
      <c r="CK15" s="299">
        <v>32</v>
      </c>
      <c r="CL15" s="299">
        <v>32</v>
      </c>
      <c r="CM15" s="299">
        <v>32</v>
      </c>
      <c r="CN15" s="299">
        <v>32</v>
      </c>
      <c r="CO15" s="299">
        <v>32</v>
      </c>
      <c r="CP15" s="299">
        <v>32</v>
      </c>
      <c r="CQ15" s="299">
        <v>32</v>
      </c>
      <c r="CR15" s="299">
        <v>32</v>
      </c>
      <c r="CS15" s="299">
        <v>32</v>
      </c>
      <c r="CT15" s="299">
        <v>32</v>
      </c>
      <c r="CU15" s="299">
        <v>32</v>
      </c>
      <c r="CV15" s="299">
        <v>32</v>
      </c>
      <c r="CW15" s="299">
        <v>32</v>
      </c>
      <c r="CX15" s="299">
        <v>32</v>
      </c>
      <c r="CY15" s="299">
        <v>32</v>
      </c>
      <c r="CZ15" s="299">
        <v>32</v>
      </c>
      <c r="DA15" s="299">
        <v>32</v>
      </c>
      <c r="DB15" s="299">
        <v>32</v>
      </c>
      <c r="DC15" s="299">
        <v>32</v>
      </c>
      <c r="DD15" s="299">
        <v>32</v>
      </c>
      <c r="DE15" s="299">
        <v>32</v>
      </c>
      <c r="DF15" s="299">
        <v>32</v>
      </c>
      <c r="DG15" s="299">
        <v>32</v>
      </c>
      <c r="DH15" s="299">
        <v>32</v>
      </c>
      <c r="DI15" s="299">
        <v>32</v>
      </c>
      <c r="DJ15" s="299">
        <v>32</v>
      </c>
      <c r="DK15" s="299">
        <v>32</v>
      </c>
      <c r="DL15" s="299">
        <v>32</v>
      </c>
      <c r="DM15" s="299">
        <v>32</v>
      </c>
      <c r="DN15" s="299">
        <v>32</v>
      </c>
      <c r="DO15" s="299">
        <v>32</v>
      </c>
      <c r="DP15" s="299">
        <v>32</v>
      </c>
      <c r="DQ15" s="299">
        <v>32</v>
      </c>
      <c r="DR15" s="299"/>
      <c r="DS15" s="299"/>
      <c r="DT15" s="299">
        <v>32</v>
      </c>
      <c r="DU15" s="299">
        <v>32</v>
      </c>
      <c r="DV15" s="299">
        <v>32</v>
      </c>
      <c r="DW15" s="299">
        <v>32</v>
      </c>
      <c r="DX15" s="299">
        <v>32</v>
      </c>
      <c r="DY15" s="299">
        <v>32</v>
      </c>
      <c r="DZ15" s="299">
        <v>32</v>
      </c>
      <c r="EA15" s="299">
        <v>32</v>
      </c>
      <c r="EB15" s="299">
        <v>32</v>
      </c>
      <c r="EC15" s="299">
        <v>32</v>
      </c>
      <c r="ED15" s="299">
        <v>32</v>
      </c>
      <c r="EE15" s="299">
        <v>32</v>
      </c>
      <c r="EF15" s="299">
        <v>32</v>
      </c>
      <c r="EG15" s="299">
        <v>32</v>
      </c>
      <c r="EH15" s="299">
        <v>32</v>
      </c>
      <c r="EI15" s="299">
        <v>32</v>
      </c>
      <c r="EJ15" s="299">
        <v>32</v>
      </c>
      <c r="EK15" s="299">
        <v>32</v>
      </c>
      <c r="EL15" s="299">
        <v>32</v>
      </c>
      <c r="EM15" s="299">
        <v>32</v>
      </c>
      <c r="EN15" s="299">
        <v>32</v>
      </c>
      <c r="EO15" s="299">
        <v>32</v>
      </c>
      <c r="EP15" s="299">
        <v>32</v>
      </c>
      <c r="EQ15" s="299">
        <v>32</v>
      </c>
      <c r="ER15" s="299">
        <v>32</v>
      </c>
      <c r="ES15" s="299">
        <v>32</v>
      </c>
      <c r="ET15" s="299">
        <v>32</v>
      </c>
      <c r="EU15" s="299"/>
      <c r="EV15" s="299"/>
      <c r="EW15" s="299"/>
      <c r="EX15" s="299"/>
      <c r="EY15" s="299"/>
      <c r="EZ15" s="299"/>
      <c r="FA15" s="299"/>
      <c r="FB15" s="299"/>
      <c r="FC15" s="299"/>
      <c r="FD15" s="299"/>
      <c r="FE15" s="299"/>
      <c r="FF15" s="299"/>
      <c r="FG15" s="299"/>
      <c r="FH15" s="299"/>
      <c r="FI15" s="299"/>
      <c r="FJ15" s="299"/>
      <c r="FK15" s="299"/>
      <c r="FL15" s="299"/>
      <c r="FM15" s="299"/>
      <c r="FN15" s="299"/>
      <c r="FO15" s="299"/>
      <c r="FP15" s="299"/>
      <c r="FQ15" s="300" t="e">
        <f t="shared" ca="1" si="18"/>
        <v>#VALUE!</v>
      </c>
      <c r="FR15" s="300" t="e">
        <f t="shared" ca="1" si="16"/>
        <v>#VALUE!</v>
      </c>
      <c r="FS15" s="300" t="e">
        <f t="shared" ca="1" si="16"/>
        <v>#VALUE!</v>
      </c>
      <c r="FT15" s="300" t="e">
        <f t="shared" ca="1" si="16"/>
        <v>#VALUE!</v>
      </c>
      <c r="FU15" s="300" t="e">
        <f t="shared" ca="1" si="16"/>
        <v>#VALUE!</v>
      </c>
      <c r="FV15" s="300" t="e">
        <f t="shared" ca="1" si="16"/>
        <v>#VALUE!</v>
      </c>
      <c r="FW15" s="300" t="e">
        <f t="shared" ca="1" si="16"/>
        <v>#VALUE!</v>
      </c>
      <c r="FX15" s="300" t="e">
        <f t="shared" ca="1" si="16"/>
        <v>#VALUE!</v>
      </c>
      <c r="FY15" s="300" t="e">
        <f t="shared" ca="1" si="16"/>
        <v>#VALUE!</v>
      </c>
      <c r="FZ15" s="300" t="e">
        <f t="shared" ca="1" si="16"/>
        <v>#VALUE!</v>
      </c>
      <c r="GA15" s="301" t="e">
        <f t="shared" ca="1" si="16"/>
        <v>#VALUE!</v>
      </c>
      <c r="GB15" s="301" t="e">
        <f t="shared" ca="1" si="17"/>
        <v>#VALUE!</v>
      </c>
      <c r="GC15" s="301" t="e">
        <f t="shared" ca="1" si="17"/>
        <v>#VALUE!</v>
      </c>
      <c r="GD15" s="301" t="e">
        <f t="shared" ca="1" si="17"/>
        <v>#VALUE!</v>
      </c>
      <c r="GE15" s="301" t="e">
        <f t="shared" ca="1" si="17"/>
        <v>#VALUE!</v>
      </c>
      <c r="GF15" s="301" t="e">
        <f t="shared" ca="1" si="17"/>
        <v>#VALUE!</v>
      </c>
      <c r="GG15" s="301" t="e">
        <f t="shared" ca="1" si="17"/>
        <v>#VALUE!</v>
      </c>
      <c r="GH15" s="301" t="e">
        <f t="shared" ca="1" si="17"/>
        <v>#VALUE!</v>
      </c>
      <c r="GI15" s="301" t="e">
        <f t="shared" ca="1" si="17"/>
        <v>#VALUE!</v>
      </c>
      <c r="GJ15" s="301" t="e">
        <f t="shared" ca="1" si="17"/>
        <v>#VALUE!</v>
      </c>
      <c r="GK15" s="301" t="e">
        <f t="shared" ca="1" si="17"/>
        <v>#VALUE!</v>
      </c>
      <c r="GL15" s="301" t="e">
        <f t="shared" ca="1" si="17"/>
        <v>#VALUE!</v>
      </c>
      <c r="GM15" s="301" t="e">
        <f t="shared" ca="1" si="17"/>
        <v>#VALUE!</v>
      </c>
      <c r="GN15" s="302" t="e">
        <f t="shared" ca="1" si="17"/>
        <v>#VALUE!</v>
      </c>
      <c r="GO15" s="302" t="e">
        <f t="shared" ca="1" si="17"/>
        <v>#VALUE!</v>
      </c>
      <c r="GP15" s="301">
        <f t="shared" si="13"/>
        <v>64</v>
      </c>
      <c r="GQ15" s="301">
        <f t="shared" si="13"/>
        <v>128</v>
      </c>
      <c r="GR15" s="301">
        <f t="shared" si="13"/>
        <v>128</v>
      </c>
      <c r="GS15" s="301">
        <f t="shared" si="13"/>
        <v>128</v>
      </c>
      <c r="GT15" s="301">
        <f t="shared" si="13"/>
        <v>128</v>
      </c>
      <c r="GU15" s="303">
        <f t="shared" si="13"/>
        <v>128</v>
      </c>
      <c r="GV15" s="302">
        <f t="shared" si="13"/>
        <v>128</v>
      </c>
      <c r="GW15" s="302">
        <f t="shared" si="13"/>
        <v>96</v>
      </c>
      <c r="GX15" s="302">
        <f t="shared" si="13"/>
        <v>0</v>
      </c>
      <c r="GY15" s="302">
        <f t="shared" si="13"/>
        <v>0</v>
      </c>
      <c r="GZ15" s="302">
        <f t="shared" si="13"/>
        <v>0</v>
      </c>
      <c r="HA15" s="302">
        <f t="shared" si="13"/>
        <v>0</v>
      </c>
      <c r="HB15" s="302">
        <f t="shared" si="13"/>
        <v>0</v>
      </c>
      <c r="HC15" s="302">
        <f t="shared" si="13"/>
        <v>0</v>
      </c>
      <c r="HD15" s="302">
        <f t="shared" si="13"/>
        <v>0</v>
      </c>
      <c r="HE15" s="302">
        <f t="shared" si="13"/>
        <v>0</v>
      </c>
      <c r="HF15" s="304" t="e">
        <f t="shared" ca="1" si="14"/>
        <v>#VALUE!</v>
      </c>
      <c r="HG15" s="305" t="e">
        <f t="shared" ca="1" si="15"/>
        <v>#VALUE!</v>
      </c>
    </row>
    <row r="16" spans="1:215" s="306" customFormat="1" ht="15" customHeight="1">
      <c r="A16" s="291"/>
      <c r="B16" s="292" t="s">
        <v>348</v>
      </c>
      <c r="C16" s="292" t="s">
        <v>53</v>
      </c>
      <c r="D16" s="292" t="s">
        <v>53</v>
      </c>
      <c r="E16" s="292" t="s">
        <v>362</v>
      </c>
      <c r="F16" s="292" t="s">
        <v>184</v>
      </c>
      <c r="G16" s="292" t="s">
        <v>350</v>
      </c>
      <c r="H16" s="292" t="s">
        <v>351</v>
      </c>
      <c r="I16" s="292" t="s">
        <v>352</v>
      </c>
      <c r="J16" s="292" t="s">
        <v>184</v>
      </c>
      <c r="K16" s="292" t="s">
        <v>353</v>
      </c>
      <c r="L16" s="292" t="s">
        <v>359</v>
      </c>
      <c r="M16" s="292" t="s">
        <v>367</v>
      </c>
      <c r="N16" s="292" t="str">
        <f t="shared" si="0"/>
        <v>PMO-PMO</v>
      </c>
      <c r="O16" s="292" t="str">
        <f t="shared" si="1"/>
        <v>Technology-Consultant-India-Consulting</v>
      </c>
      <c r="P16" s="292" t="str">
        <f t="shared" si="2"/>
        <v>PMO - Technology</v>
      </c>
      <c r="Q16" s="293">
        <f t="shared" si="3"/>
        <v>248400</v>
      </c>
      <c r="R16" s="294">
        <f t="shared" si="4"/>
        <v>32400</v>
      </c>
      <c r="S16" s="295" t="e">
        <f t="shared" ca="1" si="5"/>
        <v>#VALUE!</v>
      </c>
      <c r="T16" s="295">
        <f t="shared" si="6"/>
        <v>4140</v>
      </c>
      <c r="U16" s="296" t="str">
        <f t="shared" si="7"/>
        <v>Technology - Consultant</v>
      </c>
      <c r="V16" s="295" t="str">
        <f t="shared" si="8"/>
        <v>1-3 years</v>
      </c>
      <c r="W16" s="292" t="str">
        <f t="shared" si="9"/>
        <v>Offshore</v>
      </c>
      <c r="X16" s="292" t="s">
        <v>261</v>
      </c>
      <c r="Y16" s="292" t="s">
        <v>259</v>
      </c>
      <c r="Z16" s="292" t="s">
        <v>368</v>
      </c>
      <c r="AA16" s="297">
        <f>[1]Resourcing!QD20</f>
        <v>264.547356321839</v>
      </c>
      <c r="AB16" s="298">
        <f t="shared" si="10"/>
        <v>60</v>
      </c>
      <c r="AC16" s="299"/>
      <c r="AD16" s="299"/>
      <c r="AE16" s="299"/>
      <c r="AF16" s="299"/>
      <c r="AG16" s="299"/>
      <c r="AH16" s="299"/>
      <c r="AI16" s="299"/>
      <c r="AJ16" s="299"/>
      <c r="AK16" s="299"/>
      <c r="AL16" s="299"/>
      <c r="AM16" s="299"/>
      <c r="AN16" s="299"/>
      <c r="AO16" s="299"/>
      <c r="AP16" s="299"/>
      <c r="AQ16" s="299"/>
      <c r="AR16" s="299"/>
      <c r="AS16" s="299"/>
      <c r="AT16" s="299"/>
      <c r="AU16" s="299"/>
      <c r="AV16" s="299"/>
      <c r="AW16" s="299"/>
      <c r="AX16" s="299"/>
      <c r="AY16" s="299"/>
      <c r="AZ16" s="299"/>
      <c r="BA16" s="299"/>
      <c r="BB16" s="299"/>
      <c r="BC16" s="299">
        <v>45</v>
      </c>
      <c r="BD16" s="299">
        <v>45</v>
      </c>
      <c r="BE16" s="299">
        <v>45</v>
      </c>
      <c r="BF16" s="299">
        <v>45</v>
      </c>
      <c r="BG16" s="299">
        <v>45</v>
      </c>
      <c r="BH16" s="299">
        <v>45</v>
      </c>
      <c r="BI16" s="299">
        <v>45</v>
      </c>
      <c r="BJ16" s="299">
        <v>45</v>
      </c>
      <c r="BK16" s="299">
        <v>45</v>
      </c>
      <c r="BL16" s="299">
        <v>45</v>
      </c>
      <c r="BM16" s="299">
        <v>45</v>
      </c>
      <c r="BN16" s="299">
        <v>45</v>
      </c>
      <c r="BO16" s="299">
        <v>45</v>
      </c>
      <c r="BP16" s="299">
        <v>45</v>
      </c>
      <c r="BQ16" s="299">
        <v>45</v>
      </c>
      <c r="BR16" s="299"/>
      <c r="BS16" s="299"/>
      <c r="BT16" s="299">
        <v>45</v>
      </c>
      <c r="BU16" s="299">
        <v>45</v>
      </c>
      <c r="BV16" s="299">
        <v>45</v>
      </c>
      <c r="BW16" s="299">
        <v>45</v>
      </c>
      <c r="BX16" s="299">
        <v>45</v>
      </c>
      <c r="BY16" s="299">
        <v>45</v>
      </c>
      <c r="BZ16" s="299">
        <v>45</v>
      </c>
      <c r="CA16" s="299">
        <v>45</v>
      </c>
      <c r="CB16" s="299">
        <v>45</v>
      </c>
      <c r="CC16" s="299">
        <v>45</v>
      </c>
      <c r="CD16" s="299">
        <v>45</v>
      </c>
      <c r="CE16" s="299">
        <v>45</v>
      </c>
      <c r="CF16" s="299">
        <v>45</v>
      </c>
      <c r="CG16" s="299">
        <v>45</v>
      </c>
      <c r="CH16" s="299">
        <v>45</v>
      </c>
      <c r="CI16" s="299">
        <v>45</v>
      </c>
      <c r="CJ16" s="299">
        <v>45</v>
      </c>
      <c r="CK16" s="299">
        <v>45</v>
      </c>
      <c r="CL16" s="299">
        <v>45</v>
      </c>
      <c r="CM16" s="299">
        <v>45</v>
      </c>
      <c r="CN16" s="299">
        <v>45</v>
      </c>
      <c r="CO16" s="299">
        <v>45</v>
      </c>
      <c r="CP16" s="299">
        <v>45</v>
      </c>
      <c r="CQ16" s="299">
        <v>45</v>
      </c>
      <c r="CR16" s="299">
        <v>45</v>
      </c>
      <c r="CS16" s="299">
        <v>45</v>
      </c>
      <c r="CT16" s="299">
        <v>45</v>
      </c>
      <c r="CU16" s="299">
        <v>45</v>
      </c>
      <c r="CV16" s="299">
        <v>45</v>
      </c>
      <c r="CW16" s="299">
        <v>45</v>
      </c>
      <c r="CX16" s="299">
        <v>45</v>
      </c>
      <c r="CY16" s="299">
        <v>45</v>
      </c>
      <c r="CZ16" s="299">
        <v>45</v>
      </c>
      <c r="DA16" s="299">
        <v>45</v>
      </c>
      <c r="DB16" s="299">
        <v>45</v>
      </c>
      <c r="DC16" s="299">
        <v>45</v>
      </c>
      <c r="DD16" s="299">
        <v>45</v>
      </c>
      <c r="DE16" s="299">
        <v>45</v>
      </c>
      <c r="DF16" s="299">
        <v>45</v>
      </c>
      <c r="DG16" s="299">
        <v>45</v>
      </c>
      <c r="DH16" s="299">
        <v>45</v>
      </c>
      <c r="DI16" s="299">
        <v>45</v>
      </c>
      <c r="DJ16" s="299">
        <v>45</v>
      </c>
      <c r="DK16" s="299">
        <v>45</v>
      </c>
      <c r="DL16" s="299">
        <v>45</v>
      </c>
      <c r="DM16" s="299">
        <v>45</v>
      </c>
      <c r="DN16" s="299">
        <v>45</v>
      </c>
      <c r="DO16" s="299">
        <v>45</v>
      </c>
      <c r="DP16" s="299">
        <v>45</v>
      </c>
      <c r="DQ16" s="299">
        <v>45</v>
      </c>
      <c r="DR16" s="299"/>
      <c r="DS16" s="299"/>
      <c r="DT16" s="299">
        <v>45</v>
      </c>
      <c r="DU16" s="299">
        <v>45</v>
      </c>
      <c r="DV16" s="299">
        <v>45</v>
      </c>
      <c r="DW16" s="299">
        <v>45</v>
      </c>
      <c r="DX16" s="299">
        <v>45</v>
      </c>
      <c r="DY16" s="299">
        <v>45</v>
      </c>
      <c r="DZ16" s="299">
        <v>45</v>
      </c>
      <c r="EA16" s="299">
        <v>45</v>
      </c>
      <c r="EB16" s="299">
        <v>45</v>
      </c>
      <c r="EC16" s="299">
        <v>45</v>
      </c>
      <c r="ED16" s="299">
        <v>45</v>
      </c>
      <c r="EE16" s="299">
        <v>45</v>
      </c>
      <c r="EF16" s="299">
        <v>45</v>
      </c>
      <c r="EG16" s="299">
        <v>45</v>
      </c>
      <c r="EH16" s="299">
        <v>45</v>
      </c>
      <c r="EI16" s="299">
        <v>45</v>
      </c>
      <c r="EJ16" s="299">
        <v>45</v>
      </c>
      <c r="EK16" s="299">
        <v>45</v>
      </c>
      <c r="EL16" s="299">
        <v>45</v>
      </c>
      <c r="EM16" s="299">
        <v>45</v>
      </c>
      <c r="EN16" s="299">
        <v>45</v>
      </c>
      <c r="EO16" s="299">
        <v>45</v>
      </c>
      <c r="EP16" s="299">
        <v>45</v>
      </c>
      <c r="EQ16" s="299">
        <v>45</v>
      </c>
      <c r="ER16" s="299">
        <v>45</v>
      </c>
      <c r="ES16" s="299">
        <v>45</v>
      </c>
      <c r="ET16" s="299">
        <v>45</v>
      </c>
      <c r="EU16" s="299"/>
      <c r="EV16" s="299"/>
      <c r="EW16" s="299"/>
      <c r="EX16" s="299"/>
      <c r="EY16" s="299"/>
      <c r="EZ16" s="299"/>
      <c r="FA16" s="299"/>
      <c r="FB16" s="299"/>
      <c r="FC16" s="299"/>
      <c r="FD16" s="299"/>
      <c r="FE16" s="299"/>
      <c r="FF16" s="299"/>
      <c r="FG16" s="299"/>
      <c r="FH16" s="299"/>
      <c r="FI16" s="299"/>
      <c r="FJ16" s="299"/>
      <c r="FK16" s="299"/>
      <c r="FL16" s="299"/>
      <c r="FM16" s="299"/>
      <c r="FN16" s="299"/>
      <c r="FO16" s="299"/>
      <c r="FP16" s="299"/>
      <c r="FQ16" s="300" t="e">
        <f t="shared" ca="1" si="18"/>
        <v>#VALUE!</v>
      </c>
      <c r="FR16" s="300" t="e">
        <f t="shared" ca="1" si="16"/>
        <v>#VALUE!</v>
      </c>
      <c r="FS16" s="300" t="e">
        <f t="shared" ca="1" si="16"/>
        <v>#VALUE!</v>
      </c>
      <c r="FT16" s="300" t="e">
        <f t="shared" ca="1" si="16"/>
        <v>#VALUE!</v>
      </c>
      <c r="FU16" s="300" t="e">
        <f t="shared" ca="1" si="16"/>
        <v>#VALUE!</v>
      </c>
      <c r="FV16" s="300" t="e">
        <f t="shared" ca="1" si="16"/>
        <v>#VALUE!</v>
      </c>
      <c r="FW16" s="300" t="e">
        <f t="shared" ca="1" si="16"/>
        <v>#VALUE!</v>
      </c>
      <c r="FX16" s="300" t="e">
        <f t="shared" ca="1" si="16"/>
        <v>#VALUE!</v>
      </c>
      <c r="FY16" s="300" t="e">
        <f t="shared" ca="1" si="16"/>
        <v>#VALUE!</v>
      </c>
      <c r="FZ16" s="300" t="e">
        <f t="shared" ca="1" si="16"/>
        <v>#VALUE!</v>
      </c>
      <c r="GA16" s="301" t="e">
        <f t="shared" ca="1" si="16"/>
        <v>#VALUE!</v>
      </c>
      <c r="GB16" s="301" t="e">
        <f t="shared" ca="1" si="17"/>
        <v>#VALUE!</v>
      </c>
      <c r="GC16" s="301" t="e">
        <f t="shared" ca="1" si="17"/>
        <v>#VALUE!</v>
      </c>
      <c r="GD16" s="301" t="e">
        <f t="shared" ca="1" si="17"/>
        <v>#VALUE!</v>
      </c>
      <c r="GE16" s="301" t="e">
        <f t="shared" ca="1" si="17"/>
        <v>#VALUE!</v>
      </c>
      <c r="GF16" s="301" t="e">
        <f t="shared" ca="1" si="17"/>
        <v>#VALUE!</v>
      </c>
      <c r="GG16" s="301" t="e">
        <f t="shared" ca="1" si="17"/>
        <v>#VALUE!</v>
      </c>
      <c r="GH16" s="301" t="e">
        <f t="shared" ca="1" si="17"/>
        <v>#VALUE!</v>
      </c>
      <c r="GI16" s="301" t="e">
        <f t="shared" ca="1" si="17"/>
        <v>#VALUE!</v>
      </c>
      <c r="GJ16" s="301" t="e">
        <f t="shared" ca="1" si="17"/>
        <v>#VALUE!</v>
      </c>
      <c r="GK16" s="301" t="e">
        <f t="shared" ca="1" si="17"/>
        <v>#VALUE!</v>
      </c>
      <c r="GL16" s="301" t="e">
        <f t="shared" ca="1" si="17"/>
        <v>#VALUE!</v>
      </c>
      <c r="GM16" s="301" t="e">
        <f t="shared" ca="1" si="17"/>
        <v>#VALUE!</v>
      </c>
      <c r="GN16" s="302" t="e">
        <f t="shared" ca="1" si="17"/>
        <v>#VALUE!</v>
      </c>
      <c r="GO16" s="302" t="e">
        <f t="shared" ca="1" si="17"/>
        <v>#VALUE!</v>
      </c>
      <c r="GP16" s="301">
        <f t="shared" si="13"/>
        <v>90</v>
      </c>
      <c r="GQ16" s="301">
        <f t="shared" si="13"/>
        <v>180</v>
      </c>
      <c r="GR16" s="301">
        <f t="shared" si="13"/>
        <v>180</v>
      </c>
      <c r="GS16" s="301">
        <f t="shared" si="13"/>
        <v>180</v>
      </c>
      <c r="GT16" s="301">
        <f t="shared" si="13"/>
        <v>180</v>
      </c>
      <c r="GU16" s="303">
        <f t="shared" si="13"/>
        <v>180</v>
      </c>
      <c r="GV16" s="302">
        <f t="shared" si="13"/>
        <v>180</v>
      </c>
      <c r="GW16" s="302">
        <f t="shared" si="13"/>
        <v>135</v>
      </c>
      <c r="GX16" s="302">
        <f t="shared" si="13"/>
        <v>0</v>
      </c>
      <c r="GY16" s="302">
        <f t="shared" si="13"/>
        <v>0</v>
      </c>
      <c r="GZ16" s="302">
        <f t="shared" si="13"/>
        <v>0</v>
      </c>
      <c r="HA16" s="302">
        <f t="shared" si="13"/>
        <v>0</v>
      </c>
      <c r="HB16" s="302">
        <f t="shared" si="13"/>
        <v>0</v>
      </c>
      <c r="HC16" s="302">
        <f t="shared" si="13"/>
        <v>0</v>
      </c>
      <c r="HD16" s="302">
        <f t="shared" si="13"/>
        <v>0</v>
      </c>
      <c r="HE16" s="302">
        <f t="shared" si="13"/>
        <v>0</v>
      </c>
      <c r="HF16" s="304" t="e">
        <f t="shared" ca="1" si="14"/>
        <v>#VALUE!</v>
      </c>
      <c r="HG16" s="305" t="e">
        <f t="shared" ca="1" si="15"/>
        <v>#VALUE!</v>
      </c>
    </row>
    <row r="17" spans="1:215" s="306" customFormat="1" ht="15" customHeight="1">
      <c r="A17" s="291"/>
      <c r="B17" s="292"/>
      <c r="C17" s="292"/>
      <c r="D17" s="292"/>
      <c r="E17" s="292"/>
      <c r="F17" s="292"/>
      <c r="G17" s="292"/>
      <c r="H17" s="292"/>
      <c r="I17" s="292"/>
      <c r="J17" s="292"/>
      <c r="K17" s="292"/>
      <c r="L17" s="292"/>
      <c r="M17" s="292"/>
      <c r="N17" s="292"/>
      <c r="O17" s="292"/>
      <c r="P17" s="292"/>
      <c r="Q17" s="293">
        <f t="shared" si="3"/>
        <v>0</v>
      </c>
      <c r="R17" s="294">
        <f t="shared" si="4"/>
        <v>0</v>
      </c>
      <c r="S17" s="295"/>
      <c r="T17" s="295">
        <f t="shared" si="6"/>
        <v>0</v>
      </c>
      <c r="U17" s="296"/>
      <c r="V17" s="295"/>
      <c r="W17" s="292"/>
      <c r="X17" s="292"/>
      <c r="Y17" s="292"/>
      <c r="Z17" s="292"/>
      <c r="AA17" s="297">
        <f>[1]Resourcing!QD21</f>
        <v>179.31318181818199</v>
      </c>
      <c r="AB17" s="298"/>
      <c r="AC17" s="299"/>
      <c r="AD17" s="299"/>
      <c r="AE17" s="299"/>
      <c r="AF17" s="299"/>
      <c r="AG17" s="299"/>
      <c r="AH17" s="299"/>
      <c r="AI17" s="299"/>
      <c r="AJ17" s="299"/>
      <c r="AK17" s="299"/>
      <c r="AL17" s="299"/>
      <c r="AM17" s="299"/>
      <c r="AN17" s="299"/>
      <c r="AO17" s="299"/>
      <c r="AP17" s="299"/>
      <c r="AQ17" s="299"/>
      <c r="AR17" s="299"/>
      <c r="AS17" s="299"/>
      <c r="AT17" s="299"/>
      <c r="AU17" s="299"/>
      <c r="AV17" s="299"/>
      <c r="AW17" s="299"/>
      <c r="AX17" s="299"/>
      <c r="AY17" s="299"/>
      <c r="AZ17" s="299"/>
      <c r="BA17" s="299"/>
      <c r="BB17" s="299"/>
      <c r="BC17" s="299"/>
      <c r="BD17" s="299"/>
      <c r="BE17" s="299"/>
      <c r="BF17" s="299"/>
      <c r="BG17" s="299"/>
      <c r="BH17" s="299"/>
      <c r="BI17" s="299"/>
      <c r="BJ17" s="299"/>
      <c r="BK17" s="299"/>
      <c r="BL17" s="299"/>
      <c r="BM17" s="299"/>
      <c r="BN17" s="299"/>
      <c r="BO17" s="299"/>
      <c r="BP17" s="299"/>
      <c r="BQ17" s="299"/>
      <c r="BR17" s="299"/>
      <c r="BS17" s="299"/>
      <c r="BT17" s="299"/>
      <c r="BU17" s="299"/>
      <c r="BV17" s="299"/>
      <c r="BW17" s="299"/>
      <c r="BX17" s="299"/>
      <c r="BY17" s="299"/>
      <c r="BZ17" s="299"/>
      <c r="CA17" s="299"/>
      <c r="CB17" s="299"/>
      <c r="CC17" s="299"/>
      <c r="CD17" s="299"/>
      <c r="CE17" s="299"/>
      <c r="CF17" s="299"/>
      <c r="CG17" s="299"/>
      <c r="CH17" s="299"/>
      <c r="CI17" s="299"/>
      <c r="CJ17" s="299"/>
      <c r="CK17" s="299"/>
      <c r="CL17" s="299"/>
      <c r="CM17" s="299"/>
      <c r="CN17" s="299"/>
      <c r="CO17" s="299"/>
      <c r="CP17" s="299"/>
      <c r="CQ17" s="299"/>
      <c r="CR17" s="299"/>
      <c r="CS17" s="299"/>
      <c r="CT17" s="299"/>
      <c r="CU17" s="299"/>
      <c r="CV17" s="299"/>
      <c r="CW17" s="299"/>
      <c r="CX17" s="299"/>
      <c r="CY17" s="299"/>
      <c r="CZ17" s="299"/>
      <c r="DA17" s="299"/>
      <c r="DB17" s="299"/>
      <c r="DC17" s="299"/>
      <c r="DD17" s="299"/>
      <c r="DE17" s="299"/>
      <c r="DF17" s="299"/>
      <c r="DG17" s="299"/>
      <c r="DH17" s="299"/>
      <c r="DI17" s="299"/>
      <c r="DJ17" s="299"/>
      <c r="DK17" s="299"/>
      <c r="DL17" s="299"/>
      <c r="DM17" s="299"/>
      <c r="DN17" s="299"/>
      <c r="DO17" s="299"/>
      <c r="DP17" s="299"/>
      <c r="DQ17" s="299"/>
      <c r="DR17" s="299"/>
      <c r="DS17" s="299"/>
      <c r="DT17" s="299"/>
      <c r="DU17" s="299"/>
      <c r="DV17" s="299"/>
      <c r="DW17" s="299"/>
      <c r="DX17" s="299"/>
      <c r="DY17" s="299"/>
      <c r="DZ17" s="299"/>
      <c r="EA17" s="299"/>
      <c r="EB17" s="299"/>
      <c r="EC17" s="299"/>
      <c r="ED17" s="299"/>
      <c r="EE17" s="299"/>
      <c r="EF17" s="299"/>
      <c r="EG17" s="299"/>
      <c r="EH17" s="299"/>
      <c r="EI17" s="299"/>
      <c r="EJ17" s="299"/>
      <c r="EK17" s="299"/>
      <c r="EL17" s="299"/>
      <c r="EM17" s="299"/>
      <c r="EN17" s="299"/>
      <c r="EO17" s="299"/>
      <c r="EP17" s="299"/>
      <c r="EQ17" s="299"/>
      <c r="ER17" s="299"/>
      <c r="ES17" s="299"/>
      <c r="ET17" s="299"/>
      <c r="EU17" s="299"/>
      <c r="EV17" s="299"/>
      <c r="EW17" s="299"/>
      <c r="EX17" s="299"/>
      <c r="EY17" s="299"/>
      <c r="EZ17" s="299"/>
      <c r="FA17" s="299"/>
      <c r="FB17" s="299"/>
      <c r="FC17" s="299"/>
      <c r="FD17" s="299"/>
      <c r="FE17" s="299"/>
      <c r="FF17" s="299"/>
      <c r="FG17" s="299"/>
      <c r="FH17" s="299"/>
      <c r="FI17" s="299"/>
      <c r="FJ17" s="299"/>
      <c r="FK17" s="299"/>
      <c r="FL17" s="299"/>
      <c r="FM17" s="299"/>
      <c r="FN17" s="299"/>
      <c r="FO17" s="299"/>
      <c r="FP17" s="299"/>
      <c r="FQ17" s="300" t="e">
        <f t="shared" ca="1" si="18"/>
        <v>#VALUE!</v>
      </c>
      <c r="FR17" s="300" t="e">
        <f t="shared" ca="1" si="16"/>
        <v>#VALUE!</v>
      </c>
      <c r="FS17" s="300" t="e">
        <f t="shared" ca="1" si="16"/>
        <v>#VALUE!</v>
      </c>
      <c r="FT17" s="300" t="e">
        <f t="shared" ca="1" si="16"/>
        <v>#VALUE!</v>
      </c>
      <c r="FU17" s="300" t="e">
        <f t="shared" ca="1" si="16"/>
        <v>#VALUE!</v>
      </c>
      <c r="FV17" s="300" t="e">
        <f t="shared" ca="1" si="16"/>
        <v>#VALUE!</v>
      </c>
      <c r="FW17" s="300" t="e">
        <f t="shared" ca="1" si="16"/>
        <v>#VALUE!</v>
      </c>
      <c r="FX17" s="300" t="e">
        <f t="shared" ca="1" si="16"/>
        <v>#VALUE!</v>
      </c>
      <c r="FY17" s="300" t="e">
        <f t="shared" ca="1" si="16"/>
        <v>#VALUE!</v>
      </c>
      <c r="FZ17" s="300" t="e">
        <f t="shared" ca="1" si="16"/>
        <v>#VALUE!</v>
      </c>
      <c r="GA17" s="301" t="e">
        <f t="shared" ca="1" si="16"/>
        <v>#VALUE!</v>
      </c>
      <c r="GB17" s="301" t="e">
        <f t="shared" ca="1" si="17"/>
        <v>#VALUE!</v>
      </c>
      <c r="GC17" s="301" t="e">
        <f t="shared" ca="1" si="17"/>
        <v>#VALUE!</v>
      </c>
      <c r="GD17" s="301" t="e">
        <f t="shared" ca="1" si="17"/>
        <v>#VALUE!</v>
      </c>
      <c r="GE17" s="301" t="e">
        <f t="shared" ca="1" si="17"/>
        <v>#VALUE!</v>
      </c>
      <c r="GF17" s="301" t="e">
        <f t="shared" ca="1" si="17"/>
        <v>#VALUE!</v>
      </c>
      <c r="GG17" s="301" t="e">
        <f t="shared" ca="1" si="17"/>
        <v>#VALUE!</v>
      </c>
      <c r="GH17" s="301" t="e">
        <f t="shared" ca="1" si="17"/>
        <v>#VALUE!</v>
      </c>
      <c r="GI17" s="301" t="e">
        <f t="shared" ca="1" si="17"/>
        <v>#VALUE!</v>
      </c>
      <c r="GJ17" s="301" t="e">
        <f t="shared" ca="1" si="17"/>
        <v>#VALUE!</v>
      </c>
      <c r="GK17" s="301" t="e">
        <f t="shared" ca="1" si="17"/>
        <v>#VALUE!</v>
      </c>
      <c r="GL17" s="301" t="e">
        <f t="shared" ca="1" si="17"/>
        <v>#VALUE!</v>
      </c>
      <c r="GM17" s="301" t="e">
        <f t="shared" ca="1" si="17"/>
        <v>#VALUE!</v>
      </c>
      <c r="GN17" s="302" t="e">
        <f t="shared" ca="1" si="17"/>
        <v>#VALUE!</v>
      </c>
      <c r="GO17" s="302" t="e">
        <f t="shared" ca="1" si="17"/>
        <v>#VALUE!</v>
      </c>
      <c r="GP17" s="301"/>
      <c r="GQ17" s="301"/>
      <c r="GR17" s="301"/>
      <c r="GS17" s="301"/>
      <c r="GT17" s="301"/>
      <c r="GU17" s="303"/>
      <c r="GV17" s="302"/>
      <c r="GW17" s="302"/>
      <c r="GX17" s="302"/>
      <c r="GY17" s="302"/>
      <c r="GZ17" s="302"/>
      <c r="HA17" s="302"/>
      <c r="HB17" s="302"/>
      <c r="HC17" s="302"/>
      <c r="HD17" s="302"/>
      <c r="HE17" s="302"/>
      <c r="HF17" s="304"/>
      <c r="HG17" s="305"/>
    </row>
    <row r="18" spans="1:215" s="306" customFormat="1" ht="15" customHeight="1">
      <c r="A18" s="291"/>
      <c r="B18" s="292" t="s">
        <v>85</v>
      </c>
      <c r="C18" s="292" t="s">
        <v>200</v>
      </c>
      <c r="D18" s="292" t="s">
        <v>254</v>
      </c>
      <c r="E18" s="292" t="s">
        <v>369</v>
      </c>
      <c r="F18" s="292" t="s">
        <v>186</v>
      </c>
      <c r="G18" s="292" t="s">
        <v>350</v>
      </c>
      <c r="H18" s="292" t="s">
        <v>351</v>
      </c>
      <c r="I18" s="292" t="s">
        <v>352</v>
      </c>
      <c r="J18" s="292" t="s">
        <v>186</v>
      </c>
      <c r="K18" s="292" t="s">
        <v>353</v>
      </c>
      <c r="L18" s="292" t="s">
        <v>359</v>
      </c>
      <c r="M18" s="292" t="s">
        <v>360</v>
      </c>
      <c r="N18" s="292" t="str">
        <f>_xlfn.CONCAT(C18,"-",D18)</f>
        <v>Solution Architecture-Solution Delivery</v>
      </c>
      <c r="O18" s="292" t="str">
        <f>_xlfn.CONCAT(Y18,"-",Z18,"-",F18,"-",X18)</f>
        <v>Technology-Senior Manager-US-Consulting</v>
      </c>
      <c r="P18" s="292" t="str">
        <f>_xlfn.CONCAT(C18," - ",Y18)</f>
        <v>Solution Architecture - Technology</v>
      </c>
      <c r="Q18" s="293">
        <f t="shared" si="3"/>
        <v>979488</v>
      </c>
      <c r="R18" s="294">
        <f t="shared" si="4"/>
        <v>131328</v>
      </c>
      <c r="S18" s="295">
        <f>SUM(GP18:HN18)</f>
        <v>0</v>
      </c>
      <c r="T18" s="295">
        <f t="shared" si="6"/>
        <v>2864</v>
      </c>
      <c r="U18" s="296" t="str">
        <f>_xlfn.CONCAT(Y18," - ",Z18)</f>
        <v>Technology - Senior Manager</v>
      </c>
      <c r="V18" s="295" t="str">
        <f>VLOOKUP(O18,$B$187:$H$848,4,0)</f>
        <v>7-10 years</v>
      </c>
      <c r="W18" s="292" t="str">
        <f>IF(F18="US", "Onshore",IF(F18="India","Offshore", "Nearshore"))</f>
        <v>Onshore</v>
      </c>
      <c r="X18" s="292" t="s">
        <v>261</v>
      </c>
      <c r="Y18" s="292" t="s">
        <v>259</v>
      </c>
      <c r="Z18" s="292" t="s">
        <v>361</v>
      </c>
      <c r="AA18" s="297">
        <f>[1]Resourcing!QD22</f>
        <v>126.96173913043501</v>
      </c>
      <c r="AB18" s="298">
        <f>IFERROR(VLOOKUP(O18,$B$187:$S$848,6,FALSE()),"combination not found")</f>
        <v>342</v>
      </c>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v>32</v>
      </c>
      <c r="BD18" s="299">
        <v>32</v>
      </c>
      <c r="BE18" s="299">
        <v>32</v>
      </c>
      <c r="BF18" s="299">
        <v>32</v>
      </c>
      <c r="BG18" s="299">
        <v>32</v>
      </c>
      <c r="BH18" s="299">
        <v>32</v>
      </c>
      <c r="BI18" s="299">
        <v>32</v>
      </c>
      <c r="BJ18" s="299">
        <v>32</v>
      </c>
      <c r="BK18" s="299">
        <v>32</v>
      </c>
      <c r="BL18" s="299">
        <v>32</v>
      </c>
      <c r="BM18" s="299">
        <v>32</v>
      </c>
      <c r="BN18" s="299">
        <v>32</v>
      </c>
      <c r="BO18" s="299">
        <v>32</v>
      </c>
      <c r="BP18" s="299">
        <v>32</v>
      </c>
      <c r="BQ18" s="299">
        <v>32</v>
      </c>
      <c r="BR18" s="299"/>
      <c r="BS18" s="299"/>
      <c r="BT18" s="299">
        <v>32</v>
      </c>
      <c r="BU18" s="299">
        <v>32</v>
      </c>
      <c r="BV18" s="299">
        <v>32</v>
      </c>
      <c r="BW18" s="299">
        <v>32</v>
      </c>
      <c r="BX18" s="299">
        <v>32</v>
      </c>
      <c r="BY18" s="299">
        <v>32</v>
      </c>
      <c r="BZ18" s="299">
        <v>32</v>
      </c>
      <c r="CA18" s="299">
        <v>32</v>
      </c>
      <c r="CB18" s="299">
        <v>32</v>
      </c>
      <c r="CC18" s="299">
        <v>32</v>
      </c>
      <c r="CD18" s="299">
        <v>32</v>
      </c>
      <c r="CE18" s="299">
        <v>32</v>
      </c>
      <c r="CF18" s="299">
        <v>32</v>
      </c>
      <c r="CG18" s="299">
        <v>32</v>
      </c>
      <c r="CH18" s="299">
        <v>32</v>
      </c>
      <c r="CI18" s="299">
        <v>32</v>
      </c>
      <c r="CJ18" s="299">
        <v>32</v>
      </c>
      <c r="CK18" s="299">
        <v>32</v>
      </c>
      <c r="CL18" s="299">
        <v>32</v>
      </c>
      <c r="CM18" s="299">
        <v>32</v>
      </c>
      <c r="CN18" s="299">
        <v>32</v>
      </c>
      <c r="CO18" s="299">
        <v>32</v>
      </c>
      <c r="CP18" s="299">
        <v>32</v>
      </c>
      <c r="CQ18" s="299">
        <v>32</v>
      </c>
      <c r="CR18" s="299">
        <v>32</v>
      </c>
      <c r="CS18" s="299">
        <v>32</v>
      </c>
      <c r="CT18" s="299">
        <v>32</v>
      </c>
      <c r="CU18" s="299">
        <v>32</v>
      </c>
      <c r="CV18" s="299">
        <v>32</v>
      </c>
      <c r="CW18" s="299">
        <v>32</v>
      </c>
      <c r="CX18" s="299">
        <v>32</v>
      </c>
      <c r="CY18" s="299">
        <v>32</v>
      </c>
      <c r="CZ18" s="299">
        <v>32</v>
      </c>
      <c r="DA18" s="299">
        <v>32</v>
      </c>
      <c r="DB18" s="299">
        <v>32</v>
      </c>
      <c r="DC18" s="299">
        <v>32</v>
      </c>
      <c r="DD18" s="299">
        <v>32</v>
      </c>
      <c r="DE18" s="299">
        <v>32</v>
      </c>
      <c r="DF18" s="299">
        <v>32</v>
      </c>
      <c r="DG18" s="299">
        <v>32</v>
      </c>
      <c r="DH18" s="292">
        <v>32</v>
      </c>
      <c r="DI18" s="292">
        <v>32</v>
      </c>
      <c r="DJ18" s="292">
        <v>32</v>
      </c>
      <c r="DK18" s="292">
        <v>32</v>
      </c>
      <c r="DL18" s="299">
        <v>32</v>
      </c>
      <c r="DM18" s="299">
        <v>32</v>
      </c>
      <c r="DN18" s="299">
        <v>32</v>
      </c>
      <c r="DO18" s="299">
        <v>32</v>
      </c>
      <c r="DP18" s="299">
        <v>32</v>
      </c>
      <c r="DQ18" s="299">
        <v>32</v>
      </c>
      <c r="DR18" s="299"/>
      <c r="DS18" s="299"/>
      <c r="DT18" s="299">
        <v>32</v>
      </c>
      <c r="DU18" s="299">
        <v>32</v>
      </c>
      <c r="DV18" s="299">
        <v>32</v>
      </c>
      <c r="DW18" s="299">
        <v>32</v>
      </c>
      <c r="DX18" s="299">
        <v>32</v>
      </c>
      <c r="DY18" s="299">
        <v>32</v>
      </c>
      <c r="DZ18" s="299">
        <v>32</v>
      </c>
      <c r="EA18" s="299">
        <v>32</v>
      </c>
      <c r="EB18" s="299">
        <v>32</v>
      </c>
      <c r="EC18" s="299">
        <v>32</v>
      </c>
      <c r="ED18" s="299">
        <v>32</v>
      </c>
      <c r="EE18" s="299">
        <v>32</v>
      </c>
      <c r="EF18" s="299">
        <v>32</v>
      </c>
      <c r="EG18" s="299">
        <v>32</v>
      </c>
      <c r="EH18" s="299">
        <v>32</v>
      </c>
      <c r="EI18" s="299">
        <v>32</v>
      </c>
      <c r="EJ18" s="299">
        <v>32</v>
      </c>
      <c r="EK18" s="299">
        <v>32</v>
      </c>
      <c r="EL18" s="299">
        <v>32</v>
      </c>
      <c r="EM18" s="299">
        <v>32</v>
      </c>
      <c r="EN18" s="299">
        <v>32</v>
      </c>
      <c r="EO18" s="299">
        <v>32</v>
      </c>
      <c r="EP18" s="299">
        <v>16</v>
      </c>
      <c r="EQ18" s="299">
        <v>16</v>
      </c>
      <c r="ER18" s="299">
        <v>16</v>
      </c>
      <c r="ES18" s="299">
        <v>16</v>
      </c>
      <c r="ET18" s="299">
        <v>16</v>
      </c>
      <c r="EU18" s="299"/>
      <c r="EV18" s="299"/>
      <c r="EW18" s="299"/>
      <c r="EX18" s="299"/>
      <c r="EY18" s="299"/>
      <c r="EZ18" s="299"/>
      <c r="FA18" s="299"/>
      <c r="FB18" s="299"/>
      <c r="FC18" s="299"/>
      <c r="FD18" s="299"/>
      <c r="FE18" s="299"/>
      <c r="FF18" s="299"/>
      <c r="FG18" s="299"/>
      <c r="FH18" s="299"/>
      <c r="FI18" s="299"/>
      <c r="FJ18" s="299"/>
      <c r="FK18" s="299"/>
      <c r="FL18" s="299"/>
      <c r="FM18" s="299"/>
      <c r="FN18" s="299"/>
      <c r="FO18" s="299"/>
      <c r="FP18" s="299"/>
      <c r="FQ18" s="300" t="e">
        <f t="shared" ca="1" si="18"/>
        <v>#VALUE!</v>
      </c>
      <c r="FR18" s="300" t="e">
        <f t="shared" ca="1" si="16"/>
        <v>#VALUE!</v>
      </c>
      <c r="FS18" s="300" t="e">
        <f t="shared" ca="1" si="16"/>
        <v>#VALUE!</v>
      </c>
      <c r="FT18" s="300" t="e">
        <f t="shared" ca="1" si="16"/>
        <v>#VALUE!</v>
      </c>
      <c r="FU18" s="300" t="e">
        <f t="shared" ca="1" si="16"/>
        <v>#VALUE!</v>
      </c>
      <c r="FV18" s="300" t="e">
        <f t="shared" ca="1" si="16"/>
        <v>#VALUE!</v>
      </c>
      <c r="FW18" s="300" t="e">
        <f t="shared" ca="1" si="16"/>
        <v>#VALUE!</v>
      </c>
      <c r="FX18" s="300" t="e">
        <f t="shared" ca="1" si="16"/>
        <v>#VALUE!</v>
      </c>
      <c r="FY18" s="300" t="e">
        <f t="shared" ca="1" si="16"/>
        <v>#VALUE!</v>
      </c>
      <c r="FZ18" s="300" t="e">
        <f t="shared" ca="1" si="16"/>
        <v>#VALUE!</v>
      </c>
      <c r="GA18" s="301" t="e">
        <f t="shared" ca="1" si="16"/>
        <v>#VALUE!</v>
      </c>
      <c r="GB18" s="301" t="e">
        <f t="shared" ca="1" si="17"/>
        <v>#VALUE!</v>
      </c>
      <c r="GC18" s="301" t="e">
        <f t="shared" ca="1" si="17"/>
        <v>#VALUE!</v>
      </c>
      <c r="GD18" s="301" t="e">
        <f t="shared" ca="1" si="17"/>
        <v>#VALUE!</v>
      </c>
      <c r="GE18" s="301" t="e">
        <f t="shared" ca="1" si="17"/>
        <v>#VALUE!</v>
      </c>
      <c r="GF18" s="301" t="e">
        <f t="shared" ca="1" si="17"/>
        <v>#VALUE!</v>
      </c>
      <c r="GG18" s="301" t="e">
        <f t="shared" ca="1" si="17"/>
        <v>#VALUE!</v>
      </c>
      <c r="GH18" s="301" t="e">
        <f t="shared" ca="1" si="17"/>
        <v>#VALUE!</v>
      </c>
      <c r="GI18" s="301" t="e">
        <f t="shared" ca="1" si="17"/>
        <v>#VALUE!</v>
      </c>
      <c r="GJ18" s="301" t="e">
        <f t="shared" ca="1" si="17"/>
        <v>#VALUE!</v>
      </c>
      <c r="GK18" s="301" t="e">
        <f t="shared" ca="1" si="17"/>
        <v>#VALUE!</v>
      </c>
      <c r="GL18" s="301" t="e">
        <f t="shared" ca="1" si="17"/>
        <v>#VALUE!</v>
      </c>
      <c r="GM18" s="301" t="e">
        <f t="shared" ca="1" si="17"/>
        <v>#VALUE!</v>
      </c>
      <c r="GN18" s="302" t="e">
        <f t="shared" ca="1" si="17"/>
        <v>#VALUE!</v>
      </c>
      <c r="GO18" s="302" t="e">
        <f t="shared" ca="1" si="17"/>
        <v>#VALUE!</v>
      </c>
      <c r="GP18" s="301"/>
      <c r="GQ18" s="301"/>
      <c r="GR18" s="301"/>
      <c r="GS18" s="301"/>
      <c r="GT18" s="301"/>
      <c r="GU18" s="303"/>
      <c r="GV18" s="302"/>
      <c r="GW18" s="302"/>
      <c r="GX18" s="302"/>
      <c r="GY18" s="302"/>
      <c r="GZ18" s="302"/>
      <c r="HA18" s="302"/>
      <c r="HB18" s="302"/>
      <c r="HC18" s="302"/>
      <c r="HD18" s="302"/>
      <c r="HE18" s="302"/>
      <c r="HF18" s="304"/>
      <c r="HG18" s="305"/>
    </row>
    <row r="19" spans="1:215" s="306" customFormat="1" ht="15.75" customHeight="1">
      <c r="A19" s="307"/>
      <c r="B19" s="292" t="s">
        <v>85</v>
      </c>
      <c r="C19" s="292" t="s">
        <v>200</v>
      </c>
      <c r="D19" s="292" t="s">
        <v>254</v>
      </c>
      <c r="E19" s="292" t="s">
        <v>370</v>
      </c>
      <c r="F19" s="292" t="s">
        <v>184</v>
      </c>
      <c r="G19" s="292" t="s">
        <v>350</v>
      </c>
      <c r="H19" s="292" t="s">
        <v>351</v>
      </c>
      <c r="I19" s="292" t="s">
        <v>352</v>
      </c>
      <c r="J19" s="292" t="s">
        <v>184</v>
      </c>
      <c r="K19" s="292" t="s">
        <v>353</v>
      </c>
      <c r="L19" s="292" t="s">
        <v>359</v>
      </c>
      <c r="M19" s="292" t="s">
        <v>371</v>
      </c>
      <c r="N19" s="292" t="str">
        <f>_xlfn.CONCAT(C19,"-",D19)</f>
        <v>Solution Architecture-Solution Delivery</v>
      </c>
      <c r="O19" s="292" t="str">
        <f>_xlfn.CONCAT(Y19,"-",Z19,"-",F19,"-",X19)</f>
        <v>Technology-Senior Consultant-India-Consulting</v>
      </c>
      <c r="P19" s="292" t="str">
        <f>_xlfn.CONCAT(C19," - ",Y19)</f>
        <v>Solution Architecture - Technology</v>
      </c>
      <c r="Q19" s="293">
        <f t="shared" si="3"/>
        <v>277965</v>
      </c>
      <c r="R19" s="294">
        <f t="shared" si="4"/>
        <v>31950</v>
      </c>
      <c r="S19" s="295" t="e">
        <f ca="1">SUM(GP19:HN19)</f>
        <v>#VALUE!</v>
      </c>
      <c r="T19" s="295">
        <f t="shared" si="6"/>
        <v>3915</v>
      </c>
      <c r="U19" s="296" t="str">
        <f>_xlfn.CONCAT(Y19," - ",Z19)</f>
        <v>Technology - Senior Consultant</v>
      </c>
      <c r="V19" s="295" t="str">
        <f>VLOOKUP(O19,$B$187:$H$848,4,0)</f>
        <v>3-5 years</v>
      </c>
      <c r="W19" s="292" t="str">
        <f>IF(F19="US", "Onshore",IF(F19="India","Offshore", "Nearshore"))</f>
        <v>Offshore</v>
      </c>
      <c r="X19" s="292" t="s">
        <v>261</v>
      </c>
      <c r="Y19" s="292" t="s">
        <v>259</v>
      </c>
      <c r="Z19" s="292" t="s">
        <v>364</v>
      </c>
      <c r="AA19" s="297">
        <f>[1]Resourcing!QD23</f>
        <v>53.073913043478299</v>
      </c>
      <c r="AB19" s="298">
        <f>IFERROR(VLOOKUP(O19,$B$187:$S$848,6,FALSE()),"combination not found")</f>
        <v>71</v>
      </c>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v>45</v>
      </c>
      <c r="BF19" s="299">
        <v>45</v>
      </c>
      <c r="BG19" s="299">
        <v>45</v>
      </c>
      <c r="BH19" s="299">
        <v>45</v>
      </c>
      <c r="BI19" s="299">
        <v>45</v>
      </c>
      <c r="BJ19" s="299">
        <v>45</v>
      </c>
      <c r="BK19" s="299">
        <v>45</v>
      </c>
      <c r="BL19" s="299">
        <v>45</v>
      </c>
      <c r="BM19" s="299">
        <v>45</v>
      </c>
      <c r="BN19" s="299">
        <v>45</v>
      </c>
      <c r="BO19" s="299">
        <v>45</v>
      </c>
      <c r="BP19" s="299">
        <v>45</v>
      </c>
      <c r="BQ19" s="299">
        <v>45</v>
      </c>
      <c r="BR19" s="299"/>
      <c r="BS19" s="299"/>
      <c r="BT19" s="299">
        <v>45</v>
      </c>
      <c r="BU19" s="299">
        <v>45</v>
      </c>
      <c r="BV19" s="299">
        <v>45</v>
      </c>
      <c r="BW19" s="299">
        <v>45</v>
      </c>
      <c r="BX19" s="299">
        <v>45</v>
      </c>
      <c r="BY19" s="299">
        <v>45</v>
      </c>
      <c r="BZ19" s="299">
        <v>45</v>
      </c>
      <c r="CA19" s="299">
        <v>45</v>
      </c>
      <c r="CB19" s="299">
        <v>45</v>
      </c>
      <c r="CC19" s="299">
        <v>45</v>
      </c>
      <c r="CD19" s="299">
        <v>45</v>
      </c>
      <c r="CE19" s="299">
        <v>45</v>
      </c>
      <c r="CF19" s="299">
        <v>45</v>
      </c>
      <c r="CG19" s="299">
        <v>45</v>
      </c>
      <c r="CH19" s="299">
        <v>45</v>
      </c>
      <c r="CI19" s="299">
        <v>45</v>
      </c>
      <c r="CJ19" s="299">
        <v>45</v>
      </c>
      <c r="CK19" s="299">
        <v>45</v>
      </c>
      <c r="CL19" s="299">
        <v>45</v>
      </c>
      <c r="CM19" s="299">
        <v>45</v>
      </c>
      <c r="CN19" s="299">
        <v>45</v>
      </c>
      <c r="CO19" s="299">
        <v>45</v>
      </c>
      <c r="CP19" s="299">
        <v>45</v>
      </c>
      <c r="CQ19" s="299">
        <v>45</v>
      </c>
      <c r="CR19" s="299">
        <v>45</v>
      </c>
      <c r="CS19" s="299">
        <v>45</v>
      </c>
      <c r="CT19" s="299">
        <v>45</v>
      </c>
      <c r="CU19" s="299">
        <v>45</v>
      </c>
      <c r="CV19" s="299">
        <v>45</v>
      </c>
      <c r="CW19" s="299">
        <v>45</v>
      </c>
      <c r="CX19" s="299">
        <v>45</v>
      </c>
      <c r="CY19" s="299">
        <v>45</v>
      </c>
      <c r="CZ19" s="299">
        <v>45</v>
      </c>
      <c r="DA19" s="299">
        <v>45</v>
      </c>
      <c r="DB19" s="299">
        <v>45</v>
      </c>
      <c r="DC19" s="299">
        <v>45</v>
      </c>
      <c r="DD19" s="299">
        <v>45</v>
      </c>
      <c r="DE19" s="299">
        <v>45</v>
      </c>
      <c r="DF19" s="299">
        <v>45</v>
      </c>
      <c r="DG19" s="299">
        <v>45</v>
      </c>
      <c r="DH19" s="292">
        <v>45</v>
      </c>
      <c r="DI19" s="292">
        <v>45</v>
      </c>
      <c r="DJ19" s="292">
        <v>45</v>
      </c>
      <c r="DK19" s="292">
        <v>45</v>
      </c>
      <c r="DL19" s="299">
        <v>45</v>
      </c>
      <c r="DM19" s="299">
        <v>45</v>
      </c>
      <c r="DN19" s="299">
        <v>45</v>
      </c>
      <c r="DO19" s="299">
        <v>45</v>
      </c>
      <c r="DP19" s="299">
        <v>45</v>
      </c>
      <c r="DQ19" s="299">
        <v>45</v>
      </c>
      <c r="DR19" s="299"/>
      <c r="DS19" s="299"/>
      <c r="DT19" s="299">
        <v>45</v>
      </c>
      <c r="DU19" s="299">
        <v>45</v>
      </c>
      <c r="DV19" s="299">
        <v>45</v>
      </c>
      <c r="DW19" s="299">
        <v>45</v>
      </c>
      <c r="DX19" s="299">
        <v>45</v>
      </c>
      <c r="DY19" s="299">
        <v>45</v>
      </c>
      <c r="DZ19" s="299">
        <v>45</v>
      </c>
      <c r="EA19" s="299">
        <v>45</v>
      </c>
      <c r="EB19" s="299">
        <v>45</v>
      </c>
      <c r="EC19" s="299">
        <v>45</v>
      </c>
      <c r="ED19" s="299">
        <v>45</v>
      </c>
      <c r="EE19" s="299">
        <v>45</v>
      </c>
      <c r="EF19" s="299">
        <v>45</v>
      </c>
      <c r="EG19" s="299">
        <v>45</v>
      </c>
      <c r="EH19" s="299">
        <v>45</v>
      </c>
      <c r="EI19" s="299">
        <v>45</v>
      </c>
      <c r="EJ19" s="299">
        <v>45</v>
      </c>
      <c r="EK19" s="299">
        <v>45</v>
      </c>
      <c r="EL19" s="299">
        <v>45</v>
      </c>
      <c r="EM19" s="299">
        <v>45</v>
      </c>
      <c r="EN19" s="299">
        <v>45</v>
      </c>
      <c r="EO19" s="299">
        <v>45</v>
      </c>
      <c r="EP19" s="299">
        <v>45</v>
      </c>
      <c r="EQ19" s="299">
        <v>45</v>
      </c>
      <c r="ER19" s="299"/>
      <c r="ES19" s="299"/>
      <c r="ET19" s="299"/>
      <c r="EU19" s="299"/>
      <c r="EV19" s="299"/>
      <c r="EW19" s="299"/>
      <c r="EX19" s="299"/>
      <c r="EY19" s="299"/>
      <c r="EZ19" s="299"/>
      <c r="FA19" s="299"/>
      <c r="FB19" s="299"/>
      <c r="FC19" s="299"/>
      <c r="FD19" s="299"/>
      <c r="FE19" s="299"/>
      <c r="FF19" s="299"/>
      <c r="FG19" s="299"/>
      <c r="FH19" s="299"/>
      <c r="FI19" s="299"/>
      <c r="FJ19" s="299"/>
      <c r="FK19" s="299"/>
      <c r="FL19" s="299"/>
      <c r="FM19" s="299"/>
      <c r="FN19" s="299"/>
      <c r="FO19" s="299"/>
      <c r="FP19" s="299"/>
      <c r="FQ19" s="300" t="e">
        <f t="shared" ca="1" si="18"/>
        <v>#VALUE!</v>
      </c>
      <c r="FR19" s="300" t="e">
        <f t="shared" ca="1" si="16"/>
        <v>#VALUE!</v>
      </c>
      <c r="FS19" s="300" t="e">
        <f t="shared" ca="1" si="16"/>
        <v>#VALUE!</v>
      </c>
      <c r="FT19" s="300" t="e">
        <f t="shared" ca="1" si="16"/>
        <v>#VALUE!</v>
      </c>
      <c r="FU19" s="300" t="e">
        <f t="shared" ca="1" si="16"/>
        <v>#VALUE!</v>
      </c>
      <c r="FV19" s="300" t="e">
        <f t="shared" ca="1" si="16"/>
        <v>#VALUE!</v>
      </c>
      <c r="FW19" s="300" t="e">
        <f t="shared" ca="1" si="16"/>
        <v>#VALUE!</v>
      </c>
      <c r="FX19" s="300" t="e">
        <f t="shared" ca="1" si="16"/>
        <v>#VALUE!</v>
      </c>
      <c r="FY19" s="300" t="e">
        <f t="shared" ca="1" si="16"/>
        <v>#VALUE!</v>
      </c>
      <c r="FZ19" s="300" t="e">
        <f t="shared" ca="1" si="16"/>
        <v>#VALUE!</v>
      </c>
      <c r="GA19" s="301" t="e">
        <f t="shared" ca="1" si="16"/>
        <v>#VALUE!</v>
      </c>
      <c r="GB19" s="301" t="e">
        <f t="shared" ca="1" si="17"/>
        <v>#VALUE!</v>
      </c>
      <c r="GC19" s="301" t="e">
        <f t="shared" ca="1" si="17"/>
        <v>#VALUE!</v>
      </c>
      <c r="GD19" s="301" t="e">
        <f t="shared" ca="1" si="17"/>
        <v>#VALUE!</v>
      </c>
      <c r="GE19" s="301" t="e">
        <f t="shared" ca="1" si="17"/>
        <v>#VALUE!</v>
      </c>
      <c r="GF19" s="301" t="e">
        <f t="shared" ca="1" si="17"/>
        <v>#VALUE!</v>
      </c>
      <c r="GG19" s="301" t="e">
        <f t="shared" ca="1" si="17"/>
        <v>#VALUE!</v>
      </c>
      <c r="GH19" s="301" t="e">
        <f t="shared" ca="1" si="17"/>
        <v>#VALUE!</v>
      </c>
      <c r="GI19" s="301" t="e">
        <f t="shared" ca="1" si="17"/>
        <v>#VALUE!</v>
      </c>
      <c r="GJ19" s="301" t="e">
        <f t="shared" ca="1" si="17"/>
        <v>#VALUE!</v>
      </c>
      <c r="GK19" s="301" t="e">
        <f t="shared" ca="1" si="17"/>
        <v>#VALUE!</v>
      </c>
      <c r="GL19" s="301" t="e">
        <f t="shared" ca="1" si="17"/>
        <v>#VALUE!</v>
      </c>
      <c r="GM19" s="301" t="e">
        <f t="shared" ca="1" si="17"/>
        <v>#VALUE!</v>
      </c>
      <c r="GN19" s="302" t="e">
        <f t="shared" ca="1" si="17"/>
        <v>#VALUE!</v>
      </c>
      <c r="GO19" s="302" t="e">
        <f t="shared" ca="1" si="17"/>
        <v>#VALUE!</v>
      </c>
      <c r="GP19" s="301">
        <f t="shared" ref="GP19:HE20" si="19">SUMIF($AB$8:$FO$8,GP$9,$AB19:$FO19)</f>
        <v>90</v>
      </c>
      <c r="GQ19" s="301">
        <f t="shared" si="19"/>
        <v>180</v>
      </c>
      <c r="GR19" s="301">
        <f t="shared" si="19"/>
        <v>180</v>
      </c>
      <c r="GS19" s="301">
        <f t="shared" si="19"/>
        <v>180</v>
      </c>
      <c r="GT19" s="301">
        <f t="shared" si="19"/>
        <v>180</v>
      </c>
      <c r="GU19" s="303">
        <f t="shared" si="19"/>
        <v>180</v>
      </c>
      <c r="GV19" s="302">
        <f t="shared" si="19"/>
        <v>180</v>
      </c>
      <c r="GW19" s="302">
        <f t="shared" si="19"/>
        <v>0</v>
      </c>
      <c r="GX19" s="302">
        <f t="shared" si="19"/>
        <v>0</v>
      </c>
      <c r="GY19" s="302">
        <f t="shared" si="19"/>
        <v>0</v>
      </c>
      <c r="GZ19" s="302">
        <f t="shared" si="19"/>
        <v>0</v>
      </c>
      <c r="HA19" s="302">
        <f t="shared" si="19"/>
        <v>0</v>
      </c>
      <c r="HB19" s="302">
        <f t="shared" si="19"/>
        <v>0</v>
      </c>
      <c r="HC19" s="302">
        <f t="shared" si="19"/>
        <v>0</v>
      </c>
      <c r="HD19" s="302">
        <f t="shared" si="19"/>
        <v>0</v>
      </c>
      <c r="HE19" s="302">
        <f t="shared" si="19"/>
        <v>0</v>
      </c>
      <c r="HF19" s="304" t="e">
        <f ca="1">SUM(FQ19:HE19)</f>
        <v>#VALUE!</v>
      </c>
      <c r="HG19" s="305" t="e">
        <f ca="1">HF19-S45</f>
        <v>#VALUE!</v>
      </c>
    </row>
    <row r="20" spans="1:215" s="306" customFormat="1" ht="15.75" customHeight="1">
      <c r="A20" s="307"/>
      <c r="B20" s="292"/>
      <c r="C20" s="292"/>
      <c r="D20" s="292"/>
      <c r="E20" s="292"/>
      <c r="F20" s="292"/>
      <c r="G20" s="292"/>
      <c r="H20" s="292"/>
      <c r="I20" s="292"/>
      <c r="J20" s="292"/>
      <c r="K20" s="292"/>
      <c r="L20" s="292"/>
      <c r="M20" s="292"/>
      <c r="N20" s="292"/>
      <c r="O20" s="292"/>
      <c r="P20" s="292"/>
      <c r="Q20" s="293">
        <f t="shared" si="3"/>
        <v>0</v>
      </c>
      <c r="R20" s="294">
        <f t="shared" si="4"/>
        <v>0</v>
      </c>
      <c r="S20" s="295"/>
      <c r="T20" s="295">
        <f t="shared" si="6"/>
        <v>0</v>
      </c>
      <c r="U20" s="296"/>
      <c r="V20" s="295"/>
      <c r="W20" s="292"/>
      <c r="X20" s="292"/>
      <c r="Y20" s="292"/>
      <c r="Z20" s="292"/>
      <c r="AA20" s="297">
        <f>[1]Resourcing!QD24</f>
        <v>0</v>
      </c>
      <c r="AB20" s="298"/>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2"/>
      <c r="DI20" s="292"/>
      <c r="DJ20" s="292"/>
      <c r="DK20" s="292"/>
      <c r="DL20" s="299"/>
      <c r="DM20" s="299"/>
      <c r="DN20" s="299"/>
      <c r="DO20" s="299"/>
      <c r="DP20" s="299"/>
      <c r="DQ20" s="299"/>
      <c r="DR20" s="299"/>
      <c r="DS20" s="299"/>
      <c r="DT20" s="299"/>
      <c r="DU20" s="299"/>
      <c r="DV20" s="299"/>
      <c r="DW20" s="299"/>
      <c r="DX20" s="299"/>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99"/>
      <c r="FA20" s="299"/>
      <c r="FB20" s="299"/>
      <c r="FC20" s="299"/>
      <c r="FD20" s="299"/>
      <c r="FE20" s="299"/>
      <c r="FF20" s="299"/>
      <c r="FG20" s="299"/>
      <c r="FH20" s="299"/>
      <c r="FI20" s="299"/>
      <c r="FJ20" s="299"/>
      <c r="FK20" s="299"/>
      <c r="FL20" s="299"/>
      <c r="FM20" s="299"/>
      <c r="FN20" s="299"/>
      <c r="FO20" s="299"/>
      <c r="FP20" s="299"/>
      <c r="FQ20" s="300" t="e">
        <f t="shared" ca="1" si="18"/>
        <v>#VALUE!</v>
      </c>
      <c r="FR20" s="300" t="e">
        <f t="shared" ca="1" si="16"/>
        <v>#VALUE!</v>
      </c>
      <c r="FS20" s="300" t="e">
        <f t="shared" ca="1" si="16"/>
        <v>#VALUE!</v>
      </c>
      <c r="FT20" s="300" t="e">
        <f t="shared" ca="1" si="16"/>
        <v>#VALUE!</v>
      </c>
      <c r="FU20" s="300" t="e">
        <f t="shared" ca="1" si="16"/>
        <v>#VALUE!</v>
      </c>
      <c r="FV20" s="300" t="e">
        <f t="shared" ca="1" si="16"/>
        <v>#VALUE!</v>
      </c>
      <c r="FW20" s="300" t="e">
        <f t="shared" ca="1" si="16"/>
        <v>#VALUE!</v>
      </c>
      <c r="FX20" s="300" t="e">
        <f t="shared" ca="1" si="16"/>
        <v>#VALUE!</v>
      </c>
      <c r="FY20" s="300" t="e">
        <f t="shared" ca="1" si="16"/>
        <v>#VALUE!</v>
      </c>
      <c r="FZ20" s="300" t="e">
        <f t="shared" ca="1" si="16"/>
        <v>#VALUE!</v>
      </c>
      <c r="GA20" s="301" t="e">
        <f t="shared" ca="1" si="16"/>
        <v>#VALUE!</v>
      </c>
      <c r="GB20" s="301" t="e">
        <f t="shared" ca="1" si="17"/>
        <v>#VALUE!</v>
      </c>
      <c r="GC20" s="301" t="e">
        <f t="shared" ca="1" si="17"/>
        <v>#VALUE!</v>
      </c>
      <c r="GD20" s="301" t="e">
        <f t="shared" ca="1" si="17"/>
        <v>#VALUE!</v>
      </c>
      <c r="GE20" s="301" t="e">
        <f t="shared" ca="1" si="17"/>
        <v>#VALUE!</v>
      </c>
      <c r="GF20" s="301" t="e">
        <f t="shared" ca="1" si="17"/>
        <v>#VALUE!</v>
      </c>
      <c r="GG20" s="301" t="e">
        <f t="shared" ca="1" si="17"/>
        <v>#VALUE!</v>
      </c>
      <c r="GH20" s="301" t="e">
        <f t="shared" ca="1" si="17"/>
        <v>#VALUE!</v>
      </c>
      <c r="GI20" s="301" t="e">
        <f t="shared" ca="1" si="17"/>
        <v>#VALUE!</v>
      </c>
      <c r="GJ20" s="301" t="e">
        <f t="shared" ca="1" si="17"/>
        <v>#VALUE!</v>
      </c>
      <c r="GK20" s="301" t="e">
        <f t="shared" ca="1" si="17"/>
        <v>#VALUE!</v>
      </c>
      <c r="GL20" s="301" t="e">
        <f t="shared" ca="1" si="17"/>
        <v>#VALUE!</v>
      </c>
      <c r="GM20" s="301" t="e">
        <f t="shared" ca="1" si="17"/>
        <v>#VALUE!</v>
      </c>
      <c r="GN20" s="302" t="e">
        <f t="shared" ca="1" si="17"/>
        <v>#VALUE!</v>
      </c>
      <c r="GO20" s="302" t="e">
        <f t="shared" ca="1" si="17"/>
        <v>#VALUE!</v>
      </c>
      <c r="GP20" s="301">
        <f t="shared" si="19"/>
        <v>0</v>
      </c>
      <c r="GQ20" s="301">
        <f t="shared" si="19"/>
        <v>0</v>
      </c>
      <c r="GR20" s="301">
        <f t="shared" si="19"/>
        <v>0</v>
      </c>
      <c r="GS20" s="301">
        <f t="shared" si="19"/>
        <v>0</v>
      </c>
      <c r="GT20" s="301">
        <f t="shared" si="19"/>
        <v>0</v>
      </c>
      <c r="GU20" s="303">
        <f t="shared" si="19"/>
        <v>0</v>
      </c>
      <c r="GV20" s="302">
        <f t="shared" si="19"/>
        <v>0</v>
      </c>
      <c r="GW20" s="302">
        <f t="shared" si="19"/>
        <v>0</v>
      </c>
      <c r="GX20" s="302">
        <f t="shared" si="19"/>
        <v>0</v>
      </c>
      <c r="GY20" s="302">
        <f t="shared" si="19"/>
        <v>0</v>
      </c>
      <c r="GZ20" s="302">
        <f t="shared" si="19"/>
        <v>0</v>
      </c>
      <c r="HA20" s="302">
        <f t="shared" si="19"/>
        <v>0</v>
      </c>
      <c r="HB20" s="302">
        <f t="shared" si="19"/>
        <v>0</v>
      </c>
      <c r="HC20" s="302">
        <f t="shared" si="19"/>
        <v>0</v>
      </c>
      <c r="HD20" s="302">
        <f t="shared" si="19"/>
        <v>0</v>
      </c>
      <c r="HE20" s="302">
        <f t="shared" si="19"/>
        <v>0</v>
      </c>
      <c r="HF20" s="304" t="e">
        <f ca="1">SUM(FQ20:HE20)</f>
        <v>#VALUE!</v>
      </c>
      <c r="HG20" s="305" t="e">
        <f ca="1">HF20-S57</f>
        <v>#VALUE!</v>
      </c>
    </row>
    <row r="21" spans="1:215" s="306" customFormat="1" ht="15.75" customHeight="1">
      <c r="A21" s="307"/>
      <c r="B21" s="292" t="s">
        <v>85</v>
      </c>
      <c r="C21" s="292" t="s">
        <v>198</v>
      </c>
      <c r="D21" s="292" t="s">
        <v>198</v>
      </c>
      <c r="E21" s="292" t="s">
        <v>372</v>
      </c>
      <c r="F21" s="292" t="s">
        <v>186</v>
      </c>
      <c r="G21" s="292" t="s">
        <v>350</v>
      </c>
      <c r="H21" s="292" t="s">
        <v>351</v>
      </c>
      <c r="I21" s="292" t="s">
        <v>352</v>
      </c>
      <c r="J21" s="292" t="s">
        <v>186</v>
      </c>
      <c r="K21" s="292" t="s">
        <v>353</v>
      </c>
      <c r="L21" s="292" t="s">
        <v>359</v>
      </c>
      <c r="M21" s="292" t="s">
        <v>360</v>
      </c>
      <c r="N21" s="292" t="str">
        <f t="shared" ref="N21:N34" si="20">_xlfn.CONCAT(C21,"-",D21)</f>
        <v>RTR-RTR</v>
      </c>
      <c r="O21" s="292" t="str">
        <f t="shared" ref="O21:O34" si="21">_xlfn.CONCAT(Y21,"-",Z21,"-",F21,"-",X21)</f>
        <v>Technology-Senior Manager-US-Consulting</v>
      </c>
      <c r="P21" s="292" t="str">
        <f t="shared" ref="P21:P34" si="22">_xlfn.CONCAT(C21," - ",Y21)</f>
        <v>RTR - Technology</v>
      </c>
      <c r="Q21" s="293">
        <f t="shared" si="3"/>
        <v>984960</v>
      </c>
      <c r="R21" s="294">
        <f t="shared" si="4"/>
        <v>109440</v>
      </c>
      <c r="S21" s="295">
        <f t="shared" ref="S21:S34" si="23">SUM(GP21:HN21)</f>
        <v>0</v>
      </c>
      <c r="T21" s="295">
        <f t="shared" si="6"/>
        <v>2880</v>
      </c>
      <c r="U21" s="296" t="str">
        <f t="shared" ref="U21:U34" si="24">_xlfn.CONCAT(Y21," - ",Z21)</f>
        <v>Technology - Senior Manager</v>
      </c>
      <c r="V21" s="295" t="str">
        <f t="shared" ref="V21:V34" si="25">VLOOKUP(O21,$B$187:$H$848,4,0)</f>
        <v>7-10 years</v>
      </c>
      <c r="W21" s="292" t="str">
        <f t="shared" ref="W21:W34" si="26">IF(F21="US", "Onshore",IF(F21="India","Offshore", "Nearshore"))</f>
        <v>Onshore</v>
      </c>
      <c r="X21" s="292" t="s">
        <v>261</v>
      </c>
      <c r="Y21" s="292" t="s">
        <v>259</v>
      </c>
      <c r="Z21" s="292" t="s">
        <v>361</v>
      </c>
      <c r="AA21" s="297">
        <f>[1]Resourcing!QD25</f>
        <v>380.11731843575399</v>
      </c>
      <c r="AB21" s="298">
        <f t="shared" ref="AB21:AB34" si="27">IFERROR(VLOOKUP(O21,$B$187:$S$848,6,FALSE()),"combination not found")</f>
        <v>342</v>
      </c>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v>32</v>
      </c>
      <c r="BF21" s="299">
        <v>32</v>
      </c>
      <c r="BG21" s="299">
        <v>32</v>
      </c>
      <c r="BH21" s="299">
        <v>32</v>
      </c>
      <c r="BI21" s="299">
        <v>32</v>
      </c>
      <c r="BJ21" s="299">
        <v>32</v>
      </c>
      <c r="BK21" s="299">
        <v>32</v>
      </c>
      <c r="BL21" s="299">
        <v>32</v>
      </c>
      <c r="BM21" s="299">
        <v>32</v>
      </c>
      <c r="BN21" s="299">
        <v>32</v>
      </c>
      <c r="BO21" s="299">
        <v>32</v>
      </c>
      <c r="BP21" s="299">
        <v>32</v>
      </c>
      <c r="BQ21" s="299">
        <v>32</v>
      </c>
      <c r="BR21" s="299"/>
      <c r="BS21" s="299"/>
      <c r="BT21" s="299">
        <v>32</v>
      </c>
      <c r="BU21" s="299">
        <v>32</v>
      </c>
      <c r="BV21" s="299">
        <v>32</v>
      </c>
      <c r="BW21" s="299">
        <v>32</v>
      </c>
      <c r="BX21" s="299">
        <v>32</v>
      </c>
      <c r="BY21" s="299">
        <v>32</v>
      </c>
      <c r="BZ21" s="299">
        <v>32</v>
      </c>
      <c r="CA21" s="299">
        <v>32</v>
      </c>
      <c r="CB21" s="299">
        <v>32</v>
      </c>
      <c r="CC21" s="299">
        <v>32</v>
      </c>
      <c r="CD21" s="299">
        <v>32</v>
      </c>
      <c r="CE21" s="299">
        <v>32</v>
      </c>
      <c r="CF21" s="299">
        <v>32</v>
      </c>
      <c r="CG21" s="299">
        <v>32</v>
      </c>
      <c r="CH21" s="299">
        <v>32</v>
      </c>
      <c r="CI21" s="299">
        <v>32</v>
      </c>
      <c r="CJ21" s="299">
        <v>32</v>
      </c>
      <c r="CK21" s="299">
        <v>32</v>
      </c>
      <c r="CL21" s="299">
        <v>32</v>
      </c>
      <c r="CM21" s="299">
        <v>32</v>
      </c>
      <c r="CN21" s="299">
        <v>32</v>
      </c>
      <c r="CO21" s="299">
        <v>32</v>
      </c>
      <c r="CP21" s="299">
        <v>32</v>
      </c>
      <c r="CQ21" s="299">
        <v>32</v>
      </c>
      <c r="CR21" s="299">
        <v>32</v>
      </c>
      <c r="CS21" s="299">
        <v>32</v>
      </c>
      <c r="CT21" s="299">
        <v>32</v>
      </c>
      <c r="CU21" s="299">
        <v>32</v>
      </c>
      <c r="CV21" s="299">
        <v>32</v>
      </c>
      <c r="CW21" s="299">
        <v>32</v>
      </c>
      <c r="CX21" s="299">
        <v>32</v>
      </c>
      <c r="CY21" s="299">
        <v>32</v>
      </c>
      <c r="CZ21" s="299">
        <v>32</v>
      </c>
      <c r="DA21" s="299">
        <v>32</v>
      </c>
      <c r="DB21" s="299">
        <v>32</v>
      </c>
      <c r="DC21" s="299">
        <v>32</v>
      </c>
      <c r="DD21" s="299">
        <v>32</v>
      </c>
      <c r="DE21" s="299">
        <v>32</v>
      </c>
      <c r="DF21" s="299">
        <v>32</v>
      </c>
      <c r="DG21" s="299">
        <v>32</v>
      </c>
      <c r="DH21" s="299">
        <v>32</v>
      </c>
      <c r="DI21" s="299">
        <v>32</v>
      </c>
      <c r="DJ21" s="299">
        <v>32</v>
      </c>
      <c r="DK21" s="299">
        <v>32</v>
      </c>
      <c r="DL21" s="299">
        <v>32</v>
      </c>
      <c r="DM21" s="299">
        <v>32</v>
      </c>
      <c r="DN21" s="299">
        <v>32</v>
      </c>
      <c r="DO21" s="299">
        <v>32</v>
      </c>
      <c r="DP21" s="299">
        <v>32</v>
      </c>
      <c r="DQ21" s="299">
        <v>32</v>
      </c>
      <c r="DR21" s="299"/>
      <c r="DS21" s="299"/>
      <c r="DT21" s="299">
        <v>32</v>
      </c>
      <c r="DU21" s="299">
        <v>32</v>
      </c>
      <c r="DV21" s="299">
        <v>32</v>
      </c>
      <c r="DW21" s="299">
        <v>32</v>
      </c>
      <c r="DX21" s="299">
        <v>32</v>
      </c>
      <c r="DY21" s="299">
        <v>32</v>
      </c>
      <c r="DZ21" s="299">
        <v>32</v>
      </c>
      <c r="EA21" s="299">
        <v>32</v>
      </c>
      <c r="EB21" s="299">
        <v>32</v>
      </c>
      <c r="EC21" s="299">
        <v>32</v>
      </c>
      <c r="ED21" s="299">
        <v>32</v>
      </c>
      <c r="EE21" s="299">
        <v>32</v>
      </c>
      <c r="EF21" s="299">
        <v>32</v>
      </c>
      <c r="EG21" s="299">
        <v>32</v>
      </c>
      <c r="EH21" s="299">
        <v>32</v>
      </c>
      <c r="EI21" s="299">
        <v>32</v>
      </c>
      <c r="EJ21" s="299">
        <v>32</v>
      </c>
      <c r="EK21" s="299">
        <v>32</v>
      </c>
      <c r="EL21" s="299">
        <v>32</v>
      </c>
      <c r="EM21" s="299">
        <v>32</v>
      </c>
      <c r="EN21" s="299">
        <v>32</v>
      </c>
      <c r="EO21" s="299">
        <v>32</v>
      </c>
      <c r="EP21" s="299">
        <v>32</v>
      </c>
      <c r="EQ21" s="299">
        <v>32</v>
      </c>
      <c r="ER21" s="299">
        <v>32</v>
      </c>
      <c r="ES21" s="299">
        <v>32</v>
      </c>
      <c r="ET21" s="299">
        <v>32</v>
      </c>
      <c r="EU21" s="299"/>
      <c r="EV21" s="299"/>
      <c r="EW21" s="299"/>
      <c r="EX21" s="299"/>
      <c r="EY21" s="299"/>
      <c r="EZ21" s="299"/>
      <c r="FA21" s="299"/>
      <c r="FB21" s="299"/>
      <c r="FC21" s="299"/>
      <c r="FD21" s="299"/>
      <c r="FE21" s="299"/>
      <c r="FF21" s="299"/>
      <c r="FG21" s="299"/>
      <c r="FH21" s="299"/>
      <c r="FI21" s="299"/>
      <c r="FJ21" s="299"/>
      <c r="FK21" s="299"/>
      <c r="FL21" s="299"/>
      <c r="FM21" s="299"/>
      <c r="FN21" s="299"/>
      <c r="FO21" s="299"/>
      <c r="FP21" s="299"/>
      <c r="FQ21" s="300" t="e">
        <f t="shared" ca="1" si="18"/>
        <v>#VALUE!</v>
      </c>
      <c r="FR21" s="300" t="e">
        <f t="shared" ca="1" si="16"/>
        <v>#VALUE!</v>
      </c>
      <c r="FS21" s="300" t="e">
        <f t="shared" ca="1" si="16"/>
        <v>#VALUE!</v>
      </c>
      <c r="FT21" s="300" t="e">
        <f t="shared" ca="1" si="16"/>
        <v>#VALUE!</v>
      </c>
      <c r="FU21" s="300" t="e">
        <f t="shared" ca="1" si="16"/>
        <v>#VALUE!</v>
      </c>
      <c r="FV21" s="300" t="e">
        <f t="shared" ca="1" si="16"/>
        <v>#VALUE!</v>
      </c>
      <c r="FW21" s="300" t="e">
        <f t="shared" ca="1" si="16"/>
        <v>#VALUE!</v>
      </c>
      <c r="FX21" s="300" t="e">
        <f t="shared" ca="1" si="16"/>
        <v>#VALUE!</v>
      </c>
      <c r="FY21" s="300" t="e">
        <f t="shared" ca="1" si="16"/>
        <v>#VALUE!</v>
      </c>
      <c r="FZ21" s="300" t="e">
        <f t="shared" ca="1" si="16"/>
        <v>#VALUE!</v>
      </c>
      <c r="GA21" s="301" t="e">
        <f t="shared" ca="1" si="16"/>
        <v>#VALUE!</v>
      </c>
      <c r="GB21" s="301" t="e">
        <f t="shared" ca="1" si="17"/>
        <v>#VALUE!</v>
      </c>
      <c r="GC21" s="301" t="e">
        <f t="shared" ca="1" si="17"/>
        <v>#VALUE!</v>
      </c>
      <c r="GD21" s="301" t="e">
        <f t="shared" ca="1" si="17"/>
        <v>#VALUE!</v>
      </c>
      <c r="GE21" s="301" t="e">
        <f t="shared" ca="1" si="17"/>
        <v>#VALUE!</v>
      </c>
      <c r="GF21" s="301" t="e">
        <f t="shared" ca="1" si="17"/>
        <v>#VALUE!</v>
      </c>
      <c r="GG21" s="301" t="e">
        <f t="shared" ca="1" si="17"/>
        <v>#VALUE!</v>
      </c>
      <c r="GH21" s="301" t="e">
        <f t="shared" ca="1" si="17"/>
        <v>#VALUE!</v>
      </c>
      <c r="GI21" s="301" t="e">
        <f t="shared" ca="1" si="17"/>
        <v>#VALUE!</v>
      </c>
      <c r="GJ21" s="301" t="e">
        <f t="shared" ca="1" si="17"/>
        <v>#VALUE!</v>
      </c>
      <c r="GK21" s="301" t="e">
        <f t="shared" ca="1" si="17"/>
        <v>#VALUE!</v>
      </c>
      <c r="GL21" s="301" t="e">
        <f t="shared" ca="1" si="17"/>
        <v>#VALUE!</v>
      </c>
      <c r="GM21" s="301" t="e">
        <f t="shared" ca="1" si="17"/>
        <v>#VALUE!</v>
      </c>
      <c r="GN21" s="302" t="e">
        <f t="shared" ca="1" si="17"/>
        <v>#VALUE!</v>
      </c>
      <c r="GO21" s="302" t="e">
        <f t="shared" ca="1" si="17"/>
        <v>#VALUE!</v>
      </c>
      <c r="GP21" s="301"/>
      <c r="GQ21" s="301"/>
      <c r="GR21" s="301"/>
      <c r="GS21" s="301"/>
      <c r="GT21" s="301"/>
      <c r="GU21" s="303"/>
      <c r="GV21" s="302"/>
      <c r="GW21" s="302"/>
      <c r="GX21" s="302"/>
      <c r="GY21" s="302"/>
      <c r="GZ21" s="302"/>
      <c r="HA21" s="302"/>
      <c r="HB21" s="302"/>
      <c r="HC21" s="302"/>
      <c r="HD21" s="302"/>
      <c r="HE21" s="302"/>
      <c r="HF21" s="304"/>
      <c r="HG21" s="305"/>
    </row>
    <row r="22" spans="1:215" s="306" customFormat="1" ht="15.75" customHeight="1">
      <c r="A22" s="307"/>
      <c r="B22" s="292" t="s">
        <v>85</v>
      </c>
      <c r="C22" s="292" t="s">
        <v>198</v>
      </c>
      <c r="D22" s="292" t="s">
        <v>198</v>
      </c>
      <c r="E22" s="292" t="s">
        <v>373</v>
      </c>
      <c r="F22" s="292" t="s">
        <v>186</v>
      </c>
      <c r="G22" s="292" t="s">
        <v>350</v>
      </c>
      <c r="H22" s="292" t="s">
        <v>351</v>
      </c>
      <c r="I22" s="292" t="s">
        <v>352</v>
      </c>
      <c r="J22" s="292" t="s">
        <v>186</v>
      </c>
      <c r="K22" s="292" t="s">
        <v>353</v>
      </c>
      <c r="L22" s="292" t="s">
        <v>359</v>
      </c>
      <c r="M22" s="292" t="s">
        <v>374</v>
      </c>
      <c r="N22" s="292" t="str">
        <f t="shared" si="20"/>
        <v>RTR-RTR</v>
      </c>
      <c r="O22" s="292" t="str">
        <f t="shared" si="21"/>
        <v>Technology-Senior Consultant-US-Consulting</v>
      </c>
      <c r="P22" s="292" t="str">
        <f t="shared" si="22"/>
        <v>RTR - Technology</v>
      </c>
      <c r="Q22" s="293">
        <f t="shared" si="3"/>
        <v>854100</v>
      </c>
      <c r="R22" s="294">
        <f t="shared" si="4"/>
        <v>0</v>
      </c>
      <c r="S22" s="295">
        <f t="shared" si="23"/>
        <v>990</v>
      </c>
      <c r="T22" s="295">
        <f t="shared" si="6"/>
        <v>3285</v>
      </c>
      <c r="U22" s="296" t="str">
        <f t="shared" si="24"/>
        <v>Technology - Senior Consultant</v>
      </c>
      <c r="V22" s="295" t="str">
        <f t="shared" si="25"/>
        <v>3-5 years</v>
      </c>
      <c r="W22" s="292" t="str">
        <f t="shared" si="26"/>
        <v>Onshore</v>
      </c>
      <c r="X22" s="292" t="s">
        <v>261</v>
      </c>
      <c r="Y22" s="292" t="s">
        <v>259</v>
      </c>
      <c r="Z22" s="292" t="s">
        <v>364</v>
      </c>
      <c r="AA22" s="297">
        <f>[1]Resourcing!QD26</f>
        <v>85.177241379310402</v>
      </c>
      <c r="AB22" s="298">
        <f t="shared" si="27"/>
        <v>260</v>
      </c>
      <c r="AC22" s="299"/>
      <c r="AD22" s="299"/>
      <c r="AE22" s="299"/>
      <c r="AF22" s="299"/>
      <c r="AG22" s="299"/>
      <c r="AH22" s="299"/>
      <c r="AI22" s="299"/>
      <c r="AJ22" s="299"/>
      <c r="AK22" s="299"/>
      <c r="AL22" s="299"/>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299"/>
      <c r="BI22" s="299"/>
      <c r="BJ22" s="299"/>
      <c r="BK22" s="299"/>
      <c r="BL22" s="299"/>
      <c r="BM22" s="299"/>
      <c r="BN22" s="299"/>
      <c r="BO22" s="299">
        <v>45</v>
      </c>
      <c r="BP22" s="299">
        <v>45</v>
      </c>
      <c r="BQ22" s="299">
        <v>45</v>
      </c>
      <c r="BR22" s="299"/>
      <c r="BS22" s="299"/>
      <c r="BT22" s="299">
        <v>45</v>
      </c>
      <c r="BU22" s="299">
        <v>45</v>
      </c>
      <c r="BV22" s="299">
        <v>45</v>
      </c>
      <c r="BW22" s="299">
        <v>45</v>
      </c>
      <c r="BX22" s="299">
        <v>45</v>
      </c>
      <c r="BY22" s="299">
        <v>45</v>
      </c>
      <c r="BZ22" s="299">
        <v>45</v>
      </c>
      <c r="CA22" s="299">
        <v>45</v>
      </c>
      <c r="CB22" s="299">
        <v>45</v>
      </c>
      <c r="CC22" s="299">
        <v>45</v>
      </c>
      <c r="CD22" s="299">
        <v>45</v>
      </c>
      <c r="CE22" s="299">
        <v>45</v>
      </c>
      <c r="CF22" s="299">
        <v>45</v>
      </c>
      <c r="CG22" s="299">
        <v>45</v>
      </c>
      <c r="CH22" s="299">
        <v>45</v>
      </c>
      <c r="CI22" s="299">
        <v>45</v>
      </c>
      <c r="CJ22" s="299">
        <v>45</v>
      </c>
      <c r="CK22" s="299">
        <v>45</v>
      </c>
      <c r="CL22" s="299">
        <v>45</v>
      </c>
      <c r="CM22" s="299">
        <v>45</v>
      </c>
      <c r="CN22" s="299">
        <v>45</v>
      </c>
      <c r="CO22" s="299">
        <v>45</v>
      </c>
      <c r="CP22" s="299">
        <v>45</v>
      </c>
      <c r="CQ22" s="299">
        <v>45</v>
      </c>
      <c r="CR22" s="299">
        <v>45</v>
      </c>
      <c r="CS22" s="299">
        <v>45</v>
      </c>
      <c r="CT22" s="299">
        <v>45</v>
      </c>
      <c r="CU22" s="299">
        <v>45</v>
      </c>
      <c r="CV22" s="299">
        <v>45</v>
      </c>
      <c r="CW22" s="299">
        <v>45</v>
      </c>
      <c r="CX22" s="299">
        <v>45</v>
      </c>
      <c r="CY22" s="299">
        <v>45</v>
      </c>
      <c r="CZ22" s="299">
        <v>45</v>
      </c>
      <c r="DA22" s="299">
        <v>45</v>
      </c>
      <c r="DB22" s="299">
        <v>45</v>
      </c>
      <c r="DC22" s="299">
        <v>45</v>
      </c>
      <c r="DD22" s="299">
        <v>45</v>
      </c>
      <c r="DE22" s="299">
        <v>45</v>
      </c>
      <c r="DF22" s="299">
        <v>45</v>
      </c>
      <c r="DG22" s="299">
        <v>45</v>
      </c>
      <c r="DH22" s="299">
        <v>45</v>
      </c>
      <c r="DI22" s="299">
        <v>45</v>
      </c>
      <c r="DJ22" s="299">
        <v>45</v>
      </c>
      <c r="DK22" s="299">
        <v>45</v>
      </c>
      <c r="DL22" s="299">
        <v>45</v>
      </c>
      <c r="DM22" s="299">
        <v>45</v>
      </c>
      <c r="DN22" s="299">
        <v>45</v>
      </c>
      <c r="DO22" s="299">
        <v>45</v>
      </c>
      <c r="DP22" s="299">
        <v>45</v>
      </c>
      <c r="DQ22" s="299">
        <v>45</v>
      </c>
      <c r="DR22" s="299"/>
      <c r="DS22" s="299"/>
      <c r="DT22" s="299">
        <v>45</v>
      </c>
      <c r="DU22" s="299">
        <v>45</v>
      </c>
      <c r="DV22" s="299">
        <v>45</v>
      </c>
      <c r="DW22" s="299">
        <v>45</v>
      </c>
      <c r="DX22" s="299">
        <v>45</v>
      </c>
      <c r="DY22" s="299">
        <v>45</v>
      </c>
      <c r="DZ22" s="299">
        <v>45</v>
      </c>
      <c r="EA22" s="299">
        <v>45</v>
      </c>
      <c r="EB22" s="299">
        <v>45</v>
      </c>
      <c r="EC22" s="299">
        <v>45</v>
      </c>
      <c r="ED22" s="299">
        <v>45</v>
      </c>
      <c r="EE22" s="299">
        <v>45</v>
      </c>
      <c r="EF22" s="299">
        <v>45</v>
      </c>
      <c r="EG22" s="299">
        <v>45</v>
      </c>
      <c r="EH22" s="299">
        <v>45</v>
      </c>
      <c r="EI22" s="299">
        <v>45</v>
      </c>
      <c r="EJ22" s="299">
        <v>45</v>
      </c>
      <c r="EK22" s="299">
        <v>45</v>
      </c>
      <c r="EL22" s="299">
        <v>45</v>
      </c>
      <c r="EM22" s="299">
        <v>45</v>
      </c>
      <c r="EN22" s="299"/>
      <c r="EO22" s="299"/>
      <c r="EP22" s="299"/>
      <c r="EQ22" s="299"/>
      <c r="ER22" s="299"/>
      <c r="ES22" s="299"/>
      <c r="ET22" s="299"/>
      <c r="EU22" s="299"/>
      <c r="EV22" s="299"/>
      <c r="EW22" s="299"/>
      <c r="EX22" s="299"/>
      <c r="EY22" s="299"/>
      <c r="EZ22" s="299"/>
      <c r="FA22" s="299"/>
      <c r="FB22" s="299"/>
      <c r="FC22" s="299"/>
      <c r="FD22" s="299"/>
      <c r="FE22" s="299"/>
      <c r="FF22" s="299"/>
      <c r="FG22" s="299"/>
      <c r="FH22" s="299"/>
      <c r="FI22" s="299"/>
      <c r="FJ22" s="299"/>
      <c r="FK22" s="299"/>
      <c r="FL22" s="299"/>
      <c r="FM22" s="299"/>
      <c r="FN22" s="299"/>
      <c r="FO22" s="299"/>
      <c r="FP22" s="299"/>
      <c r="FQ22" s="300" t="e">
        <f t="shared" ca="1" si="18"/>
        <v>#VALUE!</v>
      </c>
      <c r="FR22" s="300" t="e">
        <f t="shared" ca="1" si="16"/>
        <v>#VALUE!</v>
      </c>
      <c r="FS22" s="300" t="e">
        <f t="shared" ca="1" si="16"/>
        <v>#VALUE!</v>
      </c>
      <c r="FT22" s="300" t="e">
        <f t="shared" ca="1" si="16"/>
        <v>#VALUE!</v>
      </c>
      <c r="FU22" s="300" t="e">
        <f t="shared" ca="1" si="16"/>
        <v>#VALUE!</v>
      </c>
      <c r="FV22" s="300" t="e">
        <f t="shared" ca="1" si="16"/>
        <v>#VALUE!</v>
      </c>
      <c r="FW22" s="300" t="e">
        <f t="shared" ca="1" si="16"/>
        <v>#VALUE!</v>
      </c>
      <c r="FX22" s="300" t="e">
        <f t="shared" ca="1" si="16"/>
        <v>#VALUE!</v>
      </c>
      <c r="FY22" s="300" t="e">
        <f t="shared" ca="1" si="16"/>
        <v>#VALUE!</v>
      </c>
      <c r="FZ22" s="300" t="e">
        <f t="shared" ca="1" si="16"/>
        <v>#VALUE!</v>
      </c>
      <c r="GA22" s="301" t="e">
        <f t="shared" ca="1" si="16"/>
        <v>#VALUE!</v>
      </c>
      <c r="GB22" s="301" t="e">
        <f t="shared" ca="1" si="17"/>
        <v>#VALUE!</v>
      </c>
      <c r="GC22" s="301" t="e">
        <f t="shared" ca="1" si="17"/>
        <v>#VALUE!</v>
      </c>
      <c r="GD22" s="301" t="e">
        <f t="shared" ca="1" si="17"/>
        <v>#VALUE!</v>
      </c>
      <c r="GE22" s="301" t="e">
        <f t="shared" ca="1" si="17"/>
        <v>#VALUE!</v>
      </c>
      <c r="GF22" s="301" t="e">
        <f t="shared" ca="1" si="17"/>
        <v>#VALUE!</v>
      </c>
      <c r="GG22" s="301" t="e">
        <f t="shared" ca="1" si="17"/>
        <v>#VALUE!</v>
      </c>
      <c r="GH22" s="301" t="e">
        <f t="shared" ca="1" si="17"/>
        <v>#VALUE!</v>
      </c>
      <c r="GI22" s="301" t="e">
        <f t="shared" ca="1" si="17"/>
        <v>#VALUE!</v>
      </c>
      <c r="GJ22" s="301" t="e">
        <f t="shared" ca="1" si="17"/>
        <v>#VALUE!</v>
      </c>
      <c r="GK22" s="301" t="e">
        <f t="shared" ca="1" si="17"/>
        <v>#VALUE!</v>
      </c>
      <c r="GL22" s="301" t="e">
        <f t="shared" ca="1" si="17"/>
        <v>#VALUE!</v>
      </c>
      <c r="GM22" s="301" t="e">
        <f t="shared" ca="1" si="17"/>
        <v>#VALUE!</v>
      </c>
      <c r="GN22" s="302" t="e">
        <f t="shared" ca="1" si="17"/>
        <v>#VALUE!</v>
      </c>
      <c r="GO22" s="302" t="e">
        <f t="shared" ca="1" si="17"/>
        <v>#VALUE!</v>
      </c>
      <c r="GP22" s="301">
        <f t="shared" ref="GP22:HE35" si="28">SUMIF($AB$8:$FO$8,GP$9,$AB22:$FO22)</f>
        <v>90</v>
      </c>
      <c r="GQ22" s="301">
        <f t="shared" si="28"/>
        <v>180</v>
      </c>
      <c r="GR22" s="301">
        <f t="shared" si="28"/>
        <v>180</v>
      </c>
      <c r="GS22" s="301">
        <f t="shared" si="28"/>
        <v>180</v>
      </c>
      <c r="GT22" s="301">
        <f t="shared" si="28"/>
        <v>180</v>
      </c>
      <c r="GU22" s="303">
        <f t="shared" si="28"/>
        <v>180</v>
      </c>
      <c r="GV22" s="302">
        <f t="shared" si="28"/>
        <v>0</v>
      </c>
      <c r="GW22" s="302">
        <f t="shared" si="28"/>
        <v>0</v>
      </c>
      <c r="GX22" s="302">
        <f t="shared" si="28"/>
        <v>0</v>
      </c>
      <c r="GY22" s="302">
        <f t="shared" si="28"/>
        <v>0</v>
      </c>
      <c r="GZ22" s="302">
        <f t="shared" si="28"/>
        <v>0</v>
      </c>
      <c r="HA22" s="302">
        <f t="shared" si="28"/>
        <v>0</v>
      </c>
      <c r="HB22" s="302">
        <f t="shared" si="28"/>
        <v>0</v>
      </c>
      <c r="HC22" s="302">
        <f t="shared" si="28"/>
        <v>0</v>
      </c>
      <c r="HD22" s="302">
        <f t="shared" si="28"/>
        <v>0</v>
      </c>
      <c r="HE22" s="302">
        <f t="shared" si="28"/>
        <v>0</v>
      </c>
      <c r="HF22" s="304"/>
      <c r="HG22" s="305"/>
    </row>
    <row r="23" spans="1:215" s="306" customFormat="1" ht="15.75" customHeight="1">
      <c r="A23" s="307"/>
      <c r="B23" s="292" t="s">
        <v>85</v>
      </c>
      <c r="C23" s="292" t="s">
        <v>198</v>
      </c>
      <c r="D23" s="292" t="s">
        <v>198</v>
      </c>
      <c r="E23" s="292" t="s">
        <v>375</v>
      </c>
      <c r="F23" s="292" t="s">
        <v>184</v>
      </c>
      <c r="G23" s="292" t="s">
        <v>350</v>
      </c>
      <c r="H23" s="292" t="s">
        <v>351</v>
      </c>
      <c r="I23" s="292" t="s">
        <v>352</v>
      </c>
      <c r="J23" s="292" t="s">
        <v>184</v>
      </c>
      <c r="K23" s="292" t="s">
        <v>353</v>
      </c>
      <c r="L23" s="292" t="s">
        <v>359</v>
      </c>
      <c r="M23" s="292" t="s">
        <v>371</v>
      </c>
      <c r="N23" s="292" t="str">
        <f t="shared" si="20"/>
        <v>RTR-RTR</v>
      </c>
      <c r="O23" s="292" t="str">
        <f t="shared" si="21"/>
        <v>Technology-Manager-India-Consulting</v>
      </c>
      <c r="P23" s="292" t="str">
        <f t="shared" si="22"/>
        <v>RTR - Technology</v>
      </c>
      <c r="Q23" s="293">
        <f t="shared" si="3"/>
        <v>400950</v>
      </c>
      <c r="R23" s="294">
        <f t="shared" si="4"/>
        <v>44550</v>
      </c>
      <c r="S23" s="295">
        <f t="shared" si="23"/>
        <v>1305</v>
      </c>
      <c r="T23" s="295">
        <f t="shared" si="6"/>
        <v>4050</v>
      </c>
      <c r="U23" s="296" t="str">
        <f t="shared" si="24"/>
        <v>Technology - Manager</v>
      </c>
      <c r="V23" s="295" t="str">
        <f t="shared" si="25"/>
        <v>5-7 years</v>
      </c>
      <c r="W23" s="292" t="str">
        <f t="shared" si="26"/>
        <v>Offshore</v>
      </c>
      <c r="X23" s="292" t="s">
        <v>261</v>
      </c>
      <c r="Y23" s="292" t="s">
        <v>259</v>
      </c>
      <c r="Z23" s="292" t="s">
        <v>376</v>
      </c>
      <c r="AA23" s="297">
        <f>[1]Resourcing!QD27</f>
        <v>0</v>
      </c>
      <c r="AB23" s="298">
        <f t="shared" si="27"/>
        <v>99</v>
      </c>
      <c r="AC23" s="299"/>
      <c r="AD23" s="299"/>
      <c r="AE23" s="299"/>
      <c r="AF23" s="299"/>
      <c r="AG23" s="299"/>
      <c r="AH23" s="299"/>
      <c r="AI23" s="299"/>
      <c r="AJ23" s="299"/>
      <c r="AK23" s="299"/>
      <c r="AL23" s="299"/>
      <c r="AM23" s="299"/>
      <c r="AN23" s="299"/>
      <c r="AO23" s="299"/>
      <c r="AP23" s="299"/>
      <c r="AQ23" s="299"/>
      <c r="AR23" s="299"/>
      <c r="AS23" s="299"/>
      <c r="AT23" s="299"/>
      <c r="AU23" s="299"/>
      <c r="AV23" s="299"/>
      <c r="AW23" s="299"/>
      <c r="AX23" s="299"/>
      <c r="AY23" s="299"/>
      <c r="AZ23" s="299"/>
      <c r="BA23" s="299"/>
      <c r="BB23" s="299"/>
      <c r="BC23" s="299"/>
      <c r="BD23" s="299"/>
      <c r="BE23" s="299">
        <v>45</v>
      </c>
      <c r="BF23" s="299">
        <v>45</v>
      </c>
      <c r="BG23" s="299">
        <v>45</v>
      </c>
      <c r="BH23" s="299">
        <v>45</v>
      </c>
      <c r="BI23" s="299">
        <v>45</v>
      </c>
      <c r="BJ23" s="299">
        <v>45</v>
      </c>
      <c r="BK23" s="299">
        <v>45</v>
      </c>
      <c r="BL23" s="299">
        <v>45</v>
      </c>
      <c r="BM23" s="299">
        <v>45</v>
      </c>
      <c r="BN23" s="299">
        <v>45</v>
      </c>
      <c r="BO23" s="299">
        <v>45</v>
      </c>
      <c r="BP23" s="299">
        <v>45</v>
      </c>
      <c r="BQ23" s="299">
        <v>45</v>
      </c>
      <c r="BR23" s="299"/>
      <c r="BS23" s="299"/>
      <c r="BT23" s="299">
        <v>45</v>
      </c>
      <c r="BU23" s="299">
        <v>45</v>
      </c>
      <c r="BV23" s="299">
        <v>45</v>
      </c>
      <c r="BW23" s="299">
        <v>45</v>
      </c>
      <c r="BX23" s="299">
        <v>45</v>
      </c>
      <c r="BY23" s="299">
        <v>45</v>
      </c>
      <c r="BZ23" s="299">
        <v>45</v>
      </c>
      <c r="CA23" s="299">
        <v>45</v>
      </c>
      <c r="CB23" s="299">
        <v>45</v>
      </c>
      <c r="CC23" s="299">
        <v>45</v>
      </c>
      <c r="CD23" s="299">
        <v>45</v>
      </c>
      <c r="CE23" s="299">
        <v>45</v>
      </c>
      <c r="CF23" s="299">
        <v>45</v>
      </c>
      <c r="CG23" s="299">
        <v>45</v>
      </c>
      <c r="CH23" s="299">
        <v>45</v>
      </c>
      <c r="CI23" s="299">
        <v>45</v>
      </c>
      <c r="CJ23" s="299">
        <v>45</v>
      </c>
      <c r="CK23" s="299">
        <v>45</v>
      </c>
      <c r="CL23" s="299">
        <v>45</v>
      </c>
      <c r="CM23" s="299">
        <v>45</v>
      </c>
      <c r="CN23" s="299">
        <v>45</v>
      </c>
      <c r="CO23" s="299">
        <v>45</v>
      </c>
      <c r="CP23" s="299">
        <v>45</v>
      </c>
      <c r="CQ23" s="299">
        <v>45</v>
      </c>
      <c r="CR23" s="299">
        <v>45</v>
      </c>
      <c r="CS23" s="299">
        <v>45</v>
      </c>
      <c r="CT23" s="299">
        <v>45</v>
      </c>
      <c r="CU23" s="299">
        <v>45</v>
      </c>
      <c r="CV23" s="299">
        <v>45</v>
      </c>
      <c r="CW23" s="299">
        <v>45</v>
      </c>
      <c r="CX23" s="299">
        <v>45</v>
      </c>
      <c r="CY23" s="299">
        <v>45</v>
      </c>
      <c r="CZ23" s="299">
        <v>45</v>
      </c>
      <c r="DA23" s="299">
        <v>45</v>
      </c>
      <c r="DB23" s="299">
        <v>45</v>
      </c>
      <c r="DC23" s="299">
        <v>45</v>
      </c>
      <c r="DD23" s="299">
        <v>45</v>
      </c>
      <c r="DE23" s="299">
        <v>45</v>
      </c>
      <c r="DF23" s="299">
        <v>45</v>
      </c>
      <c r="DG23" s="299">
        <v>45</v>
      </c>
      <c r="DH23" s="299">
        <v>45</v>
      </c>
      <c r="DI23" s="299">
        <v>45</v>
      </c>
      <c r="DJ23" s="299">
        <v>45</v>
      </c>
      <c r="DK23" s="299">
        <v>45</v>
      </c>
      <c r="DL23" s="299">
        <v>45</v>
      </c>
      <c r="DM23" s="299">
        <v>45</v>
      </c>
      <c r="DN23" s="299">
        <v>45</v>
      </c>
      <c r="DO23" s="299">
        <v>45</v>
      </c>
      <c r="DP23" s="299">
        <v>45</v>
      </c>
      <c r="DQ23" s="299">
        <v>45</v>
      </c>
      <c r="DR23" s="299"/>
      <c r="DS23" s="299"/>
      <c r="DT23" s="299">
        <v>45</v>
      </c>
      <c r="DU23" s="299">
        <v>45</v>
      </c>
      <c r="DV23" s="299">
        <v>45</v>
      </c>
      <c r="DW23" s="299">
        <v>45</v>
      </c>
      <c r="DX23" s="299">
        <v>45</v>
      </c>
      <c r="DY23" s="299">
        <v>45</v>
      </c>
      <c r="DZ23" s="299">
        <v>45</v>
      </c>
      <c r="EA23" s="299">
        <v>45</v>
      </c>
      <c r="EB23" s="299">
        <v>45</v>
      </c>
      <c r="EC23" s="299">
        <v>45</v>
      </c>
      <c r="ED23" s="299">
        <v>45</v>
      </c>
      <c r="EE23" s="299">
        <v>45</v>
      </c>
      <c r="EF23" s="299">
        <v>45</v>
      </c>
      <c r="EG23" s="299">
        <v>45</v>
      </c>
      <c r="EH23" s="299">
        <v>45</v>
      </c>
      <c r="EI23" s="299">
        <v>45</v>
      </c>
      <c r="EJ23" s="299">
        <v>45</v>
      </c>
      <c r="EK23" s="299">
        <v>45</v>
      </c>
      <c r="EL23" s="299">
        <v>45</v>
      </c>
      <c r="EM23" s="299">
        <v>45</v>
      </c>
      <c r="EN23" s="299">
        <v>45</v>
      </c>
      <c r="EO23" s="299">
        <v>45</v>
      </c>
      <c r="EP23" s="299">
        <v>45</v>
      </c>
      <c r="EQ23" s="299">
        <v>45</v>
      </c>
      <c r="ER23" s="299">
        <v>45</v>
      </c>
      <c r="ES23" s="299">
        <v>45</v>
      </c>
      <c r="ET23" s="299">
        <v>45</v>
      </c>
      <c r="EU23" s="299"/>
      <c r="EV23" s="299"/>
      <c r="EW23" s="299"/>
      <c r="EX23" s="299"/>
      <c r="EY23" s="299"/>
      <c r="EZ23" s="299"/>
      <c r="FA23" s="299"/>
      <c r="FB23" s="299"/>
      <c r="FC23" s="299"/>
      <c r="FD23" s="299"/>
      <c r="FE23" s="299"/>
      <c r="FF23" s="299"/>
      <c r="FG23" s="299"/>
      <c r="FH23" s="299"/>
      <c r="FI23" s="299"/>
      <c r="FJ23" s="299"/>
      <c r="FK23" s="299"/>
      <c r="FL23" s="299"/>
      <c r="FM23" s="299"/>
      <c r="FN23" s="299"/>
      <c r="FO23" s="299"/>
      <c r="FP23" s="299"/>
      <c r="FQ23" s="300" t="e">
        <f t="shared" ca="1" si="18"/>
        <v>#VALUE!</v>
      </c>
      <c r="FR23" s="300" t="e">
        <f t="shared" ref="FR23:GA32" ca="1" si="29">SUMIF($AC$11:$FP$11,FR$12,$AC23:$FP23)</f>
        <v>#VALUE!</v>
      </c>
      <c r="FS23" s="300" t="e">
        <f t="shared" ca="1" si="29"/>
        <v>#VALUE!</v>
      </c>
      <c r="FT23" s="300" t="e">
        <f t="shared" ca="1" si="29"/>
        <v>#VALUE!</v>
      </c>
      <c r="FU23" s="300" t="e">
        <f t="shared" ca="1" si="29"/>
        <v>#VALUE!</v>
      </c>
      <c r="FV23" s="300" t="e">
        <f t="shared" ca="1" si="29"/>
        <v>#VALUE!</v>
      </c>
      <c r="FW23" s="300" t="e">
        <f t="shared" ca="1" si="29"/>
        <v>#VALUE!</v>
      </c>
      <c r="FX23" s="300" t="e">
        <f t="shared" ca="1" si="29"/>
        <v>#VALUE!</v>
      </c>
      <c r="FY23" s="300" t="e">
        <f t="shared" ca="1" si="29"/>
        <v>#VALUE!</v>
      </c>
      <c r="FZ23" s="300" t="e">
        <f t="shared" ca="1" si="29"/>
        <v>#VALUE!</v>
      </c>
      <c r="GA23" s="301" t="e">
        <f t="shared" ca="1" si="29"/>
        <v>#VALUE!</v>
      </c>
      <c r="GB23" s="301" t="e">
        <f t="shared" ref="GB23:GO32" ca="1" si="30">SUMIF($AC$11:$FP$11,GB$12,$AC23:$FP23)</f>
        <v>#VALUE!</v>
      </c>
      <c r="GC23" s="301" t="e">
        <f t="shared" ca="1" si="30"/>
        <v>#VALUE!</v>
      </c>
      <c r="GD23" s="301" t="e">
        <f t="shared" ca="1" si="30"/>
        <v>#VALUE!</v>
      </c>
      <c r="GE23" s="301" t="e">
        <f t="shared" ca="1" si="30"/>
        <v>#VALUE!</v>
      </c>
      <c r="GF23" s="301" t="e">
        <f t="shared" ca="1" si="30"/>
        <v>#VALUE!</v>
      </c>
      <c r="GG23" s="301" t="e">
        <f t="shared" ca="1" si="30"/>
        <v>#VALUE!</v>
      </c>
      <c r="GH23" s="301" t="e">
        <f t="shared" ca="1" si="30"/>
        <v>#VALUE!</v>
      </c>
      <c r="GI23" s="301" t="e">
        <f t="shared" ca="1" si="30"/>
        <v>#VALUE!</v>
      </c>
      <c r="GJ23" s="301" t="e">
        <f t="shared" ca="1" si="30"/>
        <v>#VALUE!</v>
      </c>
      <c r="GK23" s="301" t="e">
        <f t="shared" ca="1" si="30"/>
        <v>#VALUE!</v>
      </c>
      <c r="GL23" s="301" t="e">
        <f t="shared" ca="1" si="30"/>
        <v>#VALUE!</v>
      </c>
      <c r="GM23" s="301" t="e">
        <f t="shared" ca="1" si="30"/>
        <v>#VALUE!</v>
      </c>
      <c r="GN23" s="302" t="e">
        <f t="shared" ca="1" si="30"/>
        <v>#VALUE!</v>
      </c>
      <c r="GO23" s="302" t="e">
        <f t="shared" ca="1" si="30"/>
        <v>#VALUE!</v>
      </c>
      <c r="GP23" s="301">
        <f t="shared" si="28"/>
        <v>90</v>
      </c>
      <c r="GQ23" s="301">
        <f t="shared" si="28"/>
        <v>180</v>
      </c>
      <c r="GR23" s="301">
        <f t="shared" si="28"/>
        <v>180</v>
      </c>
      <c r="GS23" s="301">
        <f t="shared" si="28"/>
        <v>180</v>
      </c>
      <c r="GT23" s="301">
        <f t="shared" si="28"/>
        <v>180</v>
      </c>
      <c r="GU23" s="303">
        <f t="shared" si="28"/>
        <v>180</v>
      </c>
      <c r="GV23" s="302">
        <f t="shared" si="28"/>
        <v>180</v>
      </c>
      <c r="GW23" s="302">
        <f t="shared" si="28"/>
        <v>135</v>
      </c>
      <c r="GX23" s="302">
        <f t="shared" si="28"/>
        <v>0</v>
      </c>
      <c r="GY23" s="302">
        <f t="shared" si="28"/>
        <v>0</v>
      </c>
      <c r="GZ23" s="302">
        <f t="shared" si="28"/>
        <v>0</v>
      </c>
      <c r="HA23" s="302">
        <f t="shared" si="28"/>
        <v>0</v>
      </c>
      <c r="HB23" s="302">
        <f t="shared" si="28"/>
        <v>0</v>
      </c>
      <c r="HC23" s="302">
        <f t="shared" si="28"/>
        <v>0</v>
      </c>
      <c r="HD23" s="302">
        <f t="shared" si="28"/>
        <v>0</v>
      </c>
      <c r="HE23" s="302">
        <f t="shared" si="28"/>
        <v>0</v>
      </c>
      <c r="HF23" s="304"/>
      <c r="HG23" s="305"/>
    </row>
    <row r="24" spans="1:215" s="306" customFormat="1" ht="15.75" customHeight="1">
      <c r="A24" s="307"/>
      <c r="B24" s="292" t="s">
        <v>85</v>
      </c>
      <c r="C24" s="292" t="s">
        <v>198</v>
      </c>
      <c r="D24" s="292" t="s">
        <v>198</v>
      </c>
      <c r="E24" s="292" t="s">
        <v>377</v>
      </c>
      <c r="F24" s="292" t="s">
        <v>184</v>
      </c>
      <c r="G24" s="292" t="s">
        <v>350</v>
      </c>
      <c r="H24" s="292" t="s">
        <v>351</v>
      </c>
      <c r="I24" s="292" t="s">
        <v>352</v>
      </c>
      <c r="J24" s="292" t="s">
        <v>184</v>
      </c>
      <c r="K24" s="292" t="s">
        <v>353</v>
      </c>
      <c r="L24" s="292" t="s">
        <v>359</v>
      </c>
      <c r="M24" s="292" t="s">
        <v>374</v>
      </c>
      <c r="N24" s="292" t="str">
        <f t="shared" si="20"/>
        <v>RTR-RTR</v>
      </c>
      <c r="O24" s="292" t="str">
        <f t="shared" si="21"/>
        <v>Technology-Consultant-India-Consulting</v>
      </c>
      <c r="P24" s="292" t="str">
        <f t="shared" si="22"/>
        <v>RTR - Technology</v>
      </c>
      <c r="Q24" s="293">
        <f t="shared" si="3"/>
        <v>210600</v>
      </c>
      <c r="R24" s="294">
        <f t="shared" si="4"/>
        <v>0</v>
      </c>
      <c r="S24" s="295">
        <f t="shared" si="23"/>
        <v>1215</v>
      </c>
      <c r="T24" s="295">
        <f t="shared" si="6"/>
        <v>3510</v>
      </c>
      <c r="U24" s="296" t="str">
        <f t="shared" si="24"/>
        <v>Technology - Consultant</v>
      </c>
      <c r="V24" s="295" t="str">
        <f t="shared" si="25"/>
        <v>1-3 years</v>
      </c>
      <c r="W24" s="292" t="str">
        <f t="shared" si="26"/>
        <v>Offshore</v>
      </c>
      <c r="X24" s="292" t="s">
        <v>261</v>
      </c>
      <c r="Y24" s="292" t="s">
        <v>259</v>
      </c>
      <c r="Z24" s="292" t="s">
        <v>368</v>
      </c>
      <c r="AA24" s="297">
        <f>[1]Resourcing!QD28</f>
        <v>381.29599999999999</v>
      </c>
      <c r="AB24" s="298">
        <f t="shared" si="27"/>
        <v>60</v>
      </c>
      <c r="AC24" s="299"/>
      <c r="AD24" s="299"/>
      <c r="AE24" s="299"/>
      <c r="AF24" s="299"/>
      <c r="AG24" s="299"/>
      <c r="AH24" s="299"/>
      <c r="AI24" s="299"/>
      <c r="AJ24" s="299"/>
      <c r="AK24" s="299"/>
      <c r="AL24" s="299"/>
      <c r="AM24" s="299"/>
      <c r="AN24" s="299"/>
      <c r="AO24" s="299"/>
      <c r="AP24" s="299"/>
      <c r="AQ24" s="299"/>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v>45</v>
      </c>
      <c r="BP24" s="299">
        <v>45</v>
      </c>
      <c r="BQ24" s="299">
        <v>45</v>
      </c>
      <c r="BR24" s="299"/>
      <c r="BS24" s="299"/>
      <c r="BT24" s="299">
        <v>45</v>
      </c>
      <c r="BU24" s="299">
        <v>45</v>
      </c>
      <c r="BV24" s="299">
        <v>45</v>
      </c>
      <c r="BW24" s="299">
        <v>45</v>
      </c>
      <c r="BX24" s="299">
        <v>45</v>
      </c>
      <c r="BY24" s="299">
        <v>45</v>
      </c>
      <c r="BZ24" s="299">
        <v>45</v>
      </c>
      <c r="CA24" s="299">
        <v>45</v>
      </c>
      <c r="CB24" s="299">
        <v>45</v>
      </c>
      <c r="CC24" s="299">
        <v>45</v>
      </c>
      <c r="CD24" s="299">
        <v>45</v>
      </c>
      <c r="CE24" s="299">
        <v>45</v>
      </c>
      <c r="CF24" s="299">
        <v>45</v>
      </c>
      <c r="CG24" s="299">
        <v>45</v>
      </c>
      <c r="CH24" s="299">
        <v>45</v>
      </c>
      <c r="CI24" s="299">
        <v>45</v>
      </c>
      <c r="CJ24" s="299">
        <v>45</v>
      </c>
      <c r="CK24" s="299">
        <v>45</v>
      </c>
      <c r="CL24" s="299">
        <v>45</v>
      </c>
      <c r="CM24" s="299">
        <v>45</v>
      </c>
      <c r="CN24" s="299">
        <v>45</v>
      </c>
      <c r="CO24" s="299">
        <v>45</v>
      </c>
      <c r="CP24" s="299">
        <v>45</v>
      </c>
      <c r="CQ24" s="299">
        <v>45</v>
      </c>
      <c r="CR24" s="299">
        <v>45</v>
      </c>
      <c r="CS24" s="299">
        <v>45</v>
      </c>
      <c r="CT24" s="299">
        <v>45</v>
      </c>
      <c r="CU24" s="299">
        <v>45</v>
      </c>
      <c r="CV24" s="299">
        <v>45</v>
      </c>
      <c r="CW24" s="299">
        <v>45</v>
      </c>
      <c r="CX24" s="299">
        <v>45</v>
      </c>
      <c r="CY24" s="299">
        <v>45</v>
      </c>
      <c r="CZ24" s="299">
        <v>45</v>
      </c>
      <c r="DA24" s="299">
        <v>45</v>
      </c>
      <c r="DB24" s="299">
        <v>45</v>
      </c>
      <c r="DC24" s="299">
        <v>45</v>
      </c>
      <c r="DD24" s="299">
        <v>45</v>
      </c>
      <c r="DE24" s="299">
        <v>45</v>
      </c>
      <c r="DF24" s="299">
        <v>45</v>
      </c>
      <c r="DG24" s="299">
        <v>45</v>
      </c>
      <c r="DH24" s="299">
        <v>45</v>
      </c>
      <c r="DI24" s="299">
        <v>45</v>
      </c>
      <c r="DJ24" s="299">
        <v>45</v>
      </c>
      <c r="DK24" s="299">
        <v>45</v>
      </c>
      <c r="DL24" s="299">
        <v>45</v>
      </c>
      <c r="DM24" s="299">
        <v>45</v>
      </c>
      <c r="DN24" s="299">
        <v>45</v>
      </c>
      <c r="DO24" s="299">
        <v>45</v>
      </c>
      <c r="DP24" s="299">
        <v>45</v>
      </c>
      <c r="DQ24" s="299">
        <v>45</v>
      </c>
      <c r="DR24" s="299"/>
      <c r="DS24" s="299"/>
      <c r="DT24" s="299">
        <v>45</v>
      </c>
      <c r="DU24" s="299">
        <v>45</v>
      </c>
      <c r="DV24" s="299">
        <v>45</v>
      </c>
      <c r="DW24" s="299">
        <v>45</v>
      </c>
      <c r="DX24" s="299">
        <v>45</v>
      </c>
      <c r="DY24" s="299">
        <v>45</v>
      </c>
      <c r="DZ24" s="299">
        <v>45</v>
      </c>
      <c r="EA24" s="299">
        <v>45</v>
      </c>
      <c r="EB24" s="299">
        <v>45</v>
      </c>
      <c r="EC24" s="299">
        <v>45</v>
      </c>
      <c r="ED24" s="299">
        <v>45</v>
      </c>
      <c r="EE24" s="299">
        <v>45</v>
      </c>
      <c r="EF24" s="299">
        <v>45</v>
      </c>
      <c r="EG24" s="299">
        <v>45</v>
      </c>
      <c r="EH24" s="299">
        <v>45</v>
      </c>
      <c r="EI24" s="299">
        <v>45</v>
      </c>
      <c r="EJ24" s="299">
        <v>45</v>
      </c>
      <c r="EK24" s="299">
        <v>45</v>
      </c>
      <c r="EL24" s="299">
        <v>45</v>
      </c>
      <c r="EM24" s="299">
        <v>45</v>
      </c>
      <c r="EN24" s="299">
        <v>45</v>
      </c>
      <c r="EO24" s="299">
        <v>45</v>
      </c>
      <c r="EP24" s="299">
        <v>45</v>
      </c>
      <c r="EQ24" s="299">
        <v>45</v>
      </c>
      <c r="ER24" s="299">
        <v>45</v>
      </c>
      <c r="ES24" s="299"/>
      <c r="ET24" s="299"/>
      <c r="EU24" s="299"/>
      <c r="EV24" s="299"/>
      <c r="EW24" s="299"/>
      <c r="EX24" s="299"/>
      <c r="EY24" s="299"/>
      <c r="EZ24" s="299"/>
      <c r="FA24" s="299"/>
      <c r="FB24" s="299"/>
      <c r="FC24" s="299"/>
      <c r="FD24" s="299"/>
      <c r="FE24" s="299"/>
      <c r="FF24" s="299"/>
      <c r="FG24" s="299"/>
      <c r="FH24" s="299"/>
      <c r="FI24" s="299"/>
      <c r="FJ24" s="299"/>
      <c r="FK24" s="299"/>
      <c r="FL24" s="299"/>
      <c r="FM24" s="299"/>
      <c r="FN24" s="299"/>
      <c r="FO24" s="299"/>
      <c r="FP24" s="299"/>
      <c r="FQ24" s="300" t="e">
        <f t="shared" ca="1" si="18"/>
        <v>#VALUE!</v>
      </c>
      <c r="FR24" s="300" t="e">
        <f t="shared" ca="1" si="29"/>
        <v>#VALUE!</v>
      </c>
      <c r="FS24" s="300" t="e">
        <f t="shared" ca="1" si="29"/>
        <v>#VALUE!</v>
      </c>
      <c r="FT24" s="300" t="e">
        <f t="shared" ca="1" si="29"/>
        <v>#VALUE!</v>
      </c>
      <c r="FU24" s="300" t="e">
        <f t="shared" ca="1" si="29"/>
        <v>#VALUE!</v>
      </c>
      <c r="FV24" s="300" t="e">
        <f t="shared" ca="1" si="29"/>
        <v>#VALUE!</v>
      </c>
      <c r="FW24" s="300" t="e">
        <f t="shared" ca="1" si="29"/>
        <v>#VALUE!</v>
      </c>
      <c r="FX24" s="300" t="e">
        <f t="shared" ca="1" si="29"/>
        <v>#VALUE!</v>
      </c>
      <c r="FY24" s="300" t="e">
        <f t="shared" ca="1" si="29"/>
        <v>#VALUE!</v>
      </c>
      <c r="FZ24" s="300" t="e">
        <f t="shared" ca="1" si="29"/>
        <v>#VALUE!</v>
      </c>
      <c r="GA24" s="301" t="e">
        <f t="shared" ca="1" si="29"/>
        <v>#VALUE!</v>
      </c>
      <c r="GB24" s="301" t="e">
        <f t="shared" ca="1" si="30"/>
        <v>#VALUE!</v>
      </c>
      <c r="GC24" s="301" t="e">
        <f t="shared" ca="1" si="30"/>
        <v>#VALUE!</v>
      </c>
      <c r="GD24" s="301" t="e">
        <f t="shared" ca="1" si="30"/>
        <v>#VALUE!</v>
      </c>
      <c r="GE24" s="301" t="e">
        <f t="shared" ca="1" si="30"/>
        <v>#VALUE!</v>
      </c>
      <c r="GF24" s="301" t="e">
        <f t="shared" ca="1" si="30"/>
        <v>#VALUE!</v>
      </c>
      <c r="GG24" s="301" t="e">
        <f t="shared" ca="1" si="30"/>
        <v>#VALUE!</v>
      </c>
      <c r="GH24" s="301" t="e">
        <f t="shared" ca="1" si="30"/>
        <v>#VALUE!</v>
      </c>
      <c r="GI24" s="301" t="e">
        <f t="shared" ca="1" si="30"/>
        <v>#VALUE!</v>
      </c>
      <c r="GJ24" s="301" t="e">
        <f t="shared" ca="1" si="30"/>
        <v>#VALUE!</v>
      </c>
      <c r="GK24" s="301" t="e">
        <f t="shared" ca="1" si="30"/>
        <v>#VALUE!</v>
      </c>
      <c r="GL24" s="301" t="e">
        <f t="shared" ca="1" si="30"/>
        <v>#VALUE!</v>
      </c>
      <c r="GM24" s="301" t="e">
        <f t="shared" ca="1" si="30"/>
        <v>#VALUE!</v>
      </c>
      <c r="GN24" s="302" t="e">
        <f t="shared" ca="1" si="30"/>
        <v>#VALUE!</v>
      </c>
      <c r="GO24" s="302" t="e">
        <f t="shared" ca="1" si="30"/>
        <v>#VALUE!</v>
      </c>
      <c r="GP24" s="301">
        <f t="shared" si="28"/>
        <v>90</v>
      </c>
      <c r="GQ24" s="301">
        <f t="shared" si="28"/>
        <v>180</v>
      </c>
      <c r="GR24" s="301">
        <f t="shared" si="28"/>
        <v>180</v>
      </c>
      <c r="GS24" s="301">
        <f t="shared" si="28"/>
        <v>180</v>
      </c>
      <c r="GT24" s="301">
        <f t="shared" si="28"/>
        <v>180</v>
      </c>
      <c r="GU24" s="303">
        <f t="shared" si="28"/>
        <v>180</v>
      </c>
      <c r="GV24" s="302">
        <f t="shared" si="28"/>
        <v>180</v>
      </c>
      <c r="GW24" s="302">
        <f t="shared" si="28"/>
        <v>45</v>
      </c>
      <c r="GX24" s="302">
        <f t="shared" si="28"/>
        <v>0</v>
      </c>
      <c r="GY24" s="302">
        <f t="shared" si="28"/>
        <v>0</v>
      </c>
      <c r="GZ24" s="302">
        <f t="shared" si="28"/>
        <v>0</v>
      </c>
      <c r="HA24" s="302">
        <f t="shared" si="28"/>
        <v>0</v>
      </c>
      <c r="HB24" s="302">
        <f t="shared" si="28"/>
        <v>0</v>
      </c>
      <c r="HC24" s="302">
        <f t="shared" si="28"/>
        <v>0</v>
      </c>
      <c r="HD24" s="302">
        <f t="shared" si="28"/>
        <v>0</v>
      </c>
      <c r="HE24" s="302">
        <f t="shared" si="28"/>
        <v>0</v>
      </c>
      <c r="HF24" s="304"/>
      <c r="HG24" s="305"/>
    </row>
    <row r="25" spans="1:215" s="306" customFormat="1" ht="15.75" customHeight="1">
      <c r="A25" s="307"/>
      <c r="B25" s="292" t="s">
        <v>85</v>
      </c>
      <c r="C25" s="292" t="s">
        <v>198</v>
      </c>
      <c r="D25" s="292" t="s">
        <v>198</v>
      </c>
      <c r="E25" s="292" t="s">
        <v>378</v>
      </c>
      <c r="F25" s="292" t="s">
        <v>184</v>
      </c>
      <c r="G25" s="292" t="s">
        <v>350</v>
      </c>
      <c r="H25" s="292" t="s">
        <v>351</v>
      </c>
      <c r="I25" s="292" t="s">
        <v>352</v>
      </c>
      <c r="J25" s="292" t="s">
        <v>184</v>
      </c>
      <c r="K25" s="292" t="s">
        <v>353</v>
      </c>
      <c r="L25" s="292" t="s">
        <v>359</v>
      </c>
      <c r="M25" s="292" t="s">
        <v>374</v>
      </c>
      <c r="N25" s="292" t="str">
        <f t="shared" si="20"/>
        <v>RTR-RTR</v>
      </c>
      <c r="O25" s="292" t="str">
        <f t="shared" si="21"/>
        <v>Technology-Senior Consultant-India-Consulting</v>
      </c>
      <c r="P25" s="292" t="str">
        <f t="shared" si="22"/>
        <v>RTR - Technology</v>
      </c>
      <c r="Q25" s="293">
        <f t="shared" si="3"/>
        <v>268380</v>
      </c>
      <c r="R25" s="294">
        <f t="shared" si="4"/>
        <v>12780</v>
      </c>
      <c r="S25" s="295">
        <f t="shared" si="23"/>
        <v>1305</v>
      </c>
      <c r="T25" s="295">
        <f t="shared" si="6"/>
        <v>3780</v>
      </c>
      <c r="U25" s="296" t="str">
        <f t="shared" si="24"/>
        <v>Technology - Senior Consultant</v>
      </c>
      <c r="V25" s="295" t="str">
        <f t="shared" si="25"/>
        <v>3-5 years</v>
      </c>
      <c r="W25" s="292" t="str">
        <f t="shared" si="26"/>
        <v>Offshore</v>
      </c>
      <c r="X25" s="292" t="s">
        <v>261</v>
      </c>
      <c r="Y25" s="292" t="s">
        <v>259</v>
      </c>
      <c r="Z25" s="292" t="s">
        <v>364</v>
      </c>
      <c r="AA25" s="297">
        <f>[1]Resourcing!QD29</f>
        <v>322.53493150684898</v>
      </c>
      <c r="AB25" s="298">
        <f t="shared" si="27"/>
        <v>71</v>
      </c>
      <c r="AC25" s="299"/>
      <c r="AD25" s="299"/>
      <c r="AE25" s="299"/>
      <c r="AF25" s="299"/>
      <c r="AG25" s="299"/>
      <c r="AH25" s="299"/>
      <c r="AI25" s="299"/>
      <c r="AJ25" s="299"/>
      <c r="AK25" s="299"/>
      <c r="AL25" s="299"/>
      <c r="AM25" s="299"/>
      <c r="AN25" s="299"/>
      <c r="AO25" s="299"/>
      <c r="AP25" s="299"/>
      <c r="AQ25" s="299"/>
      <c r="AR25" s="299"/>
      <c r="AS25" s="299"/>
      <c r="AT25" s="299"/>
      <c r="AU25" s="299"/>
      <c r="AV25" s="299"/>
      <c r="AW25" s="299"/>
      <c r="AX25" s="299"/>
      <c r="AY25" s="299"/>
      <c r="AZ25" s="299"/>
      <c r="BA25" s="299"/>
      <c r="BB25" s="299"/>
      <c r="BC25" s="299"/>
      <c r="BD25" s="299"/>
      <c r="BE25" s="299"/>
      <c r="BF25" s="299"/>
      <c r="BG25" s="299"/>
      <c r="BH25" s="299"/>
      <c r="BI25" s="299"/>
      <c r="BJ25" s="299"/>
      <c r="BK25" s="299">
        <v>45</v>
      </c>
      <c r="BL25" s="299">
        <v>45</v>
      </c>
      <c r="BM25" s="299">
        <v>45</v>
      </c>
      <c r="BN25" s="299">
        <v>45</v>
      </c>
      <c r="BO25" s="299">
        <v>45</v>
      </c>
      <c r="BP25" s="299">
        <v>45</v>
      </c>
      <c r="BQ25" s="299">
        <v>45</v>
      </c>
      <c r="BR25" s="299"/>
      <c r="BS25" s="299"/>
      <c r="BT25" s="299">
        <v>45</v>
      </c>
      <c r="BU25" s="299">
        <v>45</v>
      </c>
      <c r="BV25" s="299">
        <v>45</v>
      </c>
      <c r="BW25" s="299">
        <v>45</v>
      </c>
      <c r="BX25" s="299">
        <v>45</v>
      </c>
      <c r="BY25" s="299">
        <v>45</v>
      </c>
      <c r="BZ25" s="299">
        <v>45</v>
      </c>
      <c r="CA25" s="299">
        <v>45</v>
      </c>
      <c r="CB25" s="299">
        <v>45</v>
      </c>
      <c r="CC25" s="299">
        <v>45</v>
      </c>
      <c r="CD25" s="299">
        <v>45</v>
      </c>
      <c r="CE25" s="299">
        <v>45</v>
      </c>
      <c r="CF25" s="299">
        <v>45</v>
      </c>
      <c r="CG25" s="299">
        <v>45</v>
      </c>
      <c r="CH25" s="299">
        <v>45</v>
      </c>
      <c r="CI25" s="299">
        <v>45</v>
      </c>
      <c r="CJ25" s="299">
        <v>45</v>
      </c>
      <c r="CK25" s="299">
        <v>45</v>
      </c>
      <c r="CL25" s="299">
        <v>45</v>
      </c>
      <c r="CM25" s="299">
        <v>45</v>
      </c>
      <c r="CN25" s="299">
        <v>45</v>
      </c>
      <c r="CO25" s="299">
        <v>45</v>
      </c>
      <c r="CP25" s="299">
        <v>45</v>
      </c>
      <c r="CQ25" s="299">
        <v>45</v>
      </c>
      <c r="CR25" s="299">
        <v>45</v>
      </c>
      <c r="CS25" s="299">
        <v>45</v>
      </c>
      <c r="CT25" s="299">
        <v>45</v>
      </c>
      <c r="CU25" s="299">
        <v>45</v>
      </c>
      <c r="CV25" s="299">
        <v>45</v>
      </c>
      <c r="CW25" s="299">
        <v>45</v>
      </c>
      <c r="CX25" s="299">
        <v>45</v>
      </c>
      <c r="CY25" s="299">
        <v>45</v>
      </c>
      <c r="CZ25" s="299">
        <v>45</v>
      </c>
      <c r="DA25" s="299">
        <v>45</v>
      </c>
      <c r="DB25" s="299">
        <v>45</v>
      </c>
      <c r="DC25" s="299">
        <v>45</v>
      </c>
      <c r="DD25" s="299">
        <v>45</v>
      </c>
      <c r="DE25" s="299">
        <v>45</v>
      </c>
      <c r="DF25" s="299">
        <v>45</v>
      </c>
      <c r="DG25" s="299">
        <v>45</v>
      </c>
      <c r="DH25" s="299">
        <v>45</v>
      </c>
      <c r="DI25" s="299">
        <v>45</v>
      </c>
      <c r="DJ25" s="299">
        <v>45</v>
      </c>
      <c r="DK25" s="299">
        <v>45</v>
      </c>
      <c r="DL25" s="299">
        <v>45</v>
      </c>
      <c r="DM25" s="299">
        <v>45</v>
      </c>
      <c r="DN25" s="299">
        <v>45</v>
      </c>
      <c r="DO25" s="299">
        <v>45</v>
      </c>
      <c r="DP25" s="299">
        <v>45</v>
      </c>
      <c r="DQ25" s="299">
        <v>45</v>
      </c>
      <c r="DR25" s="299"/>
      <c r="DS25" s="299"/>
      <c r="DT25" s="299">
        <v>45</v>
      </c>
      <c r="DU25" s="299">
        <v>45</v>
      </c>
      <c r="DV25" s="299">
        <v>45</v>
      </c>
      <c r="DW25" s="299">
        <v>45</v>
      </c>
      <c r="DX25" s="299">
        <v>45</v>
      </c>
      <c r="DY25" s="299">
        <v>45</v>
      </c>
      <c r="DZ25" s="299">
        <v>45</v>
      </c>
      <c r="EA25" s="299">
        <v>45</v>
      </c>
      <c r="EB25" s="299">
        <v>45</v>
      </c>
      <c r="EC25" s="299">
        <v>45</v>
      </c>
      <c r="ED25" s="299">
        <v>45</v>
      </c>
      <c r="EE25" s="299">
        <v>45</v>
      </c>
      <c r="EF25" s="299">
        <v>45</v>
      </c>
      <c r="EG25" s="299">
        <v>45</v>
      </c>
      <c r="EH25" s="299">
        <v>45</v>
      </c>
      <c r="EI25" s="299">
        <v>45</v>
      </c>
      <c r="EJ25" s="299">
        <v>45</v>
      </c>
      <c r="EK25" s="299">
        <v>45</v>
      </c>
      <c r="EL25" s="299">
        <v>45</v>
      </c>
      <c r="EM25" s="299">
        <v>45</v>
      </c>
      <c r="EN25" s="299">
        <v>45</v>
      </c>
      <c r="EO25" s="299">
        <v>45</v>
      </c>
      <c r="EP25" s="299">
        <v>45</v>
      </c>
      <c r="EQ25" s="299">
        <v>45</v>
      </c>
      <c r="ER25" s="299">
        <v>45</v>
      </c>
      <c r="ES25" s="299">
        <v>45</v>
      </c>
      <c r="ET25" s="299">
        <v>45</v>
      </c>
      <c r="EU25" s="299"/>
      <c r="EV25" s="299"/>
      <c r="EW25" s="299"/>
      <c r="EX25" s="299"/>
      <c r="EY25" s="299"/>
      <c r="EZ25" s="299"/>
      <c r="FA25" s="299"/>
      <c r="FB25" s="299"/>
      <c r="FC25" s="299"/>
      <c r="FD25" s="299"/>
      <c r="FE25" s="299"/>
      <c r="FF25" s="299"/>
      <c r="FG25" s="299"/>
      <c r="FH25" s="299"/>
      <c r="FI25" s="299"/>
      <c r="FJ25" s="299"/>
      <c r="FK25" s="299"/>
      <c r="FL25" s="299"/>
      <c r="FM25" s="299"/>
      <c r="FN25" s="299"/>
      <c r="FO25" s="299"/>
      <c r="FP25" s="299"/>
      <c r="FQ25" s="300" t="e">
        <f t="shared" ca="1" si="18"/>
        <v>#VALUE!</v>
      </c>
      <c r="FR25" s="300" t="e">
        <f t="shared" ca="1" si="29"/>
        <v>#VALUE!</v>
      </c>
      <c r="FS25" s="300" t="e">
        <f t="shared" ca="1" si="29"/>
        <v>#VALUE!</v>
      </c>
      <c r="FT25" s="300" t="e">
        <f t="shared" ca="1" si="29"/>
        <v>#VALUE!</v>
      </c>
      <c r="FU25" s="300" t="e">
        <f t="shared" ca="1" si="29"/>
        <v>#VALUE!</v>
      </c>
      <c r="FV25" s="300" t="e">
        <f t="shared" ca="1" si="29"/>
        <v>#VALUE!</v>
      </c>
      <c r="FW25" s="300" t="e">
        <f t="shared" ca="1" si="29"/>
        <v>#VALUE!</v>
      </c>
      <c r="FX25" s="300" t="e">
        <f t="shared" ca="1" si="29"/>
        <v>#VALUE!</v>
      </c>
      <c r="FY25" s="300" t="e">
        <f t="shared" ca="1" si="29"/>
        <v>#VALUE!</v>
      </c>
      <c r="FZ25" s="300" t="e">
        <f t="shared" ca="1" si="29"/>
        <v>#VALUE!</v>
      </c>
      <c r="GA25" s="301" t="e">
        <f t="shared" ca="1" si="29"/>
        <v>#VALUE!</v>
      </c>
      <c r="GB25" s="301" t="e">
        <f t="shared" ca="1" si="30"/>
        <v>#VALUE!</v>
      </c>
      <c r="GC25" s="301" t="e">
        <f t="shared" ca="1" si="30"/>
        <v>#VALUE!</v>
      </c>
      <c r="GD25" s="301" t="e">
        <f t="shared" ca="1" si="30"/>
        <v>#VALUE!</v>
      </c>
      <c r="GE25" s="301" t="e">
        <f t="shared" ca="1" si="30"/>
        <v>#VALUE!</v>
      </c>
      <c r="GF25" s="301" t="e">
        <f t="shared" ca="1" si="30"/>
        <v>#VALUE!</v>
      </c>
      <c r="GG25" s="301" t="e">
        <f t="shared" ca="1" si="30"/>
        <v>#VALUE!</v>
      </c>
      <c r="GH25" s="301" t="e">
        <f t="shared" ca="1" si="30"/>
        <v>#VALUE!</v>
      </c>
      <c r="GI25" s="301" t="e">
        <f t="shared" ca="1" si="30"/>
        <v>#VALUE!</v>
      </c>
      <c r="GJ25" s="301" t="e">
        <f t="shared" ca="1" si="30"/>
        <v>#VALUE!</v>
      </c>
      <c r="GK25" s="301" t="e">
        <f t="shared" ca="1" si="30"/>
        <v>#VALUE!</v>
      </c>
      <c r="GL25" s="301" t="e">
        <f t="shared" ca="1" si="30"/>
        <v>#VALUE!</v>
      </c>
      <c r="GM25" s="301" t="e">
        <f t="shared" ca="1" si="30"/>
        <v>#VALUE!</v>
      </c>
      <c r="GN25" s="302" t="e">
        <f t="shared" ca="1" si="30"/>
        <v>#VALUE!</v>
      </c>
      <c r="GO25" s="302" t="e">
        <f t="shared" ca="1" si="30"/>
        <v>#VALUE!</v>
      </c>
      <c r="GP25" s="301">
        <f t="shared" si="28"/>
        <v>90</v>
      </c>
      <c r="GQ25" s="301">
        <f t="shared" si="28"/>
        <v>180</v>
      </c>
      <c r="GR25" s="301">
        <f t="shared" si="28"/>
        <v>180</v>
      </c>
      <c r="GS25" s="301">
        <f t="shared" si="28"/>
        <v>180</v>
      </c>
      <c r="GT25" s="301">
        <f t="shared" si="28"/>
        <v>180</v>
      </c>
      <c r="GU25" s="303">
        <f t="shared" si="28"/>
        <v>180</v>
      </c>
      <c r="GV25" s="302">
        <f t="shared" si="28"/>
        <v>180</v>
      </c>
      <c r="GW25" s="302">
        <f t="shared" si="28"/>
        <v>135</v>
      </c>
      <c r="GX25" s="302">
        <f t="shared" si="28"/>
        <v>0</v>
      </c>
      <c r="GY25" s="302">
        <f t="shared" si="28"/>
        <v>0</v>
      </c>
      <c r="GZ25" s="302">
        <f t="shared" si="28"/>
        <v>0</v>
      </c>
      <c r="HA25" s="302">
        <f t="shared" si="28"/>
        <v>0</v>
      </c>
      <c r="HB25" s="302">
        <f t="shared" si="28"/>
        <v>0</v>
      </c>
      <c r="HC25" s="302">
        <f t="shared" si="28"/>
        <v>0</v>
      </c>
      <c r="HD25" s="302">
        <f t="shared" si="28"/>
        <v>0</v>
      </c>
      <c r="HE25" s="302">
        <f t="shared" si="28"/>
        <v>0</v>
      </c>
      <c r="HF25" s="304"/>
      <c r="HG25" s="305"/>
    </row>
    <row r="26" spans="1:215" s="306" customFormat="1" ht="15.75" customHeight="1">
      <c r="A26" s="307"/>
      <c r="B26" s="292" t="s">
        <v>85</v>
      </c>
      <c r="C26" s="292" t="s">
        <v>198</v>
      </c>
      <c r="D26" s="292" t="s">
        <v>198</v>
      </c>
      <c r="E26" s="292" t="s">
        <v>379</v>
      </c>
      <c r="F26" s="292" t="s">
        <v>184</v>
      </c>
      <c r="G26" s="292" t="s">
        <v>350</v>
      </c>
      <c r="H26" s="292" t="s">
        <v>351</v>
      </c>
      <c r="I26" s="292" t="s">
        <v>352</v>
      </c>
      <c r="J26" s="292" t="s">
        <v>184</v>
      </c>
      <c r="K26" s="292" t="s">
        <v>353</v>
      </c>
      <c r="L26" s="292" t="s">
        <v>359</v>
      </c>
      <c r="M26" s="292" t="s">
        <v>374</v>
      </c>
      <c r="N26" s="292" t="str">
        <f t="shared" si="20"/>
        <v>RTR-RTR</v>
      </c>
      <c r="O26" s="292" t="str">
        <f t="shared" si="21"/>
        <v>Technology-Senior Consultant-India-Consulting</v>
      </c>
      <c r="P26" s="292" t="str">
        <f t="shared" si="22"/>
        <v>RTR - Technology</v>
      </c>
      <c r="Q26" s="293">
        <f t="shared" si="3"/>
        <v>207675</v>
      </c>
      <c r="R26" s="294">
        <f t="shared" si="4"/>
        <v>0</v>
      </c>
      <c r="S26" s="295">
        <f t="shared" si="23"/>
        <v>630</v>
      </c>
      <c r="T26" s="295">
        <f t="shared" si="6"/>
        <v>2925</v>
      </c>
      <c r="U26" s="296" t="str">
        <f t="shared" si="24"/>
        <v>Technology - Senior Consultant</v>
      </c>
      <c r="V26" s="295" t="str">
        <f t="shared" si="25"/>
        <v>3-5 years</v>
      </c>
      <c r="W26" s="292" t="str">
        <f t="shared" si="26"/>
        <v>Offshore</v>
      </c>
      <c r="X26" s="292" t="s">
        <v>261</v>
      </c>
      <c r="Y26" s="292" t="s">
        <v>259</v>
      </c>
      <c r="Z26" s="292" t="s">
        <v>364</v>
      </c>
      <c r="AA26" s="297">
        <f>[1]Resourcing!QD30</f>
        <v>85.409333333333294</v>
      </c>
      <c r="AB26" s="298">
        <f t="shared" si="27"/>
        <v>71</v>
      </c>
      <c r="AC26" s="299"/>
      <c r="AD26" s="299"/>
      <c r="AE26" s="299"/>
      <c r="AF26" s="299"/>
      <c r="AG26" s="299"/>
      <c r="AH26" s="299"/>
      <c r="AI26" s="299"/>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v>45</v>
      </c>
      <c r="BP26" s="299">
        <v>45</v>
      </c>
      <c r="BQ26" s="299">
        <v>45</v>
      </c>
      <c r="BR26" s="299"/>
      <c r="BS26" s="299"/>
      <c r="BT26" s="299">
        <v>45</v>
      </c>
      <c r="BU26" s="299">
        <v>45</v>
      </c>
      <c r="BV26" s="299">
        <v>45</v>
      </c>
      <c r="BW26" s="299">
        <v>45</v>
      </c>
      <c r="BX26" s="299">
        <v>45</v>
      </c>
      <c r="BY26" s="299">
        <v>45</v>
      </c>
      <c r="BZ26" s="299">
        <v>45</v>
      </c>
      <c r="CA26" s="299">
        <v>45</v>
      </c>
      <c r="CB26" s="299">
        <v>45</v>
      </c>
      <c r="CC26" s="299">
        <v>45</v>
      </c>
      <c r="CD26" s="299">
        <v>45</v>
      </c>
      <c r="CE26" s="299">
        <v>45</v>
      </c>
      <c r="CF26" s="299">
        <v>45</v>
      </c>
      <c r="CG26" s="299">
        <v>45</v>
      </c>
      <c r="CH26" s="299">
        <v>45</v>
      </c>
      <c r="CI26" s="299">
        <v>45</v>
      </c>
      <c r="CJ26" s="299">
        <v>45</v>
      </c>
      <c r="CK26" s="299">
        <v>45</v>
      </c>
      <c r="CL26" s="299">
        <v>45</v>
      </c>
      <c r="CM26" s="299">
        <v>45</v>
      </c>
      <c r="CN26" s="299">
        <v>45</v>
      </c>
      <c r="CO26" s="299">
        <v>45</v>
      </c>
      <c r="CP26" s="299">
        <v>45</v>
      </c>
      <c r="CQ26" s="299">
        <v>45</v>
      </c>
      <c r="CR26" s="299">
        <v>45</v>
      </c>
      <c r="CS26" s="299">
        <v>45</v>
      </c>
      <c r="CT26" s="299">
        <v>45</v>
      </c>
      <c r="CU26" s="299">
        <v>45</v>
      </c>
      <c r="CV26" s="299">
        <v>45</v>
      </c>
      <c r="CW26" s="299">
        <v>45</v>
      </c>
      <c r="CX26" s="299">
        <v>45</v>
      </c>
      <c r="CY26" s="299">
        <v>45</v>
      </c>
      <c r="CZ26" s="299">
        <v>45</v>
      </c>
      <c r="DA26" s="299">
        <v>45</v>
      </c>
      <c r="DB26" s="299">
        <v>45</v>
      </c>
      <c r="DC26" s="299">
        <v>45</v>
      </c>
      <c r="DD26" s="299">
        <v>45</v>
      </c>
      <c r="DE26" s="299">
        <v>45</v>
      </c>
      <c r="DF26" s="299">
        <v>45</v>
      </c>
      <c r="DG26" s="299">
        <v>45</v>
      </c>
      <c r="DH26" s="299">
        <v>45</v>
      </c>
      <c r="DI26" s="299">
        <v>45</v>
      </c>
      <c r="DJ26" s="299">
        <v>45</v>
      </c>
      <c r="DK26" s="299">
        <v>45</v>
      </c>
      <c r="DL26" s="299">
        <v>45</v>
      </c>
      <c r="DM26" s="299">
        <v>45</v>
      </c>
      <c r="DN26" s="299">
        <v>45</v>
      </c>
      <c r="DO26" s="299">
        <v>45</v>
      </c>
      <c r="DP26" s="299">
        <v>45</v>
      </c>
      <c r="DQ26" s="299">
        <v>45</v>
      </c>
      <c r="DR26" s="299"/>
      <c r="DS26" s="299"/>
      <c r="DT26" s="299">
        <v>45</v>
      </c>
      <c r="DU26" s="299">
        <v>45</v>
      </c>
      <c r="DV26" s="299">
        <v>45</v>
      </c>
      <c r="DW26" s="299">
        <v>45</v>
      </c>
      <c r="DX26" s="299">
        <v>45</v>
      </c>
      <c r="DY26" s="299">
        <v>45</v>
      </c>
      <c r="DZ26" s="299">
        <v>45</v>
      </c>
      <c r="EA26" s="299">
        <v>45</v>
      </c>
      <c r="EB26" s="299">
        <v>45</v>
      </c>
      <c r="EC26" s="299">
        <v>45</v>
      </c>
      <c r="ED26" s="299">
        <v>45</v>
      </c>
      <c r="EE26" s="299">
        <v>45</v>
      </c>
      <c r="EF26" s="299"/>
      <c r="EG26" s="299"/>
      <c r="EH26" s="299"/>
      <c r="EI26" s="299"/>
      <c r="EJ26" s="299"/>
      <c r="EK26" s="299"/>
      <c r="EL26" s="299"/>
      <c r="EM26" s="299"/>
      <c r="EN26" s="299"/>
      <c r="EO26" s="299"/>
      <c r="EP26" s="299"/>
      <c r="EQ26" s="299"/>
      <c r="ER26" s="299"/>
      <c r="ES26" s="299"/>
      <c r="ET26" s="299"/>
      <c r="EU26" s="299"/>
      <c r="EV26" s="299"/>
      <c r="EW26" s="299"/>
      <c r="EX26" s="299"/>
      <c r="EY26" s="299"/>
      <c r="EZ26" s="299"/>
      <c r="FA26" s="299"/>
      <c r="FB26" s="299"/>
      <c r="FC26" s="299"/>
      <c r="FD26" s="299"/>
      <c r="FE26" s="299"/>
      <c r="FF26" s="299"/>
      <c r="FG26" s="299"/>
      <c r="FH26" s="299"/>
      <c r="FI26" s="299"/>
      <c r="FJ26" s="299"/>
      <c r="FK26" s="299"/>
      <c r="FL26" s="299"/>
      <c r="FM26" s="299"/>
      <c r="FN26" s="299"/>
      <c r="FO26" s="299"/>
      <c r="FP26" s="299"/>
      <c r="FQ26" s="300" t="e">
        <f t="shared" ca="1" si="18"/>
        <v>#VALUE!</v>
      </c>
      <c r="FR26" s="300" t="e">
        <f t="shared" ca="1" si="29"/>
        <v>#VALUE!</v>
      </c>
      <c r="FS26" s="300" t="e">
        <f t="shared" ca="1" si="29"/>
        <v>#VALUE!</v>
      </c>
      <c r="FT26" s="300" t="e">
        <f t="shared" ca="1" si="29"/>
        <v>#VALUE!</v>
      </c>
      <c r="FU26" s="300" t="e">
        <f t="shared" ca="1" si="29"/>
        <v>#VALUE!</v>
      </c>
      <c r="FV26" s="300" t="e">
        <f t="shared" ca="1" si="29"/>
        <v>#VALUE!</v>
      </c>
      <c r="FW26" s="300" t="e">
        <f t="shared" ca="1" si="29"/>
        <v>#VALUE!</v>
      </c>
      <c r="FX26" s="300" t="e">
        <f t="shared" ca="1" si="29"/>
        <v>#VALUE!</v>
      </c>
      <c r="FY26" s="300" t="e">
        <f t="shared" ca="1" si="29"/>
        <v>#VALUE!</v>
      </c>
      <c r="FZ26" s="300" t="e">
        <f t="shared" ca="1" si="29"/>
        <v>#VALUE!</v>
      </c>
      <c r="GA26" s="301" t="e">
        <f t="shared" ca="1" si="29"/>
        <v>#VALUE!</v>
      </c>
      <c r="GB26" s="301" t="e">
        <f t="shared" ca="1" si="30"/>
        <v>#VALUE!</v>
      </c>
      <c r="GC26" s="301" t="e">
        <f t="shared" ca="1" si="30"/>
        <v>#VALUE!</v>
      </c>
      <c r="GD26" s="301" t="e">
        <f t="shared" ca="1" si="30"/>
        <v>#VALUE!</v>
      </c>
      <c r="GE26" s="301" t="e">
        <f t="shared" ca="1" si="30"/>
        <v>#VALUE!</v>
      </c>
      <c r="GF26" s="301" t="e">
        <f t="shared" ca="1" si="30"/>
        <v>#VALUE!</v>
      </c>
      <c r="GG26" s="301" t="e">
        <f t="shared" ca="1" si="30"/>
        <v>#VALUE!</v>
      </c>
      <c r="GH26" s="301" t="e">
        <f t="shared" ca="1" si="30"/>
        <v>#VALUE!</v>
      </c>
      <c r="GI26" s="301" t="e">
        <f t="shared" ca="1" si="30"/>
        <v>#VALUE!</v>
      </c>
      <c r="GJ26" s="301" t="e">
        <f t="shared" ca="1" si="30"/>
        <v>#VALUE!</v>
      </c>
      <c r="GK26" s="301" t="e">
        <f t="shared" ca="1" si="30"/>
        <v>#VALUE!</v>
      </c>
      <c r="GL26" s="301" t="e">
        <f t="shared" ca="1" si="30"/>
        <v>#VALUE!</v>
      </c>
      <c r="GM26" s="301" t="e">
        <f t="shared" ca="1" si="30"/>
        <v>#VALUE!</v>
      </c>
      <c r="GN26" s="302" t="e">
        <f t="shared" ca="1" si="30"/>
        <v>#VALUE!</v>
      </c>
      <c r="GO26" s="302" t="e">
        <f t="shared" ca="1" si="30"/>
        <v>#VALUE!</v>
      </c>
      <c r="GP26" s="301">
        <f t="shared" si="28"/>
        <v>90</v>
      </c>
      <c r="GQ26" s="301">
        <f t="shared" si="28"/>
        <v>180</v>
      </c>
      <c r="GR26" s="301">
        <f t="shared" si="28"/>
        <v>180</v>
      </c>
      <c r="GS26" s="301">
        <f t="shared" si="28"/>
        <v>180</v>
      </c>
      <c r="GT26" s="301">
        <f t="shared" si="28"/>
        <v>0</v>
      </c>
      <c r="GU26" s="303">
        <f t="shared" si="28"/>
        <v>0</v>
      </c>
      <c r="GV26" s="302">
        <f t="shared" si="28"/>
        <v>0</v>
      </c>
      <c r="GW26" s="302">
        <f t="shared" si="28"/>
        <v>0</v>
      </c>
      <c r="GX26" s="302">
        <f t="shared" si="28"/>
        <v>0</v>
      </c>
      <c r="GY26" s="302">
        <f t="shared" si="28"/>
        <v>0</v>
      </c>
      <c r="GZ26" s="302">
        <f t="shared" si="28"/>
        <v>0</v>
      </c>
      <c r="HA26" s="302">
        <f t="shared" si="28"/>
        <v>0</v>
      </c>
      <c r="HB26" s="302">
        <f t="shared" si="28"/>
        <v>0</v>
      </c>
      <c r="HC26" s="302">
        <f t="shared" si="28"/>
        <v>0</v>
      </c>
      <c r="HD26" s="302">
        <f t="shared" si="28"/>
        <v>0</v>
      </c>
      <c r="HE26" s="302">
        <f t="shared" si="28"/>
        <v>0</v>
      </c>
      <c r="HF26" s="304"/>
      <c r="HG26" s="305"/>
    </row>
    <row r="27" spans="1:215" s="306" customFormat="1" ht="15.75" customHeight="1">
      <c r="A27" s="307"/>
      <c r="B27" s="292" t="s">
        <v>85</v>
      </c>
      <c r="C27" s="292" t="s">
        <v>198</v>
      </c>
      <c r="D27" s="292" t="s">
        <v>198</v>
      </c>
      <c r="E27" s="292" t="s">
        <v>380</v>
      </c>
      <c r="F27" s="292" t="s">
        <v>184</v>
      </c>
      <c r="G27" s="292" t="s">
        <v>350</v>
      </c>
      <c r="H27" s="292" t="s">
        <v>351</v>
      </c>
      <c r="I27" s="292" t="s">
        <v>352</v>
      </c>
      <c r="J27" s="292" t="s">
        <v>184</v>
      </c>
      <c r="K27" s="292" t="s">
        <v>353</v>
      </c>
      <c r="L27" s="292" t="s">
        <v>359</v>
      </c>
      <c r="M27" s="292" t="s">
        <v>374</v>
      </c>
      <c r="N27" s="292" t="str">
        <f t="shared" si="20"/>
        <v>RTR-RTR</v>
      </c>
      <c r="O27" s="292" t="str">
        <f t="shared" si="21"/>
        <v>Technology-Senior Consultant-India-Consulting</v>
      </c>
      <c r="P27" s="292" t="str">
        <f t="shared" si="22"/>
        <v>RTR - Technology</v>
      </c>
      <c r="Q27" s="293">
        <f t="shared" si="3"/>
        <v>249210</v>
      </c>
      <c r="R27" s="294">
        <f t="shared" si="4"/>
        <v>0</v>
      </c>
      <c r="S27" s="295">
        <f t="shared" si="23"/>
        <v>1215</v>
      </c>
      <c r="T27" s="295">
        <f t="shared" si="6"/>
        <v>3510</v>
      </c>
      <c r="U27" s="296" t="str">
        <f t="shared" si="24"/>
        <v>Technology - Senior Consultant</v>
      </c>
      <c r="V27" s="295" t="str">
        <f t="shared" si="25"/>
        <v>3-5 years</v>
      </c>
      <c r="W27" s="292" t="str">
        <f t="shared" si="26"/>
        <v>Offshore</v>
      </c>
      <c r="X27" s="292" t="s">
        <v>261</v>
      </c>
      <c r="Y27" s="292" t="s">
        <v>259</v>
      </c>
      <c r="Z27" s="292" t="s">
        <v>364</v>
      </c>
      <c r="AA27" s="297">
        <f>[1]Resourcing!QD31</f>
        <v>62.688205128205098</v>
      </c>
      <c r="AB27" s="298">
        <f t="shared" si="27"/>
        <v>71</v>
      </c>
      <c r="AC27" s="299"/>
      <c r="AD27" s="299"/>
      <c r="AE27" s="299"/>
      <c r="AF27" s="299"/>
      <c r="AG27" s="299"/>
      <c r="AH27" s="299"/>
      <c r="AI27" s="299"/>
      <c r="AJ27" s="299"/>
      <c r="AK27" s="299"/>
      <c r="AL27" s="299"/>
      <c r="AM27" s="299"/>
      <c r="AN27" s="299"/>
      <c r="AO27" s="299"/>
      <c r="AP27" s="299"/>
      <c r="AQ27" s="299"/>
      <c r="AR27" s="299"/>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v>45</v>
      </c>
      <c r="BP27" s="299">
        <v>45</v>
      </c>
      <c r="BQ27" s="299">
        <v>45</v>
      </c>
      <c r="BR27" s="299"/>
      <c r="BS27" s="299"/>
      <c r="BT27" s="299">
        <v>45</v>
      </c>
      <c r="BU27" s="299">
        <v>45</v>
      </c>
      <c r="BV27" s="299">
        <v>45</v>
      </c>
      <c r="BW27" s="299">
        <v>45</v>
      </c>
      <c r="BX27" s="299">
        <v>45</v>
      </c>
      <c r="BY27" s="299">
        <v>45</v>
      </c>
      <c r="BZ27" s="299">
        <v>45</v>
      </c>
      <c r="CA27" s="299">
        <v>45</v>
      </c>
      <c r="CB27" s="299">
        <v>45</v>
      </c>
      <c r="CC27" s="299">
        <v>45</v>
      </c>
      <c r="CD27" s="299">
        <v>45</v>
      </c>
      <c r="CE27" s="299">
        <v>45</v>
      </c>
      <c r="CF27" s="299">
        <v>45</v>
      </c>
      <c r="CG27" s="299">
        <v>45</v>
      </c>
      <c r="CH27" s="299">
        <v>45</v>
      </c>
      <c r="CI27" s="299">
        <v>45</v>
      </c>
      <c r="CJ27" s="299">
        <v>45</v>
      </c>
      <c r="CK27" s="299">
        <v>45</v>
      </c>
      <c r="CL27" s="299">
        <v>45</v>
      </c>
      <c r="CM27" s="299">
        <v>45</v>
      </c>
      <c r="CN27" s="299">
        <v>45</v>
      </c>
      <c r="CO27" s="299">
        <v>45</v>
      </c>
      <c r="CP27" s="299">
        <v>45</v>
      </c>
      <c r="CQ27" s="299">
        <v>45</v>
      </c>
      <c r="CR27" s="299">
        <v>45</v>
      </c>
      <c r="CS27" s="299">
        <v>45</v>
      </c>
      <c r="CT27" s="299">
        <v>45</v>
      </c>
      <c r="CU27" s="299">
        <v>45</v>
      </c>
      <c r="CV27" s="299">
        <v>45</v>
      </c>
      <c r="CW27" s="299">
        <v>45</v>
      </c>
      <c r="CX27" s="299">
        <v>45</v>
      </c>
      <c r="CY27" s="299">
        <v>45</v>
      </c>
      <c r="CZ27" s="299">
        <v>45</v>
      </c>
      <c r="DA27" s="299">
        <v>45</v>
      </c>
      <c r="DB27" s="299">
        <v>45</v>
      </c>
      <c r="DC27" s="299">
        <v>45</v>
      </c>
      <c r="DD27" s="299">
        <v>45</v>
      </c>
      <c r="DE27" s="299">
        <v>45</v>
      </c>
      <c r="DF27" s="299">
        <v>45</v>
      </c>
      <c r="DG27" s="299">
        <v>45</v>
      </c>
      <c r="DH27" s="299">
        <v>45</v>
      </c>
      <c r="DI27" s="299">
        <v>45</v>
      </c>
      <c r="DJ27" s="299">
        <v>45</v>
      </c>
      <c r="DK27" s="299">
        <v>45</v>
      </c>
      <c r="DL27" s="299">
        <v>45</v>
      </c>
      <c r="DM27" s="299">
        <v>45</v>
      </c>
      <c r="DN27" s="299">
        <v>45</v>
      </c>
      <c r="DO27" s="299">
        <v>45</v>
      </c>
      <c r="DP27" s="299">
        <v>45</v>
      </c>
      <c r="DQ27" s="299">
        <v>45</v>
      </c>
      <c r="DR27" s="299"/>
      <c r="DS27" s="299"/>
      <c r="DT27" s="299">
        <v>45</v>
      </c>
      <c r="DU27" s="299">
        <v>45</v>
      </c>
      <c r="DV27" s="299">
        <v>45</v>
      </c>
      <c r="DW27" s="299">
        <v>45</v>
      </c>
      <c r="DX27" s="299">
        <v>45</v>
      </c>
      <c r="DY27" s="299">
        <v>45</v>
      </c>
      <c r="DZ27" s="299">
        <v>45</v>
      </c>
      <c r="EA27" s="299">
        <v>45</v>
      </c>
      <c r="EB27" s="299">
        <v>45</v>
      </c>
      <c r="EC27" s="299">
        <v>45</v>
      </c>
      <c r="ED27" s="299">
        <v>45</v>
      </c>
      <c r="EE27" s="299">
        <v>45</v>
      </c>
      <c r="EF27" s="299">
        <v>45</v>
      </c>
      <c r="EG27" s="299">
        <v>45</v>
      </c>
      <c r="EH27" s="299">
        <v>45</v>
      </c>
      <c r="EI27" s="299">
        <v>45</v>
      </c>
      <c r="EJ27" s="299">
        <v>45</v>
      </c>
      <c r="EK27" s="299">
        <v>45</v>
      </c>
      <c r="EL27" s="299">
        <v>45</v>
      </c>
      <c r="EM27" s="299">
        <v>45</v>
      </c>
      <c r="EN27" s="299">
        <v>45</v>
      </c>
      <c r="EO27" s="299">
        <v>45</v>
      </c>
      <c r="EP27" s="299">
        <v>45</v>
      </c>
      <c r="EQ27" s="299">
        <v>45</v>
      </c>
      <c r="ER27" s="299">
        <v>45</v>
      </c>
      <c r="ES27" s="299"/>
      <c r="ET27" s="299"/>
      <c r="EU27" s="299"/>
      <c r="EV27" s="299"/>
      <c r="EW27" s="299"/>
      <c r="EX27" s="299"/>
      <c r="EY27" s="299"/>
      <c r="EZ27" s="299"/>
      <c r="FA27" s="299"/>
      <c r="FB27" s="299"/>
      <c r="FC27" s="299"/>
      <c r="FD27" s="299"/>
      <c r="FE27" s="299"/>
      <c r="FF27" s="299"/>
      <c r="FG27" s="299"/>
      <c r="FH27" s="299"/>
      <c r="FI27" s="299"/>
      <c r="FJ27" s="299"/>
      <c r="FK27" s="299"/>
      <c r="FL27" s="299"/>
      <c r="FM27" s="299"/>
      <c r="FN27" s="299"/>
      <c r="FO27" s="299"/>
      <c r="FP27" s="299"/>
      <c r="FQ27" s="300" t="e">
        <f t="shared" ca="1" si="18"/>
        <v>#VALUE!</v>
      </c>
      <c r="FR27" s="300" t="e">
        <f t="shared" ca="1" si="29"/>
        <v>#VALUE!</v>
      </c>
      <c r="FS27" s="300" t="e">
        <f t="shared" ca="1" si="29"/>
        <v>#VALUE!</v>
      </c>
      <c r="FT27" s="300" t="e">
        <f t="shared" ca="1" si="29"/>
        <v>#VALUE!</v>
      </c>
      <c r="FU27" s="300" t="e">
        <f t="shared" ca="1" si="29"/>
        <v>#VALUE!</v>
      </c>
      <c r="FV27" s="300" t="e">
        <f t="shared" ca="1" si="29"/>
        <v>#VALUE!</v>
      </c>
      <c r="FW27" s="300" t="e">
        <f t="shared" ca="1" si="29"/>
        <v>#VALUE!</v>
      </c>
      <c r="FX27" s="300" t="e">
        <f t="shared" ca="1" si="29"/>
        <v>#VALUE!</v>
      </c>
      <c r="FY27" s="300" t="e">
        <f t="shared" ca="1" si="29"/>
        <v>#VALUE!</v>
      </c>
      <c r="FZ27" s="300" t="e">
        <f t="shared" ca="1" si="29"/>
        <v>#VALUE!</v>
      </c>
      <c r="GA27" s="301" t="e">
        <f t="shared" ca="1" si="29"/>
        <v>#VALUE!</v>
      </c>
      <c r="GB27" s="301" t="e">
        <f t="shared" ca="1" si="30"/>
        <v>#VALUE!</v>
      </c>
      <c r="GC27" s="301" t="e">
        <f t="shared" ca="1" si="30"/>
        <v>#VALUE!</v>
      </c>
      <c r="GD27" s="301" t="e">
        <f t="shared" ca="1" si="30"/>
        <v>#VALUE!</v>
      </c>
      <c r="GE27" s="301" t="e">
        <f t="shared" ca="1" si="30"/>
        <v>#VALUE!</v>
      </c>
      <c r="GF27" s="301" t="e">
        <f t="shared" ca="1" si="30"/>
        <v>#VALUE!</v>
      </c>
      <c r="GG27" s="301" t="e">
        <f t="shared" ca="1" si="30"/>
        <v>#VALUE!</v>
      </c>
      <c r="GH27" s="301" t="e">
        <f t="shared" ca="1" si="30"/>
        <v>#VALUE!</v>
      </c>
      <c r="GI27" s="301" t="e">
        <f t="shared" ca="1" si="30"/>
        <v>#VALUE!</v>
      </c>
      <c r="GJ27" s="301" t="e">
        <f t="shared" ca="1" si="30"/>
        <v>#VALUE!</v>
      </c>
      <c r="GK27" s="301" t="e">
        <f t="shared" ca="1" si="30"/>
        <v>#VALUE!</v>
      </c>
      <c r="GL27" s="301" t="e">
        <f t="shared" ca="1" si="30"/>
        <v>#VALUE!</v>
      </c>
      <c r="GM27" s="301" t="e">
        <f t="shared" ca="1" si="30"/>
        <v>#VALUE!</v>
      </c>
      <c r="GN27" s="302" t="e">
        <f t="shared" ca="1" si="30"/>
        <v>#VALUE!</v>
      </c>
      <c r="GO27" s="302" t="e">
        <f t="shared" ca="1" si="30"/>
        <v>#VALUE!</v>
      </c>
      <c r="GP27" s="301">
        <f t="shared" si="28"/>
        <v>90</v>
      </c>
      <c r="GQ27" s="301">
        <f t="shared" si="28"/>
        <v>180</v>
      </c>
      <c r="GR27" s="301">
        <f t="shared" si="28"/>
        <v>180</v>
      </c>
      <c r="GS27" s="301">
        <f t="shared" si="28"/>
        <v>180</v>
      </c>
      <c r="GT27" s="301">
        <f t="shared" si="28"/>
        <v>180</v>
      </c>
      <c r="GU27" s="303">
        <f t="shared" si="28"/>
        <v>180</v>
      </c>
      <c r="GV27" s="302">
        <f t="shared" si="28"/>
        <v>180</v>
      </c>
      <c r="GW27" s="302">
        <f t="shared" si="28"/>
        <v>45</v>
      </c>
      <c r="GX27" s="302">
        <f t="shared" si="28"/>
        <v>0</v>
      </c>
      <c r="GY27" s="302">
        <f t="shared" si="28"/>
        <v>0</v>
      </c>
      <c r="GZ27" s="302">
        <f t="shared" si="28"/>
        <v>0</v>
      </c>
      <c r="HA27" s="302">
        <f t="shared" si="28"/>
        <v>0</v>
      </c>
      <c r="HB27" s="302">
        <f t="shared" si="28"/>
        <v>0</v>
      </c>
      <c r="HC27" s="302">
        <f t="shared" si="28"/>
        <v>0</v>
      </c>
      <c r="HD27" s="302">
        <f t="shared" si="28"/>
        <v>0</v>
      </c>
      <c r="HE27" s="302">
        <f t="shared" si="28"/>
        <v>0</v>
      </c>
      <c r="HF27" s="304"/>
      <c r="HG27" s="305"/>
    </row>
    <row r="28" spans="1:215" s="306" customFormat="1" ht="15.75" customHeight="1">
      <c r="A28" s="307"/>
      <c r="B28" s="292" t="s">
        <v>85</v>
      </c>
      <c r="C28" s="292" t="s">
        <v>198</v>
      </c>
      <c r="D28" s="292" t="s">
        <v>198</v>
      </c>
      <c r="E28" s="292" t="s">
        <v>381</v>
      </c>
      <c r="F28" s="292" t="s">
        <v>184</v>
      </c>
      <c r="G28" s="292" t="s">
        <v>350</v>
      </c>
      <c r="H28" s="292" t="s">
        <v>351</v>
      </c>
      <c r="I28" s="292" t="s">
        <v>352</v>
      </c>
      <c r="J28" s="292" t="s">
        <v>184</v>
      </c>
      <c r="K28" s="292" t="s">
        <v>353</v>
      </c>
      <c r="L28" s="292" t="s">
        <v>359</v>
      </c>
      <c r="M28" s="292" t="s">
        <v>367</v>
      </c>
      <c r="N28" s="292" t="str">
        <f t="shared" si="20"/>
        <v>RTR-RTR</v>
      </c>
      <c r="O28" s="292" t="str">
        <f t="shared" si="21"/>
        <v>Technology-Consultant-India-Consulting</v>
      </c>
      <c r="P28" s="292" t="str">
        <f t="shared" si="22"/>
        <v>RTR - Technology</v>
      </c>
      <c r="Q28" s="293">
        <f t="shared" si="3"/>
        <v>243000</v>
      </c>
      <c r="R28" s="294">
        <f t="shared" si="4"/>
        <v>27000</v>
      </c>
      <c r="S28" s="295">
        <f t="shared" si="23"/>
        <v>1305</v>
      </c>
      <c r="T28" s="295">
        <f t="shared" si="6"/>
        <v>4050</v>
      </c>
      <c r="U28" s="296" t="str">
        <f t="shared" si="24"/>
        <v>Technology - Consultant</v>
      </c>
      <c r="V28" s="295" t="str">
        <f t="shared" si="25"/>
        <v>1-3 years</v>
      </c>
      <c r="W28" s="292" t="str">
        <f t="shared" si="26"/>
        <v>Offshore</v>
      </c>
      <c r="X28" s="292" t="s">
        <v>261</v>
      </c>
      <c r="Y28" s="292" t="s">
        <v>259</v>
      </c>
      <c r="Z28" s="292" t="s">
        <v>368</v>
      </c>
      <c r="AA28" s="297">
        <f>[1]Resourcing!QD32</f>
        <v>62.672857142857097</v>
      </c>
      <c r="AB28" s="298">
        <f t="shared" si="27"/>
        <v>60</v>
      </c>
      <c r="AC28" s="299"/>
      <c r="AD28" s="299"/>
      <c r="AE28" s="299"/>
      <c r="AF28" s="299"/>
      <c r="AG28" s="299"/>
      <c r="AH28" s="299"/>
      <c r="AI28" s="299"/>
      <c r="AJ28" s="299"/>
      <c r="AK28" s="299"/>
      <c r="AL28" s="299"/>
      <c r="AM28" s="299"/>
      <c r="AN28" s="299"/>
      <c r="AO28" s="299"/>
      <c r="AP28" s="299"/>
      <c r="AQ28" s="299"/>
      <c r="AR28" s="299"/>
      <c r="AS28" s="299"/>
      <c r="AT28" s="299"/>
      <c r="AU28" s="299"/>
      <c r="AV28" s="299"/>
      <c r="AW28" s="299"/>
      <c r="AX28" s="299"/>
      <c r="AY28" s="299"/>
      <c r="AZ28" s="299"/>
      <c r="BA28" s="299"/>
      <c r="BB28" s="299"/>
      <c r="BC28" s="299"/>
      <c r="BD28" s="299"/>
      <c r="BE28" s="299">
        <v>45</v>
      </c>
      <c r="BF28" s="299">
        <v>45</v>
      </c>
      <c r="BG28" s="299">
        <v>45</v>
      </c>
      <c r="BH28" s="299">
        <v>45</v>
      </c>
      <c r="BI28" s="299">
        <v>45</v>
      </c>
      <c r="BJ28" s="299">
        <v>45</v>
      </c>
      <c r="BK28" s="299">
        <v>45</v>
      </c>
      <c r="BL28" s="299">
        <v>45</v>
      </c>
      <c r="BM28" s="299">
        <v>45</v>
      </c>
      <c r="BN28" s="299">
        <v>45</v>
      </c>
      <c r="BO28" s="299">
        <v>45</v>
      </c>
      <c r="BP28" s="299">
        <v>45</v>
      </c>
      <c r="BQ28" s="299">
        <v>45</v>
      </c>
      <c r="BR28" s="299"/>
      <c r="BS28" s="299"/>
      <c r="BT28" s="299">
        <v>45</v>
      </c>
      <c r="BU28" s="299">
        <v>45</v>
      </c>
      <c r="BV28" s="299">
        <v>45</v>
      </c>
      <c r="BW28" s="299">
        <v>45</v>
      </c>
      <c r="BX28" s="299">
        <v>45</v>
      </c>
      <c r="BY28" s="299">
        <v>45</v>
      </c>
      <c r="BZ28" s="299">
        <v>45</v>
      </c>
      <c r="CA28" s="299">
        <v>45</v>
      </c>
      <c r="CB28" s="299">
        <v>45</v>
      </c>
      <c r="CC28" s="299">
        <v>45</v>
      </c>
      <c r="CD28" s="299">
        <v>45</v>
      </c>
      <c r="CE28" s="299">
        <v>45</v>
      </c>
      <c r="CF28" s="299">
        <v>45</v>
      </c>
      <c r="CG28" s="299">
        <v>45</v>
      </c>
      <c r="CH28" s="299">
        <v>45</v>
      </c>
      <c r="CI28" s="299">
        <v>45</v>
      </c>
      <c r="CJ28" s="299">
        <v>45</v>
      </c>
      <c r="CK28" s="299">
        <v>45</v>
      </c>
      <c r="CL28" s="299">
        <v>45</v>
      </c>
      <c r="CM28" s="299">
        <v>45</v>
      </c>
      <c r="CN28" s="299">
        <v>45</v>
      </c>
      <c r="CO28" s="299">
        <v>45</v>
      </c>
      <c r="CP28" s="299">
        <v>45</v>
      </c>
      <c r="CQ28" s="299">
        <v>45</v>
      </c>
      <c r="CR28" s="299">
        <v>45</v>
      </c>
      <c r="CS28" s="299">
        <v>45</v>
      </c>
      <c r="CT28" s="299">
        <v>45</v>
      </c>
      <c r="CU28" s="299">
        <v>45</v>
      </c>
      <c r="CV28" s="299">
        <v>45</v>
      </c>
      <c r="CW28" s="299">
        <v>45</v>
      </c>
      <c r="CX28" s="299">
        <v>45</v>
      </c>
      <c r="CY28" s="299">
        <v>45</v>
      </c>
      <c r="CZ28" s="299">
        <v>45</v>
      </c>
      <c r="DA28" s="299">
        <v>45</v>
      </c>
      <c r="DB28" s="299">
        <v>45</v>
      </c>
      <c r="DC28" s="299">
        <v>45</v>
      </c>
      <c r="DD28" s="299">
        <v>45</v>
      </c>
      <c r="DE28" s="299">
        <v>45</v>
      </c>
      <c r="DF28" s="299">
        <v>45</v>
      </c>
      <c r="DG28" s="299">
        <v>45</v>
      </c>
      <c r="DH28" s="299">
        <v>45</v>
      </c>
      <c r="DI28" s="299">
        <v>45</v>
      </c>
      <c r="DJ28" s="299">
        <v>45</v>
      </c>
      <c r="DK28" s="299">
        <v>45</v>
      </c>
      <c r="DL28" s="299">
        <v>45</v>
      </c>
      <c r="DM28" s="299">
        <v>45</v>
      </c>
      <c r="DN28" s="299">
        <v>45</v>
      </c>
      <c r="DO28" s="299">
        <v>45</v>
      </c>
      <c r="DP28" s="299">
        <v>45</v>
      </c>
      <c r="DQ28" s="299">
        <v>45</v>
      </c>
      <c r="DR28" s="299"/>
      <c r="DS28" s="299"/>
      <c r="DT28" s="299">
        <v>45</v>
      </c>
      <c r="DU28" s="299">
        <v>45</v>
      </c>
      <c r="DV28" s="299">
        <v>45</v>
      </c>
      <c r="DW28" s="299">
        <v>45</v>
      </c>
      <c r="DX28" s="299">
        <v>45</v>
      </c>
      <c r="DY28" s="299">
        <v>45</v>
      </c>
      <c r="DZ28" s="299">
        <v>45</v>
      </c>
      <c r="EA28" s="299">
        <v>45</v>
      </c>
      <c r="EB28" s="299">
        <v>45</v>
      </c>
      <c r="EC28" s="299">
        <v>45</v>
      </c>
      <c r="ED28" s="299">
        <v>45</v>
      </c>
      <c r="EE28" s="299">
        <v>45</v>
      </c>
      <c r="EF28" s="299">
        <v>45</v>
      </c>
      <c r="EG28" s="299">
        <v>45</v>
      </c>
      <c r="EH28" s="299">
        <v>45</v>
      </c>
      <c r="EI28" s="299">
        <v>45</v>
      </c>
      <c r="EJ28" s="299">
        <v>45</v>
      </c>
      <c r="EK28" s="299">
        <v>45</v>
      </c>
      <c r="EL28" s="299">
        <v>45</v>
      </c>
      <c r="EM28" s="299">
        <v>45</v>
      </c>
      <c r="EN28" s="299">
        <v>45</v>
      </c>
      <c r="EO28" s="299">
        <v>45</v>
      </c>
      <c r="EP28" s="299">
        <v>45</v>
      </c>
      <c r="EQ28" s="299">
        <v>45</v>
      </c>
      <c r="ER28" s="299">
        <v>45</v>
      </c>
      <c r="ES28" s="299">
        <v>45</v>
      </c>
      <c r="ET28" s="299">
        <v>45</v>
      </c>
      <c r="EU28" s="299"/>
      <c r="EV28" s="299"/>
      <c r="EW28" s="299"/>
      <c r="EX28" s="299"/>
      <c r="EY28" s="299"/>
      <c r="EZ28" s="299"/>
      <c r="FA28" s="299"/>
      <c r="FB28" s="299"/>
      <c r="FC28" s="299"/>
      <c r="FD28" s="299"/>
      <c r="FE28" s="299"/>
      <c r="FF28" s="299"/>
      <c r="FG28" s="299"/>
      <c r="FH28" s="299"/>
      <c r="FI28" s="299"/>
      <c r="FJ28" s="299"/>
      <c r="FK28" s="299"/>
      <c r="FL28" s="299"/>
      <c r="FM28" s="299"/>
      <c r="FN28" s="299"/>
      <c r="FO28" s="299"/>
      <c r="FP28" s="299"/>
      <c r="FQ28" s="300" t="e">
        <f t="shared" ca="1" si="18"/>
        <v>#VALUE!</v>
      </c>
      <c r="FR28" s="300" t="e">
        <f t="shared" ca="1" si="29"/>
        <v>#VALUE!</v>
      </c>
      <c r="FS28" s="300" t="e">
        <f t="shared" ca="1" si="29"/>
        <v>#VALUE!</v>
      </c>
      <c r="FT28" s="300" t="e">
        <f t="shared" ca="1" si="29"/>
        <v>#VALUE!</v>
      </c>
      <c r="FU28" s="300" t="e">
        <f t="shared" ca="1" si="29"/>
        <v>#VALUE!</v>
      </c>
      <c r="FV28" s="300" t="e">
        <f t="shared" ca="1" si="29"/>
        <v>#VALUE!</v>
      </c>
      <c r="FW28" s="300" t="e">
        <f t="shared" ca="1" si="29"/>
        <v>#VALUE!</v>
      </c>
      <c r="FX28" s="300" t="e">
        <f t="shared" ca="1" si="29"/>
        <v>#VALUE!</v>
      </c>
      <c r="FY28" s="300" t="e">
        <f t="shared" ca="1" si="29"/>
        <v>#VALUE!</v>
      </c>
      <c r="FZ28" s="300" t="e">
        <f t="shared" ca="1" si="29"/>
        <v>#VALUE!</v>
      </c>
      <c r="GA28" s="301" t="e">
        <f t="shared" ca="1" si="29"/>
        <v>#VALUE!</v>
      </c>
      <c r="GB28" s="301" t="e">
        <f t="shared" ca="1" si="30"/>
        <v>#VALUE!</v>
      </c>
      <c r="GC28" s="301" t="e">
        <f t="shared" ca="1" si="30"/>
        <v>#VALUE!</v>
      </c>
      <c r="GD28" s="301" t="e">
        <f t="shared" ca="1" si="30"/>
        <v>#VALUE!</v>
      </c>
      <c r="GE28" s="301" t="e">
        <f t="shared" ca="1" si="30"/>
        <v>#VALUE!</v>
      </c>
      <c r="GF28" s="301" t="e">
        <f t="shared" ca="1" si="30"/>
        <v>#VALUE!</v>
      </c>
      <c r="GG28" s="301" t="e">
        <f t="shared" ca="1" si="30"/>
        <v>#VALUE!</v>
      </c>
      <c r="GH28" s="301" t="e">
        <f t="shared" ca="1" si="30"/>
        <v>#VALUE!</v>
      </c>
      <c r="GI28" s="301" t="e">
        <f t="shared" ca="1" si="30"/>
        <v>#VALUE!</v>
      </c>
      <c r="GJ28" s="301" t="e">
        <f t="shared" ca="1" si="30"/>
        <v>#VALUE!</v>
      </c>
      <c r="GK28" s="301" t="e">
        <f t="shared" ca="1" si="30"/>
        <v>#VALUE!</v>
      </c>
      <c r="GL28" s="301" t="e">
        <f t="shared" ca="1" si="30"/>
        <v>#VALUE!</v>
      </c>
      <c r="GM28" s="301" t="e">
        <f t="shared" ca="1" si="30"/>
        <v>#VALUE!</v>
      </c>
      <c r="GN28" s="302" t="e">
        <f t="shared" ca="1" si="30"/>
        <v>#VALUE!</v>
      </c>
      <c r="GO28" s="302" t="e">
        <f t="shared" ca="1" si="30"/>
        <v>#VALUE!</v>
      </c>
      <c r="GP28" s="301">
        <f t="shared" si="28"/>
        <v>90</v>
      </c>
      <c r="GQ28" s="301">
        <f t="shared" si="28"/>
        <v>180</v>
      </c>
      <c r="GR28" s="301">
        <f t="shared" si="28"/>
        <v>180</v>
      </c>
      <c r="GS28" s="301">
        <f t="shared" si="28"/>
        <v>180</v>
      </c>
      <c r="GT28" s="301">
        <f t="shared" si="28"/>
        <v>180</v>
      </c>
      <c r="GU28" s="303">
        <f t="shared" si="28"/>
        <v>180</v>
      </c>
      <c r="GV28" s="302">
        <f t="shared" si="28"/>
        <v>180</v>
      </c>
      <c r="GW28" s="302">
        <f t="shared" si="28"/>
        <v>135</v>
      </c>
      <c r="GX28" s="302">
        <f t="shared" si="28"/>
        <v>0</v>
      </c>
      <c r="GY28" s="302">
        <f t="shared" si="28"/>
        <v>0</v>
      </c>
      <c r="GZ28" s="302">
        <f t="shared" si="28"/>
        <v>0</v>
      </c>
      <c r="HA28" s="302">
        <f t="shared" si="28"/>
        <v>0</v>
      </c>
      <c r="HB28" s="302">
        <f t="shared" si="28"/>
        <v>0</v>
      </c>
      <c r="HC28" s="302">
        <f t="shared" si="28"/>
        <v>0</v>
      </c>
      <c r="HD28" s="302">
        <f t="shared" si="28"/>
        <v>0</v>
      </c>
      <c r="HE28" s="302">
        <f t="shared" si="28"/>
        <v>0</v>
      </c>
      <c r="HF28" s="304"/>
      <c r="HG28" s="305"/>
    </row>
    <row r="29" spans="1:215" s="306" customFormat="1" ht="15.75" customHeight="1">
      <c r="A29" s="307"/>
      <c r="B29" s="292" t="s">
        <v>85</v>
      </c>
      <c r="C29" s="292" t="s">
        <v>198</v>
      </c>
      <c r="D29" s="292" t="s">
        <v>198</v>
      </c>
      <c r="E29" s="292" t="s">
        <v>382</v>
      </c>
      <c r="F29" s="292" t="s">
        <v>184</v>
      </c>
      <c r="G29" s="292" t="s">
        <v>350</v>
      </c>
      <c r="H29" s="292" t="s">
        <v>351</v>
      </c>
      <c r="I29" s="292" t="s">
        <v>352</v>
      </c>
      <c r="J29" s="292" t="s">
        <v>184</v>
      </c>
      <c r="K29" s="292" t="s">
        <v>353</v>
      </c>
      <c r="L29" s="292" t="s">
        <v>359</v>
      </c>
      <c r="M29" s="292" t="s">
        <v>367</v>
      </c>
      <c r="N29" s="292" t="str">
        <f t="shared" si="20"/>
        <v>RTR-RTR</v>
      </c>
      <c r="O29" s="292" t="str">
        <f t="shared" si="21"/>
        <v>Technology-Consultant-India-Consulting</v>
      </c>
      <c r="P29" s="292" t="str">
        <f t="shared" si="22"/>
        <v>RTR - Technology</v>
      </c>
      <c r="Q29" s="293">
        <f t="shared" si="3"/>
        <v>216000</v>
      </c>
      <c r="R29" s="294">
        <f t="shared" si="4"/>
        <v>0</v>
      </c>
      <c r="S29" s="295">
        <f t="shared" si="23"/>
        <v>1305</v>
      </c>
      <c r="T29" s="295">
        <f t="shared" si="6"/>
        <v>3600</v>
      </c>
      <c r="U29" s="296" t="str">
        <f t="shared" si="24"/>
        <v>Technology - Consultant</v>
      </c>
      <c r="V29" s="295" t="str">
        <f t="shared" si="25"/>
        <v>1-3 years</v>
      </c>
      <c r="W29" s="292" t="str">
        <f t="shared" si="26"/>
        <v>Offshore</v>
      </c>
      <c r="X29" s="292" t="s">
        <v>261</v>
      </c>
      <c r="Y29" s="292" t="s">
        <v>259</v>
      </c>
      <c r="Z29" s="292" t="s">
        <v>368</v>
      </c>
      <c r="AA29" s="297">
        <f>[1]Resourcing!QD33</f>
        <v>62.270769230769197</v>
      </c>
      <c r="AB29" s="298">
        <f t="shared" si="27"/>
        <v>60</v>
      </c>
      <c r="AC29" s="299"/>
      <c r="AD29" s="299"/>
      <c r="AE29" s="299"/>
      <c r="AF29" s="299"/>
      <c r="AG29" s="299"/>
      <c r="AH29" s="299"/>
      <c r="AI29" s="299"/>
      <c r="AJ29" s="299"/>
      <c r="AK29" s="299"/>
      <c r="AL29" s="299"/>
      <c r="AM29" s="299"/>
      <c r="AN29" s="299"/>
      <c r="AO29" s="299"/>
      <c r="AP29" s="299"/>
      <c r="AQ29" s="299"/>
      <c r="AR29" s="299"/>
      <c r="AS29" s="299"/>
      <c r="AT29" s="299"/>
      <c r="AU29" s="299"/>
      <c r="AV29" s="299"/>
      <c r="AW29" s="299"/>
      <c r="AX29" s="299"/>
      <c r="AY29" s="299"/>
      <c r="AZ29" s="299"/>
      <c r="BA29" s="299"/>
      <c r="BB29" s="299"/>
      <c r="BC29" s="299"/>
      <c r="BD29" s="299"/>
      <c r="BE29" s="299"/>
      <c r="BF29" s="299"/>
      <c r="BG29" s="299"/>
      <c r="BH29" s="299"/>
      <c r="BI29" s="299"/>
      <c r="BJ29" s="299"/>
      <c r="BK29" s="299"/>
      <c r="BL29" s="299"/>
      <c r="BM29" s="299"/>
      <c r="BN29" s="299"/>
      <c r="BO29" s="299">
        <v>45</v>
      </c>
      <c r="BP29" s="299">
        <v>45</v>
      </c>
      <c r="BQ29" s="299">
        <v>45</v>
      </c>
      <c r="BR29" s="299"/>
      <c r="BS29" s="299"/>
      <c r="BT29" s="299">
        <v>45</v>
      </c>
      <c r="BU29" s="299">
        <v>45</v>
      </c>
      <c r="BV29" s="299">
        <v>45</v>
      </c>
      <c r="BW29" s="299">
        <v>45</v>
      </c>
      <c r="BX29" s="299">
        <v>45</v>
      </c>
      <c r="BY29" s="299">
        <v>45</v>
      </c>
      <c r="BZ29" s="299">
        <v>45</v>
      </c>
      <c r="CA29" s="299">
        <v>45</v>
      </c>
      <c r="CB29" s="299">
        <v>45</v>
      </c>
      <c r="CC29" s="299">
        <v>45</v>
      </c>
      <c r="CD29" s="299">
        <v>45</v>
      </c>
      <c r="CE29" s="299">
        <v>45</v>
      </c>
      <c r="CF29" s="299">
        <v>45</v>
      </c>
      <c r="CG29" s="299">
        <v>45</v>
      </c>
      <c r="CH29" s="299">
        <v>45</v>
      </c>
      <c r="CI29" s="299">
        <v>45</v>
      </c>
      <c r="CJ29" s="299">
        <v>45</v>
      </c>
      <c r="CK29" s="299">
        <v>45</v>
      </c>
      <c r="CL29" s="299">
        <v>45</v>
      </c>
      <c r="CM29" s="299">
        <v>45</v>
      </c>
      <c r="CN29" s="299">
        <v>45</v>
      </c>
      <c r="CO29" s="299">
        <v>45</v>
      </c>
      <c r="CP29" s="299">
        <v>45</v>
      </c>
      <c r="CQ29" s="299">
        <v>45</v>
      </c>
      <c r="CR29" s="299">
        <v>45</v>
      </c>
      <c r="CS29" s="299">
        <v>45</v>
      </c>
      <c r="CT29" s="299">
        <v>45</v>
      </c>
      <c r="CU29" s="299">
        <v>45</v>
      </c>
      <c r="CV29" s="299">
        <v>45</v>
      </c>
      <c r="CW29" s="299">
        <v>45</v>
      </c>
      <c r="CX29" s="299">
        <v>45</v>
      </c>
      <c r="CY29" s="299">
        <v>45</v>
      </c>
      <c r="CZ29" s="299">
        <v>45</v>
      </c>
      <c r="DA29" s="299">
        <v>45</v>
      </c>
      <c r="DB29" s="299">
        <v>45</v>
      </c>
      <c r="DC29" s="299">
        <v>45</v>
      </c>
      <c r="DD29" s="299">
        <v>45</v>
      </c>
      <c r="DE29" s="299">
        <v>45</v>
      </c>
      <c r="DF29" s="299">
        <v>45</v>
      </c>
      <c r="DG29" s="299">
        <v>45</v>
      </c>
      <c r="DH29" s="299">
        <v>45</v>
      </c>
      <c r="DI29" s="299">
        <v>45</v>
      </c>
      <c r="DJ29" s="299">
        <v>45</v>
      </c>
      <c r="DK29" s="299">
        <v>45</v>
      </c>
      <c r="DL29" s="299">
        <v>45</v>
      </c>
      <c r="DM29" s="299">
        <v>45</v>
      </c>
      <c r="DN29" s="299">
        <v>45</v>
      </c>
      <c r="DO29" s="299">
        <v>45</v>
      </c>
      <c r="DP29" s="299">
        <v>45</v>
      </c>
      <c r="DQ29" s="299">
        <v>45</v>
      </c>
      <c r="DR29" s="299"/>
      <c r="DS29" s="299"/>
      <c r="DT29" s="299">
        <v>45</v>
      </c>
      <c r="DU29" s="299">
        <v>45</v>
      </c>
      <c r="DV29" s="299">
        <v>45</v>
      </c>
      <c r="DW29" s="299">
        <v>45</v>
      </c>
      <c r="DX29" s="299">
        <v>45</v>
      </c>
      <c r="DY29" s="299">
        <v>45</v>
      </c>
      <c r="DZ29" s="299">
        <v>45</v>
      </c>
      <c r="EA29" s="299">
        <v>45</v>
      </c>
      <c r="EB29" s="299">
        <v>45</v>
      </c>
      <c r="EC29" s="299">
        <v>45</v>
      </c>
      <c r="ED29" s="299">
        <v>45</v>
      </c>
      <c r="EE29" s="299">
        <v>45</v>
      </c>
      <c r="EF29" s="299">
        <v>45</v>
      </c>
      <c r="EG29" s="299">
        <v>45</v>
      </c>
      <c r="EH29" s="299">
        <v>45</v>
      </c>
      <c r="EI29" s="299">
        <v>45</v>
      </c>
      <c r="EJ29" s="299">
        <v>45</v>
      </c>
      <c r="EK29" s="299">
        <v>45</v>
      </c>
      <c r="EL29" s="299">
        <v>45</v>
      </c>
      <c r="EM29" s="299">
        <v>45</v>
      </c>
      <c r="EN29" s="299">
        <v>45</v>
      </c>
      <c r="EO29" s="299">
        <v>45</v>
      </c>
      <c r="EP29" s="299">
        <v>45</v>
      </c>
      <c r="EQ29" s="299">
        <v>45</v>
      </c>
      <c r="ER29" s="299">
        <v>45</v>
      </c>
      <c r="ES29" s="299">
        <v>45</v>
      </c>
      <c r="ET29" s="299">
        <v>45</v>
      </c>
      <c r="EU29" s="299"/>
      <c r="EV29" s="299"/>
      <c r="EW29" s="299"/>
      <c r="EX29" s="299"/>
      <c r="EY29" s="299"/>
      <c r="EZ29" s="299"/>
      <c r="FA29" s="299"/>
      <c r="FB29" s="299"/>
      <c r="FC29" s="299"/>
      <c r="FD29" s="299"/>
      <c r="FE29" s="299"/>
      <c r="FF29" s="299"/>
      <c r="FG29" s="299"/>
      <c r="FH29" s="299"/>
      <c r="FI29" s="299"/>
      <c r="FJ29" s="299"/>
      <c r="FK29" s="299"/>
      <c r="FL29" s="299"/>
      <c r="FM29" s="299"/>
      <c r="FN29" s="299"/>
      <c r="FO29" s="299"/>
      <c r="FP29" s="299"/>
      <c r="FQ29" s="300" t="e">
        <f t="shared" ca="1" si="18"/>
        <v>#VALUE!</v>
      </c>
      <c r="FR29" s="300" t="e">
        <f t="shared" ca="1" si="29"/>
        <v>#VALUE!</v>
      </c>
      <c r="FS29" s="300" t="e">
        <f t="shared" ca="1" si="29"/>
        <v>#VALUE!</v>
      </c>
      <c r="FT29" s="300" t="e">
        <f t="shared" ca="1" si="29"/>
        <v>#VALUE!</v>
      </c>
      <c r="FU29" s="300" t="e">
        <f t="shared" ca="1" si="29"/>
        <v>#VALUE!</v>
      </c>
      <c r="FV29" s="300" t="e">
        <f t="shared" ca="1" si="29"/>
        <v>#VALUE!</v>
      </c>
      <c r="FW29" s="300" t="e">
        <f t="shared" ca="1" si="29"/>
        <v>#VALUE!</v>
      </c>
      <c r="FX29" s="300" t="e">
        <f t="shared" ca="1" si="29"/>
        <v>#VALUE!</v>
      </c>
      <c r="FY29" s="300" t="e">
        <f t="shared" ca="1" si="29"/>
        <v>#VALUE!</v>
      </c>
      <c r="FZ29" s="300" t="e">
        <f t="shared" ca="1" si="29"/>
        <v>#VALUE!</v>
      </c>
      <c r="GA29" s="301" t="e">
        <f t="shared" ca="1" si="29"/>
        <v>#VALUE!</v>
      </c>
      <c r="GB29" s="301" t="e">
        <f t="shared" ca="1" si="30"/>
        <v>#VALUE!</v>
      </c>
      <c r="GC29" s="301" t="e">
        <f t="shared" ca="1" si="30"/>
        <v>#VALUE!</v>
      </c>
      <c r="GD29" s="301" t="e">
        <f t="shared" ca="1" si="30"/>
        <v>#VALUE!</v>
      </c>
      <c r="GE29" s="301" t="e">
        <f t="shared" ca="1" si="30"/>
        <v>#VALUE!</v>
      </c>
      <c r="GF29" s="301" t="e">
        <f t="shared" ca="1" si="30"/>
        <v>#VALUE!</v>
      </c>
      <c r="GG29" s="301" t="e">
        <f t="shared" ca="1" si="30"/>
        <v>#VALUE!</v>
      </c>
      <c r="GH29" s="301" t="e">
        <f t="shared" ca="1" si="30"/>
        <v>#VALUE!</v>
      </c>
      <c r="GI29" s="301" t="e">
        <f t="shared" ca="1" si="30"/>
        <v>#VALUE!</v>
      </c>
      <c r="GJ29" s="301" t="e">
        <f t="shared" ca="1" si="30"/>
        <v>#VALUE!</v>
      </c>
      <c r="GK29" s="301" t="e">
        <f t="shared" ca="1" si="30"/>
        <v>#VALUE!</v>
      </c>
      <c r="GL29" s="301" t="e">
        <f t="shared" ca="1" si="30"/>
        <v>#VALUE!</v>
      </c>
      <c r="GM29" s="301" t="e">
        <f t="shared" ca="1" si="30"/>
        <v>#VALUE!</v>
      </c>
      <c r="GN29" s="302" t="e">
        <f t="shared" ca="1" si="30"/>
        <v>#VALUE!</v>
      </c>
      <c r="GO29" s="302" t="e">
        <f t="shared" ca="1" si="30"/>
        <v>#VALUE!</v>
      </c>
      <c r="GP29" s="301">
        <f t="shared" si="28"/>
        <v>90</v>
      </c>
      <c r="GQ29" s="301">
        <f t="shared" si="28"/>
        <v>180</v>
      </c>
      <c r="GR29" s="301">
        <f t="shared" si="28"/>
        <v>180</v>
      </c>
      <c r="GS29" s="301">
        <f t="shared" si="28"/>
        <v>180</v>
      </c>
      <c r="GT29" s="301">
        <f t="shared" si="28"/>
        <v>180</v>
      </c>
      <c r="GU29" s="303">
        <f t="shared" si="28"/>
        <v>180</v>
      </c>
      <c r="GV29" s="302">
        <f t="shared" si="28"/>
        <v>180</v>
      </c>
      <c r="GW29" s="302">
        <f t="shared" si="28"/>
        <v>135</v>
      </c>
      <c r="GX29" s="302">
        <f t="shared" si="28"/>
        <v>0</v>
      </c>
      <c r="GY29" s="302">
        <f t="shared" si="28"/>
        <v>0</v>
      </c>
      <c r="GZ29" s="302">
        <f t="shared" si="28"/>
        <v>0</v>
      </c>
      <c r="HA29" s="302">
        <f t="shared" si="28"/>
        <v>0</v>
      </c>
      <c r="HB29" s="302">
        <f t="shared" si="28"/>
        <v>0</v>
      </c>
      <c r="HC29" s="302">
        <f t="shared" si="28"/>
        <v>0</v>
      </c>
      <c r="HD29" s="302">
        <f t="shared" si="28"/>
        <v>0</v>
      </c>
      <c r="HE29" s="302">
        <f t="shared" si="28"/>
        <v>0</v>
      </c>
      <c r="HF29" s="304"/>
      <c r="HG29" s="305"/>
    </row>
    <row r="30" spans="1:215" s="306" customFormat="1" ht="15.75" customHeight="1">
      <c r="A30" s="307"/>
      <c r="B30" s="292" t="s">
        <v>85</v>
      </c>
      <c r="C30" s="292" t="s">
        <v>198</v>
      </c>
      <c r="D30" s="292" t="s">
        <v>198</v>
      </c>
      <c r="E30" s="292" t="s">
        <v>383</v>
      </c>
      <c r="F30" s="292" t="s">
        <v>184</v>
      </c>
      <c r="G30" s="292" t="s">
        <v>350</v>
      </c>
      <c r="H30" s="292" t="s">
        <v>351</v>
      </c>
      <c r="I30" s="292" t="s">
        <v>352</v>
      </c>
      <c r="J30" s="292" t="s">
        <v>184</v>
      </c>
      <c r="K30" s="292" t="s">
        <v>353</v>
      </c>
      <c r="L30" s="292" t="s">
        <v>359</v>
      </c>
      <c r="M30" s="292" t="s">
        <v>367</v>
      </c>
      <c r="N30" s="292" t="str">
        <f t="shared" si="20"/>
        <v>RTR-RTR</v>
      </c>
      <c r="O30" s="292" t="str">
        <f t="shared" si="21"/>
        <v>Technology-Analyst-India-Consulting</v>
      </c>
      <c r="P30" s="292" t="str">
        <f t="shared" si="22"/>
        <v>RTR - Technology</v>
      </c>
      <c r="Q30" s="293">
        <f t="shared" si="3"/>
        <v>166320</v>
      </c>
      <c r="R30" s="294">
        <f t="shared" si="4"/>
        <v>0</v>
      </c>
      <c r="S30" s="295">
        <f t="shared" si="23"/>
        <v>1305</v>
      </c>
      <c r="T30" s="295">
        <f t="shared" si="6"/>
        <v>3465</v>
      </c>
      <c r="U30" s="296" t="str">
        <f t="shared" si="24"/>
        <v>Technology - Analyst</v>
      </c>
      <c r="V30" s="295" t="str">
        <f t="shared" si="25"/>
        <v>0-1 years</v>
      </c>
      <c r="W30" s="292" t="str">
        <f t="shared" si="26"/>
        <v>Offshore</v>
      </c>
      <c r="X30" s="292" t="s">
        <v>261</v>
      </c>
      <c r="Y30" s="292" t="s">
        <v>259</v>
      </c>
      <c r="Z30" s="292" t="s">
        <v>384</v>
      </c>
      <c r="AA30" s="297">
        <f>[1]Resourcing!QD34</f>
        <v>62.688205128205098</v>
      </c>
      <c r="AB30" s="298">
        <f t="shared" si="27"/>
        <v>48</v>
      </c>
      <c r="AC30" s="299"/>
      <c r="AD30" s="299"/>
      <c r="AE30" s="299"/>
      <c r="AF30" s="299"/>
      <c r="AG30" s="299"/>
      <c r="AH30" s="299"/>
      <c r="AI30" s="299"/>
      <c r="AJ30" s="299"/>
      <c r="AK30" s="299"/>
      <c r="AL30" s="299"/>
      <c r="AM30" s="299"/>
      <c r="AN30" s="299"/>
      <c r="AO30" s="299"/>
      <c r="AP30" s="299"/>
      <c r="AQ30" s="299"/>
      <c r="AR30" s="299"/>
      <c r="AS30" s="299"/>
      <c r="AT30" s="299"/>
      <c r="AU30" s="299"/>
      <c r="AV30" s="299"/>
      <c r="AW30" s="299"/>
      <c r="AX30" s="299"/>
      <c r="AY30" s="299"/>
      <c r="AZ30" s="299"/>
      <c r="BA30" s="299"/>
      <c r="BB30" s="299"/>
      <c r="BC30" s="299"/>
      <c r="BD30" s="299"/>
      <c r="BE30" s="299"/>
      <c r="BF30" s="299"/>
      <c r="BG30" s="299"/>
      <c r="BH30" s="299"/>
      <c r="BI30" s="299"/>
      <c r="BJ30" s="299"/>
      <c r="BK30" s="299"/>
      <c r="BL30" s="299"/>
      <c r="BM30" s="299"/>
      <c r="BN30" s="299"/>
      <c r="BO30" s="299"/>
      <c r="BP30" s="299"/>
      <c r="BQ30" s="299"/>
      <c r="BR30" s="299"/>
      <c r="BS30" s="299"/>
      <c r="BT30" s="299">
        <v>45</v>
      </c>
      <c r="BU30" s="299">
        <v>45</v>
      </c>
      <c r="BV30" s="299">
        <v>45</v>
      </c>
      <c r="BW30" s="299">
        <v>45</v>
      </c>
      <c r="BX30" s="299">
        <v>45</v>
      </c>
      <c r="BY30" s="299">
        <v>45</v>
      </c>
      <c r="BZ30" s="299">
        <v>45</v>
      </c>
      <c r="CA30" s="299">
        <v>45</v>
      </c>
      <c r="CB30" s="299">
        <v>45</v>
      </c>
      <c r="CC30" s="299">
        <v>45</v>
      </c>
      <c r="CD30" s="299">
        <v>45</v>
      </c>
      <c r="CE30" s="299">
        <v>45</v>
      </c>
      <c r="CF30" s="299">
        <v>45</v>
      </c>
      <c r="CG30" s="299">
        <v>45</v>
      </c>
      <c r="CH30" s="299">
        <v>45</v>
      </c>
      <c r="CI30" s="299">
        <v>45</v>
      </c>
      <c r="CJ30" s="299">
        <v>45</v>
      </c>
      <c r="CK30" s="299">
        <v>45</v>
      </c>
      <c r="CL30" s="299">
        <v>45</v>
      </c>
      <c r="CM30" s="299">
        <v>45</v>
      </c>
      <c r="CN30" s="299">
        <v>45</v>
      </c>
      <c r="CO30" s="299">
        <v>45</v>
      </c>
      <c r="CP30" s="299">
        <v>45</v>
      </c>
      <c r="CQ30" s="299">
        <v>45</v>
      </c>
      <c r="CR30" s="299">
        <v>45</v>
      </c>
      <c r="CS30" s="299">
        <v>45</v>
      </c>
      <c r="CT30" s="299">
        <v>45</v>
      </c>
      <c r="CU30" s="299">
        <v>45</v>
      </c>
      <c r="CV30" s="299">
        <v>45</v>
      </c>
      <c r="CW30" s="299">
        <v>45</v>
      </c>
      <c r="CX30" s="299">
        <v>45</v>
      </c>
      <c r="CY30" s="299">
        <v>45</v>
      </c>
      <c r="CZ30" s="299">
        <v>45</v>
      </c>
      <c r="DA30" s="299">
        <v>45</v>
      </c>
      <c r="DB30" s="299">
        <v>45</v>
      </c>
      <c r="DC30" s="299">
        <v>45</v>
      </c>
      <c r="DD30" s="299">
        <v>45</v>
      </c>
      <c r="DE30" s="299">
        <v>45</v>
      </c>
      <c r="DF30" s="299">
        <v>45</v>
      </c>
      <c r="DG30" s="299">
        <v>45</v>
      </c>
      <c r="DH30" s="299">
        <v>45</v>
      </c>
      <c r="DI30" s="299">
        <v>45</v>
      </c>
      <c r="DJ30" s="299">
        <v>45</v>
      </c>
      <c r="DK30" s="299">
        <v>45</v>
      </c>
      <c r="DL30" s="299">
        <v>45</v>
      </c>
      <c r="DM30" s="299">
        <v>45</v>
      </c>
      <c r="DN30" s="299">
        <v>45</v>
      </c>
      <c r="DO30" s="299">
        <v>45</v>
      </c>
      <c r="DP30" s="299">
        <v>45</v>
      </c>
      <c r="DQ30" s="299">
        <v>45</v>
      </c>
      <c r="DR30" s="299"/>
      <c r="DS30" s="299"/>
      <c r="DT30" s="299">
        <v>45</v>
      </c>
      <c r="DU30" s="299">
        <v>45</v>
      </c>
      <c r="DV30" s="299">
        <v>45</v>
      </c>
      <c r="DW30" s="299">
        <v>45</v>
      </c>
      <c r="DX30" s="299">
        <v>45</v>
      </c>
      <c r="DY30" s="299">
        <v>45</v>
      </c>
      <c r="DZ30" s="299">
        <v>45</v>
      </c>
      <c r="EA30" s="299">
        <v>45</v>
      </c>
      <c r="EB30" s="299">
        <v>45</v>
      </c>
      <c r="EC30" s="299">
        <v>45</v>
      </c>
      <c r="ED30" s="299">
        <v>45</v>
      </c>
      <c r="EE30" s="299">
        <v>45</v>
      </c>
      <c r="EF30" s="299">
        <v>45</v>
      </c>
      <c r="EG30" s="299">
        <v>45</v>
      </c>
      <c r="EH30" s="299">
        <v>45</v>
      </c>
      <c r="EI30" s="299">
        <v>45</v>
      </c>
      <c r="EJ30" s="299">
        <v>45</v>
      </c>
      <c r="EK30" s="299">
        <v>45</v>
      </c>
      <c r="EL30" s="299">
        <v>45</v>
      </c>
      <c r="EM30" s="299">
        <v>45</v>
      </c>
      <c r="EN30" s="299">
        <v>45</v>
      </c>
      <c r="EO30" s="299">
        <v>45</v>
      </c>
      <c r="EP30" s="299">
        <v>45</v>
      </c>
      <c r="EQ30" s="299">
        <v>45</v>
      </c>
      <c r="ER30" s="299">
        <v>45</v>
      </c>
      <c r="ES30" s="299">
        <v>45</v>
      </c>
      <c r="ET30" s="299">
        <v>45</v>
      </c>
      <c r="EU30" s="299"/>
      <c r="EV30" s="299"/>
      <c r="EW30" s="299"/>
      <c r="EX30" s="299"/>
      <c r="EY30" s="299"/>
      <c r="EZ30" s="299"/>
      <c r="FA30" s="299"/>
      <c r="FB30" s="299"/>
      <c r="FC30" s="299"/>
      <c r="FD30" s="299"/>
      <c r="FE30" s="299"/>
      <c r="FF30" s="299"/>
      <c r="FG30" s="299"/>
      <c r="FH30" s="299"/>
      <c r="FI30" s="299"/>
      <c r="FJ30" s="299"/>
      <c r="FK30" s="299"/>
      <c r="FL30" s="299"/>
      <c r="FM30" s="299"/>
      <c r="FN30" s="299"/>
      <c r="FO30" s="299"/>
      <c r="FP30" s="299"/>
      <c r="FQ30" s="300" t="e">
        <f t="shared" ca="1" si="18"/>
        <v>#VALUE!</v>
      </c>
      <c r="FR30" s="300" t="e">
        <f t="shared" ca="1" si="29"/>
        <v>#VALUE!</v>
      </c>
      <c r="FS30" s="300" t="e">
        <f t="shared" ca="1" si="29"/>
        <v>#VALUE!</v>
      </c>
      <c r="FT30" s="300" t="e">
        <f t="shared" ca="1" si="29"/>
        <v>#VALUE!</v>
      </c>
      <c r="FU30" s="300" t="e">
        <f t="shared" ca="1" si="29"/>
        <v>#VALUE!</v>
      </c>
      <c r="FV30" s="300" t="e">
        <f t="shared" ca="1" si="29"/>
        <v>#VALUE!</v>
      </c>
      <c r="FW30" s="300" t="e">
        <f t="shared" ca="1" si="29"/>
        <v>#VALUE!</v>
      </c>
      <c r="FX30" s="300" t="e">
        <f t="shared" ca="1" si="29"/>
        <v>#VALUE!</v>
      </c>
      <c r="FY30" s="300" t="e">
        <f t="shared" ca="1" si="29"/>
        <v>#VALUE!</v>
      </c>
      <c r="FZ30" s="300" t="e">
        <f t="shared" ca="1" si="29"/>
        <v>#VALUE!</v>
      </c>
      <c r="GA30" s="301" t="e">
        <f t="shared" ca="1" si="29"/>
        <v>#VALUE!</v>
      </c>
      <c r="GB30" s="301" t="e">
        <f t="shared" ca="1" si="30"/>
        <v>#VALUE!</v>
      </c>
      <c r="GC30" s="301" t="e">
        <f t="shared" ca="1" si="30"/>
        <v>#VALUE!</v>
      </c>
      <c r="GD30" s="301" t="e">
        <f t="shared" ca="1" si="30"/>
        <v>#VALUE!</v>
      </c>
      <c r="GE30" s="301" t="e">
        <f t="shared" ca="1" si="30"/>
        <v>#VALUE!</v>
      </c>
      <c r="GF30" s="301" t="e">
        <f t="shared" ca="1" si="30"/>
        <v>#VALUE!</v>
      </c>
      <c r="GG30" s="301" t="e">
        <f t="shared" ca="1" si="30"/>
        <v>#VALUE!</v>
      </c>
      <c r="GH30" s="301" t="e">
        <f t="shared" ca="1" si="30"/>
        <v>#VALUE!</v>
      </c>
      <c r="GI30" s="301" t="e">
        <f t="shared" ca="1" si="30"/>
        <v>#VALUE!</v>
      </c>
      <c r="GJ30" s="301" t="e">
        <f t="shared" ca="1" si="30"/>
        <v>#VALUE!</v>
      </c>
      <c r="GK30" s="301" t="e">
        <f t="shared" ca="1" si="30"/>
        <v>#VALUE!</v>
      </c>
      <c r="GL30" s="301" t="e">
        <f t="shared" ca="1" si="30"/>
        <v>#VALUE!</v>
      </c>
      <c r="GM30" s="301" t="e">
        <f t="shared" ca="1" si="30"/>
        <v>#VALUE!</v>
      </c>
      <c r="GN30" s="302" t="e">
        <f t="shared" ca="1" si="30"/>
        <v>#VALUE!</v>
      </c>
      <c r="GO30" s="302" t="e">
        <f t="shared" ca="1" si="30"/>
        <v>#VALUE!</v>
      </c>
      <c r="GP30" s="301">
        <f t="shared" si="28"/>
        <v>90</v>
      </c>
      <c r="GQ30" s="301">
        <f t="shared" si="28"/>
        <v>180</v>
      </c>
      <c r="GR30" s="301">
        <f t="shared" si="28"/>
        <v>180</v>
      </c>
      <c r="GS30" s="301">
        <f t="shared" si="28"/>
        <v>180</v>
      </c>
      <c r="GT30" s="301">
        <f t="shared" si="28"/>
        <v>180</v>
      </c>
      <c r="GU30" s="303">
        <f t="shared" si="28"/>
        <v>180</v>
      </c>
      <c r="GV30" s="302">
        <f t="shared" si="28"/>
        <v>180</v>
      </c>
      <c r="GW30" s="302">
        <f t="shared" si="28"/>
        <v>135</v>
      </c>
      <c r="GX30" s="302">
        <f t="shared" si="28"/>
        <v>0</v>
      </c>
      <c r="GY30" s="302">
        <f t="shared" si="28"/>
        <v>0</v>
      </c>
      <c r="GZ30" s="302">
        <f t="shared" si="28"/>
        <v>0</v>
      </c>
      <c r="HA30" s="302">
        <f t="shared" si="28"/>
        <v>0</v>
      </c>
      <c r="HB30" s="302">
        <f t="shared" si="28"/>
        <v>0</v>
      </c>
      <c r="HC30" s="302">
        <f t="shared" si="28"/>
        <v>0</v>
      </c>
      <c r="HD30" s="302">
        <f t="shared" si="28"/>
        <v>0</v>
      </c>
      <c r="HE30" s="302">
        <f t="shared" si="28"/>
        <v>0</v>
      </c>
      <c r="HF30" s="304"/>
      <c r="HG30" s="305"/>
    </row>
    <row r="31" spans="1:215" s="306" customFormat="1" ht="15.75" customHeight="1">
      <c r="A31" s="307"/>
      <c r="B31" s="292" t="s">
        <v>85</v>
      </c>
      <c r="C31" s="292" t="s">
        <v>198</v>
      </c>
      <c r="D31" s="292" t="s">
        <v>198</v>
      </c>
      <c r="E31" s="292" t="s">
        <v>385</v>
      </c>
      <c r="F31" s="292" t="s">
        <v>184</v>
      </c>
      <c r="G31" s="292" t="s">
        <v>350</v>
      </c>
      <c r="H31" s="292" t="s">
        <v>351</v>
      </c>
      <c r="I31" s="292" t="s">
        <v>352</v>
      </c>
      <c r="J31" s="292" t="s">
        <v>184</v>
      </c>
      <c r="K31" s="292" t="s">
        <v>353</v>
      </c>
      <c r="L31" s="292" t="s">
        <v>359</v>
      </c>
      <c r="M31" s="292" t="s">
        <v>367</v>
      </c>
      <c r="N31" s="292" t="str">
        <f t="shared" si="20"/>
        <v>RTR-RTR</v>
      </c>
      <c r="O31" s="292" t="str">
        <f t="shared" si="21"/>
        <v>Technology-Consultant-India-Consulting</v>
      </c>
      <c r="P31" s="292" t="str">
        <f t="shared" si="22"/>
        <v>RTR - Technology</v>
      </c>
      <c r="Q31" s="293">
        <f t="shared" si="3"/>
        <v>216000</v>
      </c>
      <c r="R31" s="294">
        <f t="shared" si="4"/>
        <v>0</v>
      </c>
      <c r="S31" s="295">
        <f t="shared" si="23"/>
        <v>1305</v>
      </c>
      <c r="T31" s="295">
        <f t="shared" si="6"/>
        <v>3600</v>
      </c>
      <c r="U31" s="296" t="str">
        <f t="shared" si="24"/>
        <v>Technology - Consultant</v>
      </c>
      <c r="V31" s="295" t="str">
        <f t="shared" si="25"/>
        <v>1-3 years</v>
      </c>
      <c r="W31" s="292" t="str">
        <f t="shared" si="26"/>
        <v>Offshore</v>
      </c>
      <c r="X31" s="292" t="s">
        <v>261</v>
      </c>
      <c r="Y31" s="292" t="s">
        <v>259</v>
      </c>
      <c r="Z31" s="292" t="s">
        <v>368</v>
      </c>
      <c r="AA31" s="297">
        <f>[1]Resourcing!QD35</f>
        <v>53.12</v>
      </c>
      <c r="AB31" s="298">
        <f t="shared" si="27"/>
        <v>60</v>
      </c>
      <c r="AC31" s="299"/>
      <c r="AD31" s="299"/>
      <c r="AE31" s="299"/>
      <c r="AF31" s="299"/>
      <c r="AG31" s="299"/>
      <c r="AH31" s="299"/>
      <c r="AI31" s="299"/>
      <c r="AJ31" s="299"/>
      <c r="AK31" s="299"/>
      <c r="AL31" s="299"/>
      <c r="AM31" s="299"/>
      <c r="AN31" s="299"/>
      <c r="AO31" s="299"/>
      <c r="AP31" s="299"/>
      <c r="AQ31" s="299"/>
      <c r="AR31" s="299"/>
      <c r="AS31" s="299"/>
      <c r="AT31" s="299"/>
      <c r="AU31" s="299"/>
      <c r="AV31" s="299"/>
      <c r="AW31" s="299"/>
      <c r="AX31" s="299"/>
      <c r="AY31" s="299"/>
      <c r="AZ31" s="299"/>
      <c r="BA31" s="299"/>
      <c r="BB31" s="299"/>
      <c r="BC31" s="299"/>
      <c r="BD31" s="299"/>
      <c r="BE31" s="299"/>
      <c r="BF31" s="299"/>
      <c r="BG31" s="299"/>
      <c r="BH31" s="299"/>
      <c r="BI31" s="299"/>
      <c r="BJ31" s="299"/>
      <c r="BK31" s="299"/>
      <c r="BL31" s="299"/>
      <c r="BM31" s="299"/>
      <c r="BN31" s="299"/>
      <c r="BO31" s="299">
        <v>45</v>
      </c>
      <c r="BP31" s="299">
        <v>45</v>
      </c>
      <c r="BQ31" s="299">
        <v>45</v>
      </c>
      <c r="BR31" s="299"/>
      <c r="BS31" s="299"/>
      <c r="BT31" s="299">
        <v>45</v>
      </c>
      <c r="BU31" s="299">
        <v>45</v>
      </c>
      <c r="BV31" s="299">
        <v>45</v>
      </c>
      <c r="BW31" s="299">
        <v>45</v>
      </c>
      <c r="BX31" s="299">
        <v>45</v>
      </c>
      <c r="BY31" s="299">
        <v>45</v>
      </c>
      <c r="BZ31" s="299">
        <v>45</v>
      </c>
      <c r="CA31" s="299">
        <v>45</v>
      </c>
      <c r="CB31" s="299">
        <v>45</v>
      </c>
      <c r="CC31" s="299">
        <v>45</v>
      </c>
      <c r="CD31" s="299">
        <v>45</v>
      </c>
      <c r="CE31" s="299">
        <v>45</v>
      </c>
      <c r="CF31" s="299">
        <v>45</v>
      </c>
      <c r="CG31" s="299">
        <v>45</v>
      </c>
      <c r="CH31" s="299">
        <v>45</v>
      </c>
      <c r="CI31" s="299">
        <v>45</v>
      </c>
      <c r="CJ31" s="299">
        <v>45</v>
      </c>
      <c r="CK31" s="299">
        <v>45</v>
      </c>
      <c r="CL31" s="299">
        <v>45</v>
      </c>
      <c r="CM31" s="299">
        <v>45</v>
      </c>
      <c r="CN31" s="299">
        <v>45</v>
      </c>
      <c r="CO31" s="299">
        <v>45</v>
      </c>
      <c r="CP31" s="299">
        <v>45</v>
      </c>
      <c r="CQ31" s="299">
        <v>45</v>
      </c>
      <c r="CR31" s="299">
        <v>45</v>
      </c>
      <c r="CS31" s="299">
        <v>45</v>
      </c>
      <c r="CT31" s="299">
        <v>45</v>
      </c>
      <c r="CU31" s="299">
        <v>45</v>
      </c>
      <c r="CV31" s="299">
        <v>45</v>
      </c>
      <c r="CW31" s="299">
        <v>45</v>
      </c>
      <c r="CX31" s="299">
        <v>45</v>
      </c>
      <c r="CY31" s="299">
        <v>45</v>
      </c>
      <c r="CZ31" s="299">
        <v>45</v>
      </c>
      <c r="DA31" s="299">
        <v>45</v>
      </c>
      <c r="DB31" s="299">
        <v>45</v>
      </c>
      <c r="DC31" s="299">
        <v>45</v>
      </c>
      <c r="DD31" s="299">
        <v>45</v>
      </c>
      <c r="DE31" s="299">
        <v>45</v>
      </c>
      <c r="DF31" s="299">
        <v>45</v>
      </c>
      <c r="DG31" s="299">
        <v>45</v>
      </c>
      <c r="DH31" s="299">
        <v>45</v>
      </c>
      <c r="DI31" s="299">
        <v>45</v>
      </c>
      <c r="DJ31" s="299">
        <v>45</v>
      </c>
      <c r="DK31" s="299">
        <v>45</v>
      </c>
      <c r="DL31" s="299">
        <v>45</v>
      </c>
      <c r="DM31" s="299">
        <v>45</v>
      </c>
      <c r="DN31" s="299">
        <v>45</v>
      </c>
      <c r="DO31" s="299">
        <v>45</v>
      </c>
      <c r="DP31" s="299">
        <v>45</v>
      </c>
      <c r="DQ31" s="299">
        <v>45</v>
      </c>
      <c r="DR31" s="299"/>
      <c r="DS31" s="299"/>
      <c r="DT31" s="299">
        <v>45</v>
      </c>
      <c r="DU31" s="299">
        <v>45</v>
      </c>
      <c r="DV31" s="299">
        <v>45</v>
      </c>
      <c r="DW31" s="299">
        <v>45</v>
      </c>
      <c r="DX31" s="299">
        <v>45</v>
      </c>
      <c r="DY31" s="299">
        <v>45</v>
      </c>
      <c r="DZ31" s="299">
        <v>45</v>
      </c>
      <c r="EA31" s="299">
        <v>45</v>
      </c>
      <c r="EB31" s="299">
        <v>45</v>
      </c>
      <c r="EC31" s="299">
        <v>45</v>
      </c>
      <c r="ED31" s="299">
        <v>45</v>
      </c>
      <c r="EE31" s="299">
        <v>45</v>
      </c>
      <c r="EF31" s="299">
        <v>45</v>
      </c>
      <c r="EG31" s="299">
        <v>45</v>
      </c>
      <c r="EH31" s="299">
        <v>45</v>
      </c>
      <c r="EI31" s="299">
        <v>45</v>
      </c>
      <c r="EJ31" s="299">
        <v>45</v>
      </c>
      <c r="EK31" s="299">
        <v>45</v>
      </c>
      <c r="EL31" s="299">
        <v>45</v>
      </c>
      <c r="EM31" s="299">
        <v>45</v>
      </c>
      <c r="EN31" s="299">
        <v>45</v>
      </c>
      <c r="EO31" s="299">
        <v>45</v>
      </c>
      <c r="EP31" s="299">
        <v>45</v>
      </c>
      <c r="EQ31" s="299">
        <v>45</v>
      </c>
      <c r="ER31" s="299">
        <v>45</v>
      </c>
      <c r="ES31" s="299">
        <v>45</v>
      </c>
      <c r="ET31" s="299">
        <v>45</v>
      </c>
      <c r="EU31" s="299"/>
      <c r="EV31" s="299"/>
      <c r="EW31" s="299"/>
      <c r="EX31" s="299"/>
      <c r="EY31" s="299"/>
      <c r="EZ31" s="299"/>
      <c r="FA31" s="299"/>
      <c r="FB31" s="299"/>
      <c r="FC31" s="299"/>
      <c r="FD31" s="299"/>
      <c r="FE31" s="299"/>
      <c r="FF31" s="299"/>
      <c r="FG31" s="299"/>
      <c r="FH31" s="299"/>
      <c r="FI31" s="299"/>
      <c r="FJ31" s="299"/>
      <c r="FK31" s="299"/>
      <c r="FL31" s="299"/>
      <c r="FM31" s="299"/>
      <c r="FN31" s="299"/>
      <c r="FO31" s="299"/>
      <c r="FP31" s="299"/>
      <c r="FQ31" s="300" t="e">
        <f t="shared" ca="1" si="18"/>
        <v>#VALUE!</v>
      </c>
      <c r="FR31" s="300" t="e">
        <f t="shared" ca="1" si="29"/>
        <v>#VALUE!</v>
      </c>
      <c r="FS31" s="300" t="e">
        <f t="shared" ca="1" si="29"/>
        <v>#VALUE!</v>
      </c>
      <c r="FT31" s="300" t="e">
        <f t="shared" ca="1" si="29"/>
        <v>#VALUE!</v>
      </c>
      <c r="FU31" s="300" t="e">
        <f t="shared" ca="1" si="29"/>
        <v>#VALUE!</v>
      </c>
      <c r="FV31" s="300" t="e">
        <f t="shared" ca="1" si="29"/>
        <v>#VALUE!</v>
      </c>
      <c r="FW31" s="300" t="e">
        <f t="shared" ca="1" si="29"/>
        <v>#VALUE!</v>
      </c>
      <c r="FX31" s="300" t="e">
        <f t="shared" ca="1" si="29"/>
        <v>#VALUE!</v>
      </c>
      <c r="FY31" s="300" t="e">
        <f t="shared" ca="1" si="29"/>
        <v>#VALUE!</v>
      </c>
      <c r="FZ31" s="300" t="e">
        <f t="shared" ca="1" si="29"/>
        <v>#VALUE!</v>
      </c>
      <c r="GA31" s="301" t="e">
        <f t="shared" ca="1" si="29"/>
        <v>#VALUE!</v>
      </c>
      <c r="GB31" s="301" t="e">
        <f t="shared" ca="1" si="30"/>
        <v>#VALUE!</v>
      </c>
      <c r="GC31" s="301" t="e">
        <f t="shared" ca="1" si="30"/>
        <v>#VALUE!</v>
      </c>
      <c r="GD31" s="301" t="e">
        <f t="shared" ca="1" si="30"/>
        <v>#VALUE!</v>
      </c>
      <c r="GE31" s="301" t="e">
        <f t="shared" ca="1" si="30"/>
        <v>#VALUE!</v>
      </c>
      <c r="GF31" s="301" t="e">
        <f t="shared" ca="1" si="30"/>
        <v>#VALUE!</v>
      </c>
      <c r="GG31" s="301" t="e">
        <f t="shared" ca="1" si="30"/>
        <v>#VALUE!</v>
      </c>
      <c r="GH31" s="301" t="e">
        <f t="shared" ca="1" si="30"/>
        <v>#VALUE!</v>
      </c>
      <c r="GI31" s="301" t="e">
        <f t="shared" ca="1" si="30"/>
        <v>#VALUE!</v>
      </c>
      <c r="GJ31" s="301" t="e">
        <f t="shared" ca="1" si="30"/>
        <v>#VALUE!</v>
      </c>
      <c r="GK31" s="301" t="e">
        <f t="shared" ca="1" si="30"/>
        <v>#VALUE!</v>
      </c>
      <c r="GL31" s="301" t="e">
        <f t="shared" ca="1" si="30"/>
        <v>#VALUE!</v>
      </c>
      <c r="GM31" s="301" t="e">
        <f t="shared" ca="1" si="30"/>
        <v>#VALUE!</v>
      </c>
      <c r="GN31" s="302" t="e">
        <f t="shared" ca="1" si="30"/>
        <v>#VALUE!</v>
      </c>
      <c r="GO31" s="302" t="e">
        <f t="shared" ca="1" si="30"/>
        <v>#VALUE!</v>
      </c>
      <c r="GP31" s="301">
        <f t="shared" si="28"/>
        <v>90</v>
      </c>
      <c r="GQ31" s="301">
        <f t="shared" si="28"/>
        <v>180</v>
      </c>
      <c r="GR31" s="301">
        <f t="shared" si="28"/>
        <v>180</v>
      </c>
      <c r="GS31" s="301">
        <f t="shared" si="28"/>
        <v>180</v>
      </c>
      <c r="GT31" s="301">
        <f t="shared" si="28"/>
        <v>180</v>
      </c>
      <c r="GU31" s="303">
        <f t="shared" si="28"/>
        <v>180</v>
      </c>
      <c r="GV31" s="302">
        <f t="shared" si="28"/>
        <v>180</v>
      </c>
      <c r="GW31" s="302">
        <f t="shared" si="28"/>
        <v>135</v>
      </c>
      <c r="GX31" s="302">
        <f t="shared" si="28"/>
        <v>0</v>
      </c>
      <c r="GY31" s="302">
        <f t="shared" si="28"/>
        <v>0</v>
      </c>
      <c r="GZ31" s="302">
        <f t="shared" si="28"/>
        <v>0</v>
      </c>
      <c r="HA31" s="302">
        <f t="shared" si="28"/>
        <v>0</v>
      </c>
      <c r="HB31" s="302">
        <f t="shared" si="28"/>
        <v>0</v>
      </c>
      <c r="HC31" s="302">
        <f t="shared" si="28"/>
        <v>0</v>
      </c>
      <c r="HD31" s="302">
        <f t="shared" si="28"/>
        <v>0</v>
      </c>
      <c r="HE31" s="302">
        <f t="shared" si="28"/>
        <v>0</v>
      </c>
      <c r="HF31" s="304"/>
      <c r="HG31" s="305"/>
    </row>
    <row r="32" spans="1:215" s="306" customFormat="1" ht="15.75" customHeight="1">
      <c r="A32" s="307"/>
      <c r="B32" s="292" t="s">
        <v>85</v>
      </c>
      <c r="C32" s="292" t="s">
        <v>198</v>
      </c>
      <c r="D32" s="292" t="s">
        <v>198</v>
      </c>
      <c r="E32" s="292" t="s">
        <v>386</v>
      </c>
      <c r="F32" s="292" t="s">
        <v>184</v>
      </c>
      <c r="G32" s="292" t="s">
        <v>350</v>
      </c>
      <c r="H32" s="292" t="s">
        <v>351</v>
      </c>
      <c r="I32" s="292" t="s">
        <v>352</v>
      </c>
      <c r="J32" s="292" t="s">
        <v>184</v>
      </c>
      <c r="K32" s="292" t="s">
        <v>353</v>
      </c>
      <c r="L32" s="292" t="s">
        <v>359</v>
      </c>
      <c r="M32" s="292" t="s">
        <v>367</v>
      </c>
      <c r="N32" s="292" t="str">
        <f t="shared" si="20"/>
        <v>RTR-RTR</v>
      </c>
      <c r="O32" s="292" t="str">
        <f t="shared" si="21"/>
        <v>Technology-Consultant-India-Consulting</v>
      </c>
      <c r="P32" s="292" t="str">
        <f t="shared" si="22"/>
        <v>RTR - Technology</v>
      </c>
      <c r="Q32" s="293">
        <f t="shared" si="3"/>
        <v>216000</v>
      </c>
      <c r="R32" s="294">
        <f t="shared" si="4"/>
        <v>0</v>
      </c>
      <c r="S32" s="295">
        <f t="shared" si="23"/>
        <v>1305</v>
      </c>
      <c r="T32" s="295">
        <f t="shared" si="6"/>
        <v>3600</v>
      </c>
      <c r="U32" s="296" t="str">
        <f t="shared" si="24"/>
        <v>Technology - Consultant</v>
      </c>
      <c r="V32" s="295" t="str">
        <f t="shared" si="25"/>
        <v>1-3 years</v>
      </c>
      <c r="W32" s="292" t="str">
        <f t="shared" si="26"/>
        <v>Offshore</v>
      </c>
      <c r="X32" s="292" t="s">
        <v>261</v>
      </c>
      <c r="Y32" s="292" t="s">
        <v>259</v>
      </c>
      <c r="Z32" s="292" t="s">
        <v>368</v>
      </c>
      <c r="AA32" s="297">
        <f>[1]Resourcing!QD36</f>
        <v>53.384999999999998</v>
      </c>
      <c r="AB32" s="298">
        <f t="shared" si="27"/>
        <v>60</v>
      </c>
      <c r="AC32" s="299"/>
      <c r="AD32" s="299"/>
      <c r="AE32" s="299"/>
      <c r="AF32" s="299"/>
      <c r="AG32" s="299"/>
      <c r="AH32" s="299"/>
      <c r="AI32" s="299"/>
      <c r="AJ32" s="299"/>
      <c r="AK32" s="299"/>
      <c r="AL32" s="299"/>
      <c r="AM32" s="299"/>
      <c r="AN32" s="299"/>
      <c r="AO32" s="299"/>
      <c r="AP32" s="299"/>
      <c r="AQ32" s="299"/>
      <c r="AR32" s="299"/>
      <c r="AS32" s="299"/>
      <c r="AT32" s="299"/>
      <c r="AU32" s="299"/>
      <c r="AV32" s="299"/>
      <c r="AW32" s="299"/>
      <c r="AX32" s="299"/>
      <c r="AY32" s="299"/>
      <c r="AZ32" s="299"/>
      <c r="BA32" s="299"/>
      <c r="BB32" s="299"/>
      <c r="BC32" s="299"/>
      <c r="BD32" s="299"/>
      <c r="BE32" s="299"/>
      <c r="BF32" s="299"/>
      <c r="BG32" s="299"/>
      <c r="BH32" s="299"/>
      <c r="BI32" s="299"/>
      <c r="BJ32" s="299"/>
      <c r="BK32" s="299"/>
      <c r="BL32" s="299"/>
      <c r="BM32" s="299"/>
      <c r="BN32" s="299"/>
      <c r="BO32" s="299">
        <v>45</v>
      </c>
      <c r="BP32" s="299">
        <v>45</v>
      </c>
      <c r="BQ32" s="299">
        <v>45</v>
      </c>
      <c r="BR32" s="299"/>
      <c r="BS32" s="299"/>
      <c r="BT32" s="299">
        <v>45</v>
      </c>
      <c r="BU32" s="299">
        <v>45</v>
      </c>
      <c r="BV32" s="299">
        <v>45</v>
      </c>
      <c r="BW32" s="299">
        <v>45</v>
      </c>
      <c r="BX32" s="299">
        <v>45</v>
      </c>
      <c r="BY32" s="299">
        <v>45</v>
      </c>
      <c r="BZ32" s="299">
        <v>45</v>
      </c>
      <c r="CA32" s="299">
        <v>45</v>
      </c>
      <c r="CB32" s="299">
        <v>45</v>
      </c>
      <c r="CC32" s="299">
        <v>45</v>
      </c>
      <c r="CD32" s="299">
        <v>45</v>
      </c>
      <c r="CE32" s="299">
        <v>45</v>
      </c>
      <c r="CF32" s="299">
        <v>45</v>
      </c>
      <c r="CG32" s="299">
        <v>45</v>
      </c>
      <c r="CH32" s="299">
        <v>45</v>
      </c>
      <c r="CI32" s="299">
        <v>45</v>
      </c>
      <c r="CJ32" s="299">
        <v>45</v>
      </c>
      <c r="CK32" s="299">
        <v>45</v>
      </c>
      <c r="CL32" s="299">
        <v>45</v>
      </c>
      <c r="CM32" s="299">
        <v>45</v>
      </c>
      <c r="CN32" s="299">
        <v>45</v>
      </c>
      <c r="CO32" s="299">
        <v>45</v>
      </c>
      <c r="CP32" s="299">
        <v>45</v>
      </c>
      <c r="CQ32" s="299">
        <v>45</v>
      </c>
      <c r="CR32" s="299">
        <v>45</v>
      </c>
      <c r="CS32" s="299">
        <v>45</v>
      </c>
      <c r="CT32" s="299">
        <v>45</v>
      </c>
      <c r="CU32" s="299">
        <v>45</v>
      </c>
      <c r="CV32" s="299">
        <v>45</v>
      </c>
      <c r="CW32" s="299">
        <v>45</v>
      </c>
      <c r="CX32" s="299">
        <v>45</v>
      </c>
      <c r="CY32" s="299">
        <v>45</v>
      </c>
      <c r="CZ32" s="299">
        <v>45</v>
      </c>
      <c r="DA32" s="299">
        <v>45</v>
      </c>
      <c r="DB32" s="299">
        <v>45</v>
      </c>
      <c r="DC32" s="299">
        <v>45</v>
      </c>
      <c r="DD32" s="299">
        <v>45</v>
      </c>
      <c r="DE32" s="299">
        <v>45</v>
      </c>
      <c r="DF32" s="299">
        <v>45</v>
      </c>
      <c r="DG32" s="299">
        <v>45</v>
      </c>
      <c r="DH32" s="299">
        <v>45</v>
      </c>
      <c r="DI32" s="299">
        <v>45</v>
      </c>
      <c r="DJ32" s="299">
        <v>45</v>
      </c>
      <c r="DK32" s="299">
        <v>45</v>
      </c>
      <c r="DL32" s="299">
        <v>45</v>
      </c>
      <c r="DM32" s="299">
        <v>45</v>
      </c>
      <c r="DN32" s="299">
        <v>45</v>
      </c>
      <c r="DO32" s="299">
        <v>45</v>
      </c>
      <c r="DP32" s="299">
        <v>45</v>
      </c>
      <c r="DQ32" s="299">
        <v>45</v>
      </c>
      <c r="DR32" s="299"/>
      <c r="DS32" s="299"/>
      <c r="DT32" s="299">
        <v>45</v>
      </c>
      <c r="DU32" s="299">
        <v>45</v>
      </c>
      <c r="DV32" s="299">
        <v>45</v>
      </c>
      <c r="DW32" s="299">
        <v>45</v>
      </c>
      <c r="DX32" s="299">
        <v>45</v>
      </c>
      <c r="DY32" s="299">
        <v>45</v>
      </c>
      <c r="DZ32" s="299">
        <v>45</v>
      </c>
      <c r="EA32" s="299">
        <v>45</v>
      </c>
      <c r="EB32" s="299">
        <v>45</v>
      </c>
      <c r="EC32" s="299">
        <v>45</v>
      </c>
      <c r="ED32" s="299">
        <v>45</v>
      </c>
      <c r="EE32" s="299">
        <v>45</v>
      </c>
      <c r="EF32" s="299">
        <v>45</v>
      </c>
      <c r="EG32" s="299">
        <v>45</v>
      </c>
      <c r="EH32" s="299">
        <v>45</v>
      </c>
      <c r="EI32" s="299">
        <v>45</v>
      </c>
      <c r="EJ32" s="299">
        <v>45</v>
      </c>
      <c r="EK32" s="299">
        <v>45</v>
      </c>
      <c r="EL32" s="299">
        <v>45</v>
      </c>
      <c r="EM32" s="299">
        <v>45</v>
      </c>
      <c r="EN32" s="299">
        <v>45</v>
      </c>
      <c r="EO32" s="299">
        <v>45</v>
      </c>
      <c r="EP32" s="299">
        <v>45</v>
      </c>
      <c r="EQ32" s="299">
        <v>45</v>
      </c>
      <c r="ER32" s="299">
        <v>45</v>
      </c>
      <c r="ES32" s="299">
        <v>45</v>
      </c>
      <c r="ET32" s="299">
        <v>45</v>
      </c>
      <c r="EU32" s="299"/>
      <c r="EV32" s="299"/>
      <c r="EW32" s="299"/>
      <c r="EX32" s="299"/>
      <c r="EY32" s="299"/>
      <c r="EZ32" s="299"/>
      <c r="FA32" s="299"/>
      <c r="FB32" s="299"/>
      <c r="FC32" s="299"/>
      <c r="FD32" s="299"/>
      <c r="FE32" s="299"/>
      <c r="FF32" s="299"/>
      <c r="FG32" s="299"/>
      <c r="FH32" s="299"/>
      <c r="FI32" s="299"/>
      <c r="FJ32" s="299"/>
      <c r="FK32" s="299"/>
      <c r="FL32" s="299"/>
      <c r="FM32" s="299"/>
      <c r="FN32" s="299"/>
      <c r="FO32" s="299"/>
      <c r="FP32" s="299"/>
      <c r="FQ32" s="300" t="e">
        <f t="shared" ca="1" si="18"/>
        <v>#VALUE!</v>
      </c>
      <c r="FR32" s="300" t="e">
        <f t="shared" ca="1" si="29"/>
        <v>#VALUE!</v>
      </c>
      <c r="FS32" s="300" t="e">
        <f t="shared" ca="1" si="29"/>
        <v>#VALUE!</v>
      </c>
      <c r="FT32" s="300" t="e">
        <f t="shared" ca="1" si="29"/>
        <v>#VALUE!</v>
      </c>
      <c r="FU32" s="300" t="e">
        <f t="shared" ca="1" si="29"/>
        <v>#VALUE!</v>
      </c>
      <c r="FV32" s="300" t="e">
        <f t="shared" ca="1" si="29"/>
        <v>#VALUE!</v>
      </c>
      <c r="FW32" s="300" t="e">
        <f t="shared" ca="1" si="29"/>
        <v>#VALUE!</v>
      </c>
      <c r="FX32" s="300" t="e">
        <f t="shared" ca="1" si="29"/>
        <v>#VALUE!</v>
      </c>
      <c r="FY32" s="300" t="e">
        <f t="shared" ca="1" si="29"/>
        <v>#VALUE!</v>
      </c>
      <c r="FZ32" s="300" t="e">
        <f t="shared" ca="1" si="29"/>
        <v>#VALUE!</v>
      </c>
      <c r="GA32" s="301" t="e">
        <f t="shared" ca="1" si="29"/>
        <v>#VALUE!</v>
      </c>
      <c r="GB32" s="301" t="e">
        <f t="shared" ca="1" si="30"/>
        <v>#VALUE!</v>
      </c>
      <c r="GC32" s="301" t="e">
        <f t="shared" ca="1" si="30"/>
        <v>#VALUE!</v>
      </c>
      <c r="GD32" s="301" t="e">
        <f t="shared" ca="1" si="30"/>
        <v>#VALUE!</v>
      </c>
      <c r="GE32" s="301" t="e">
        <f t="shared" ca="1" si="30"/>
        <v>#VALUE!</v>
      </c>
      <c r="GF32" s="301" t="e">
        <f t="shared" ca="1" si="30"/>
        <v>#VALUE!</v>
      </c>
      <c r="GG32" s="301" t="e">
        <f t="shared" ca="1" si="30"/>
        <v>#VALUE!</v>
      </c>
      <c r="GH32" s="301" t="e">
        <f t="shared" ca="1" si="30"/>
        <v>#VALUE!</v>
      </c>
      <c r="GI32" s="301" t="e">
        <f t="shared" ca="1" si="30"/>
        <v>#VALUE!</v>
      </c>
      <c r="GJ32" s="301" t="e">
        <f t="shared" ca="1" si="30"/>
        <v>#VALUE!</v>
      </c>
      <c r="GK32" s="301" t="e">
        <f t="shared" ca="1" si="30"/>
        <v>#VALUE!</v>
      </c>
      <c r="GL32" s="301" t="e">
        <f t="shared" ca="1" si="30"/>
        <v>#VALUE!</v>
      </c>
      <c r="GM32" s="301" t="e">
        <f t="shared" ca="1" si="30"/>
        <v>#VALUE!</v>
      </c>
      <c r="GN32" s="302" t="e">
        <f t="shared" ca="1" si="30"/>
        <v>#VALUE!</v>
      </c>
      <c r="GO32" s="302" t="e">
        <f t="shared" ca="1" si="30"/>
        <v>#VALUE!</v>
      </c>
      <c r="GP32" s="301">
        <f t="shared" si="28"/>
        <v>90</v>
      </c>
      <c r="GQ32" s="301">
        <f t="shared" si="28"/>
        <v>180</v>
      </c>
      <c r="GR32" s="301">
        <f t="shared" si="28"/>
        <v>180</v>
      </c>
      <c r="GS32" s="301">
        <f t="shared" si="28"/>
        <v>180</v>
      </c>
      <c r="GT32" s="301">
        <f t="shared" si="28"/>
        <v>180</v>
      </c>
      <c r="GU32" s="303">
        <f t="shared" si="28"/>
        <v>180</v>
      </c>
      <c r="GV32" s="302">
        <f t="shared" si="28"/>
        <v>180</v>
      </c>
      <c r="GW32" s="302">
        <f t="shared" si="28"/>
        <v>135</v>
      </c>
      <c r="GX32" s="302">
        <f t="shared" si="28"/>
        <v>0</v>
      </c>
      <c r="GY32" s="302">
        <f t="shared" si="28"/>
        <v>0</v>
      </c>
      <c r="GZ32" s="302">
        <f t="shared" si="28"/>
        <v>0</v>
      </c>
      <c r="HA32" s="302">
        <f t="shared" si="28"/>
        <v>0</v>
      </c>
      <c r="HB32" s="302">
        <f t="shared" si="28"/>
        <v>0</v>
      </c>
      <c r="HC32" s="302">
        <f t="shared" si="28"/>
        <v>0</v>
      </c>
      <c r="HD32" s="302">
        <f t="shared" si="28"/>
        <v>0</v>
      </c>
      <c r="HE32" s="302">
        <f t="shared" si="28"/>
        <v>0</v>
      </c>
      <c r="HF32" s="304"/>
      <c r="HG32" s="305"/>
    </row>
    <row r="33" spans="1:215" s="306" customFormat="1" ht="15.75" customHeight="1">
      <c r="A33" s="307"/>
      <c r="B33" s="292" t="s">
        <v>85</v>
      </c>
      <c r="C33" s="292" t="s">
        <v>198</v>
      </c>
      <c r="D33" s="292" t="s">
        <v>198</v>
      </c>
      <c r="E33" s="292" t="s">
        <v>387</v>
      </c>
      <c r="F33" s="292" t="s">
        <v>184</v>
      </c>
      <c r="G33" s="292" t="s">
        <v>350</v>
      </c>
      <c r="H33" s="292" t="s">
        <v>351</v>
      </c>
      <c r="I33" s="292" t="s">
        <v>352</v>
      </c>
      <c r="J33" s="292" t="s">
        <v>184</v>
      </c>
      <c r="K33" s="292" t="s">
        <v>353</v>
      </c>
      <c r="L33" s="292" t="s">
        <v>359</v>
      </c>
      <c r="M33" s="292" t="s">
        <v>363</v>
      </c>
      <c r="N33" s="292" t="str">
        <f t="shared" si="20"/>
        <v>RTR-RTR</v>
      </c>
      <c r="O33" s="292" t="str">
        <f t="shared" si="21"/>
        <v>Technology-Analyst-India-Consulting</v>
      </c>
      <c r="P33" s="292" t="str">
        <f t="shared" si="22"/>
        <v>RTR - Technology</v>
      </c>
      <c r="Q33" s="293">
        <f t="shared" si="3"/>
        <v>153360</v>
      </c>
      <c r="R33" s="294">
        <f t="shared" si="4"/>
        <v>0</v>
      </c>
      <c r="S33" s="295">
        <f t="shared" si="23"/>
        <v>1305</v>
      </c>
      <c r="T33" s="295">
        <f t="shared" si="6"/>
        <v>3195</v>
      </c>
      <c r="U33" s="296" t="str">
        <f t="shared" si="24"/>
        <v>Technology - Analyst</v>
      </c>
      <c r="V33" s="295" t="str">
        <f t="shared" si="25"/>
        <v>0-1 years</v>
      </c>
      <c r="W33" s="292" t="str">
        <f t="shared" si="26"/>
        <v>Offshore</v>
      </c>
      <c r="X33" s="292" t="s">
        <v>261</v>
      </c>
      <c r="Y33" s="292" t="s">
        <v>259</v>
      </c>
      <c r="Z33" s="292" t="s">
        <v>384</v>
      </c>
      <c r="AA33" s="297">
        <f>[1]Resourcing!QD37</f>
        <v>53.477922077922102</v>
      </c>
      <c r="AB33" s="298">
        <f t="shared" si="27"/>
        <v>48</v>
      </c>
      <c r="AC33" s="299"/>
      <c r="AD33" s="299"/>
      <c r="AE33" s="299"/>
      <c r="AF33" s="299"/>
      <c r="AG33" s="299"/>
      <c r="AH33" s="299"/>
      <c r="AI33" s="299"/>
      <c r="AJ33" s="299"/>
      <c r="AK33" s="299"/>
      <c r="AL33" s="299"/>
      <c r="AM33" s="299"/>
      <c r="AN33" s="299"/>
      <c r="AO33" s="299"/>
      <c r="AP33" s="299"/>
      <c r="AQ33" s="299"/>
      <c r="AR33" s="299"/>
      <c r="AS33" s="299"/>
      <c r="AT33" s="299"/>
      <c r="AU33" s="299"/>
      <c r="AV33" s="299"/>
      <c r="AW33" s="299"/>
      <c r="AX33" s="299"/>
      <c r="AY33" s="299"/>
      <c r="AZ33" s="299"/>
      <c r="BA33" s="299"/>
      <c r="BB33" s="299"/>
      <c r="BC33" s="299"/>
      <c r="BD33" s="299"/>
      <c r="BE33" s="299"/>
      <c r="BF33" s="299"/>
      <c r="BG33" s="299"/>
      <c r="BH33" s="299"/>
      <c r="BI33" s="299"/>
      <c r="BJ33" s="299"/>
      <c r="BK33" s="299"/>
      <c r="BL33" s="299"/>
      <c r="BM33" s="299"/>
      <c r="BN33" s="299"/>
      <c r="BO33" s="299"/>
      <c r="BP33" s="299"/>
      <c r="BQ33" s="299"/>
      <c r="BR33" s="299"/>
      <c r="BS33" s="299"/>
      <c r="BT33" s="299"/>
      <c r="BU33" s="299"/>
      <c r="BV33" s="299"/>
      <c r="BW33" s="299"/>
      <c r="BX33" s="299"/>
      <c r="BY33" s="299"/>
      <c r="BZ33" s="299">
        <v>45</v>
      </c>
      <c r="CA33" s="299">
        <v>45</v>
      </c>
      <c r="CB33" s="299">
        <v>45</v>
      </c>
      <c r="CC33" s="299">
        <v>45</v>
      </c>
      <c r="CD33" s="299">
        <v>45</v>
      </c>
      <c r="CE33" s="299">
        <v>45</v>
      </c>
      <c r="CF33" s="299">
        <v>45</v>
      </c>
      <c r="CG33" s="299">
        <v>45</v>
      </c>
      <c r="CH33" s="299">
        <v>45</v>
      </c>
      <c r="CI33" s="299">
        <v>45</v>
      </c>
      <c r="CJ33" s="299">
        <v>45</v>
      </c>
      <c r="CK33" s="299">
        <v>45</v>
      </c>
      <c r="CL33" s="299">
        <v>45</v>
      </c>
      <c r="CM33" s="299">
        <v>45</v>
      </c>
      <c r="CN33" s="299">
        <v>45</v>
      </c>
      <c r="CO33" s="299">
        <v>45</v>
      </c>
      <c r="CP33" s="299">
        <v>45</v>
      </c>
      <c r="CQ33" s="299">
        <v>45</v>
      </c>
      <c r="CR33" s="299">
        <v>45</v>
      </c>
      <c r="CS33" s="299">
        <v>45</v>
      </c>
      <c r="CT33" s="299">
        <v>45</v>
      </c>
      <c r="CU33" s="299">
        <v>45</v>
      </c>
      <c r="CV33" s="299">
        <v>45</v>
      </c>
      <c r="CW33" s="299">
        <v>45</v>
      </c>
      <c r="CX33" s="299">
        <v>45</v>
      </c>
      <c r="CY33" s="299">
        <v>45</v>
      </c>
      <c r="CZ33" s="299">
        <v>45</v>
      </c>
      <c r="DA33" s="299">
        <v>45</v>
      </c>
      <c r="DB33" s="299">
        <v>45</v>
      </c>
      <c r="DC33" s="299">
        <v>45</v>
      </c>
      <c r="DD33" s="299">
        <v>45</v>
      </c>
      <c r="DE33" s="299">
        <v>45</v>
      </c>
      <c r="DF33" s="299">
        <v>45</v>
      </c>
      <c r="DG33" s="299">
        <v>45</v>
      </c>
      <c r="DH33" s="299">
        <v>45</v>
      </c>
      <c r="DI33" s="299">
        <v>45</v>
      </c>
      <c r="DJ33" s="299">
        <v>45</v>
      </c>
      <c r="DK33" s="299">
        <v>45</v>
      </c>
      <c r="DL33" s="299">
        <v>45</v>
      </c>
      <c r="DM33" s="299">
        <v>45</v>
      </c>
      <c r="DN33" s="299">
        <v>45</v>
      </c>
      <c r="DO33" s="299">
        <v>45</v>
      </c>
      <c r="DP33" s="299">
        <v>45</v>
      </c>
      <c r="DQ33" s="299">
        <v>45</v>
      </c>
      <c r="DR33" s="299"/>
      <c r="DS33" s="299"/>
      <c r="DT33" s="299">
        <v>45</v>
      </c>
      <c r="DU33" s="299">
        <v>45</v>
      </c>
      <c r="DV33" s="299">
        <v>45</v>
      </c>
      <c r="DW33" s="299">
        <v>45</v>
      </c>
      <c r="DX33" s="299">
        <v>45</v>
      </c>
      <c r="DY33" s="299">
        <v>45</v>
      </c>
      <c r="DZ33" s="299">
        <v>45</v>
      </c>
      <c r="EA33" s="299">
        <v>45</v>
      </c>
      <c r="EB33" s="299">
        <v>45</v>
      </c>
      <c r="EC33" s="299">
        <v>45</v>
      </c>
      <c r="ED33" s="299">
        <v>45</v>
      </c>
      <c r="EE33" s="299">
        <v>45</v>
      </c>
      <c r="EF33" s="299">
        <v>45</v>
      </c>
      <c r="EG33" s="299">
        <v>45</v>
      </c>
      <c r="EH33" s="299">
        <v>45</v>
      </c>
      <c r="EI33" s="299">
        <v>45</v>
      </c>
      <c r="EJ33" s="299">
        <v>45</v>
      </c>
      <c r="EK33" s="299">
        <v>45</v>
      </c>
      <c r="EL33" s="299">
        <v>45</v>
      </c>
      <c r="EM33" s="299">
        <v>45</v>
      </c>
      <c r="EN33" s="299">
        <v>45</v>
      </c>
      <c r="EO33" s="299">
        <v>45</v>
      </c>
      <c r="EP33" s="299">
        <v>45</v>
      </c>
      <c r="EQ33" s="299">
        <v>45</v>
      </c>
      <c r="ER33" s="299">
        <v>45</v>
      </c>
      <c r="ES33" s="299">
        <v>45</v>
      </c>
      <c r="ET33" s="299">
        <v>45</v>
      </c>
      <c r="EU33" s="299"/>
      <c r="EV33" s="299"/>
      <c r="EW33" s="299"/>
      <c r="EX33" s="299"/>
      <c r="EY33" s="299"/>
      <c r="EZ33" s="299"/>
      <c r="FA33" s="299"/>
      <c r="FB33" s="299"/>
      <c r="FC33" s="299"/>
      <c r="FD33" s="299"/>
      <c r="FE33" s="299"/>
      <c r="FF33" s="299"/>
      <c r="FG33" s="299"/>
      <c r="FH33" s="299"/>
      <c r="FI33" s="299"/>
      <c r="FJ33" s="299"/>
      <c r="FK33" s="299"/>
      <c r="FL33" s="299"/>
      <c r="FM33" s="299"/>
      <c r="FN33" s="299"/>
      <c r="FO33" s="299"/>
      <c r="FP33" s="299"/>
      <c r="FQ33" s="300" t="e">
        <f t="shared" ca="1" si="18"/>
        <v>#VALUE!</v>
      </c>
      <c r="FR33" s="300" t="e">
        <f t="shared" ref="FR33:GA42" ca="1" si="31">SUMIF($AC$11:$FP$11,FR$12,$AC33:$FP33)</f>
        <v>#VALUE!</v>
      </c>
      <c r="FS33" s="300" t="e">
        <f t="shared" ca="1" si="31"/>
        <v>#VALUE!</v>
      </c>
      <c r="FT33" s="300" t="e">
        <f t="shared" ca="1" si="31"/>
        <v>#VALUE!</v>
      </c>
      <c r="FU33" s="300" t="e">
        <f t="shared" ca="1" si="31"/>
        <v>#VALUE!</v>
      </c>
      <c r="FV33" s="300" t="e">
        <f t="shared" ca="1" si="31"/>
        <v>#VALUE!</v>
      </c>
      <c r="FW33" s="300" t="e">
        <f t="shared" ca="1" si="31"/>
        <v>#VALUE!</v>
      </c>
      <c r="FX33" s="300" t="e">
        <f t="shared" ca="1" si="31"/>
        <v>#VALUE!</v>
      </c>
      <c r="FY33" s="300" t="e">
        <f t="shared" ca="1" si="31"/>
        <v>#VALUE!</v>
      </c>
      <c r="FZ33" s="300" t="e">
        <f t="shared" ca="1" si="31"/>
        <v>#VALUE!</v>
      </c>
      <c r="GA33" s="301" t="e">
        <f t="shared" ca="1" si="31"/>
        <v>#VALUE!</v>
      </c>
      <c r="GB33" s="301" t="e">
        <f t="shared" ref="GB33:GO42" ca="1" si="32">SUMIF($AC$11:$FP$11,GB$12,$AC33:$FP33)</f>
        <v>#VALUE!</v>
      </c>
      <c r="GC33" s="301" t="e">
        <f t="shared" ca="1" si="32"/>
        <v>#VALUE!</v>
      </c>
      <c r="GD33" s="301" t="e">
        <f t="shared" ca="1" si="32"/>
        <v>#VALUE!</v>
      </c>
      <c r="GE33" s="301" t="e">
        <f t="shared" ca="1" si="32"/>
        <v>#VALUE!</v>
      </c>
      <c r="GF33" s="301" t="e">
        <f t="shared" ca="1" si="32"/>
        <v>#VALUE!</v>
      </c>
      <c r="GG33" s="301" t="e">
        <f t="shared" ca="1" si="32"/>
        <v>#VALUE!</v>
      </c>
      <c r="GH33" s="301" t="e">
        <f t="shared" ca="1" si="32"/>
        <v>#VALUE!</v>
      </c>
      <c r="GI33" s="301" t="e">
        <f t="shared" ca="1" si="32"/>
        <v>#VALUE!</v>
      </c>
      <c r="GJ33" s="301" t="e">
        <f t="shared" ca="1" si="32"/>
        <v>#VALUE!</v>
      </c>
      <c r="GK33" s="301" t="e">
        <f t="shared" ca="1" si="32"/>
        <v>#VALUE!</v>
      </c>
      <c r="GL33" s="301" t="e">
        <f t="shared" ca="1" si="32"/>
        <v>#VALUE!</v>
      </c>
      <c r="GM33" s="301" t="e">
        <f t="shared" ca="1" si="32"/>
        <v>#VALUE!</v>
      </c>
      <c r="GN33" s="302" t="e">
        <f t="shared" ca="1" si="32"/>
        <v>#VALUE!</v>
      </c>
      <c r="GO33" s="302" t="e">
        <f t="shared" ca="1" si="32"/>
        <v>#VALUE!</v>
      </c>
      <c r="GP33" s="301">
        <f t="shared" si="28"/>
        <v>90</v>
      </c>
      <c r="GQ33" s="301">
        <f t="shared" si="28"/>
        <v>180</v>
      </c>
      <c r="GR33" s="301">
        <f t="shared" si="28"/>
        <v>180</v>
      </c>
      <c r="GS33" s="301">
        <f t="shared" si="28"/>
        <v>180</v>
      </c>
      <c r="GT33" s="301">
        <f t="shared" si="28"/>
        <v>180</v>
      </c>
      <c r="GU33" s="303">
        <f t="shared" si="28"/>
        <v>180</v>
      </c>
      <c r="GV33" s="302">
        <f t="shared" si="28"/>
        <v>180</v>
      </c>
      <c r="GW33" s="302">
        <f t="shared" si="28"/>
        <v>135</v>
      </c>
      <c r="GX33" s="302">
        <f t="shared" si="28"/>
        <v>0</v>
      </c>
      <c r="GY33" s="302">
        <f t="shared" si="28"/>
        <v>0</v>
      </c>
      <c r="GZ33" s="302">
        <f t="shared" si="28"/>
        <v>0</v>
      </c>
      <c r="HA33" s="302">
        <f t="shared" si="28"/>
        <v>0</v>
      </c>
      <c r="HB33" s="302">
        <f t="shared" si="28"/>
        <v>0</v>
      </c>
      <c r="HC33" s="302">
        <f t="shared" si="28"/>
        <v>0</v>
      </c>
      <c r="HD33" s="302">
        <f t="shared" si="28"/>
        <v>0</v>
      </c>
      <c r="HE33" s="302">
        <f t="shared" si="28"/>
        <v>0</v>
      </c>
      <c r="HF33" s="304"/>
      <c r="HG33" s="305"/>
    </row>
    <row r="34" spans="1:215" s="306" customFormat="1" ht="15.75" customHeight="1">
      <c r="A34" s="307"/>
      <c r="B34" s="292" t="s">
        <v>85</v>
      </c>
      <c r="C34" s="292" t="s">
        <v>198</v>
      </c>
      <c r="D34" s="292" t="s">
        <v>198</v>
      </c>
      <c r="E34" s="292" t="s">
        <v>388</v>
      </c>
      <c r="F34" s="292" t="s">
        <v>184</v>
      </c>
      <c r="G34" s="292" t="s">
        <v>350</v>
      </c>
      <c r="H34" s="292" t="s">
        <v>351</v>
      </c>
      <c r="I34" s="292" t="s">
        <v>352</v>
      </c>
      <c r="J34" s="292" t="s">
        <v>184</v>
      </c>
      <c r="K34" s="292" t="s">
        <v>353</v>
      </c>
      <c r="L34" s="292" t="s">
        <v>359</v>
      </c>
      <c r="M34" s="292" t="s">
        <v>363</v>
      </c>
      <c r="N34" s="292" t="str">
        <f t="shared" si="20"/>
        <v>RTR-RTR</v>
      </c>
      <c r="O34" s="292" t="str">
        <f t="shared" si="21"/>
        <v>Technology-Analyst-India-Consulting</v>
      </c>
      <c r="P34" s="292" t="str">
        <f t="shared" si="22"/>
        <v>RTR - Technology</v>
      </c>
      <c r="Q34" s="293">
        <f t="shared" si="3"/>
        <v>144720</v>
      </c>
      <c r="R34" s="294">
        <f t="shared" si="4"/>
        <v>0</v>
      </c>
      <c r="S34" s="295">
        <f t="shared" si="23"/>
        <v>1125</v>
      </c>
      <c r="T34" s="295">
        <f t="shared" si="6"/>
        <v>3015</v>
      </c>
      <c r="U34" s="296" t="str">
        <f t="shared" si="24"/>
        <v>Technology - Analyst</v>
      </c>
      <c r="V34" s="295" t="str">
        <f t="shared" si="25"/>
        <v>0-1 years</v>
      </c>
      <c r="W34" s="292" t="str">
        <f t="shared" si="26"/>
        <v>Offshore</v>
      </c>
      <c r="X34" s="292" t="s">
        <v>261</v>
      </c>
      <c r="Y34" s="292" t="s">
        <v>259</v>
      </c>
      <c r="Z34" s="292" t="s">
        <v>384</v>
      </c>
      <c r="AA34" s="297">
        <f>[1]Resourcing!QD38</f>
        <v>53.384999999999998</v>
      </c>
      <c r="AB34" s="298">
        <f t="shared" si="27"/>
        <v>48</v>
      </c>
      <c r="AC34" s="299"/>
      <c r="AD34" s="299"/>
      <c r="AE34" s="299"/>
      <c r="AF34" s="299"/>
      <c r="AG34" s="299"/>
      <c r="AH34" s="299"/>
      <c r="AI34" s="299"/>
      <c r="AJ34" s="299"/>
      <c r="AK34" s="299"/>
      <c r="AL34" s="299"/>
      <c r="AM34" s="299"/>
      <c r="AN34" s="299"/>
      <c r="AO34" s="299"/>
      <c r="AP34" s="299"/>
      <c r="AQ34" s="299"/>
      <c r="AR34" s="299"/>
      <c r="AS34" s="299"/>
      <c r="AT34" s="299"/>
      <c r="AU34" s="299"/>
      <c r="AV34" s="299"/>
      <c r="AW34" s="299"/>
      <c r="AX34" s="299"/>
      <c r="AY34" s="299"/>
      <c r="AZ34" s="299"/>
      <c r="BA34" s="299"/>
      <c r="BB34" s="299"/>
      <c r="BC34" s="299"/>
      <c r="BD34" s="299"/>
      <c r="BE34" s="299"/>
      <c r="BF34" s="299"/>
      <c r="BG34" s="299"/>
      <c r="BH34" s="299"/>
      <c r="BI34" s="299"/>
      <c r="BJ34" s="299"/>
      <c r="BK34" s="299"/>
      <c r="BL34" s="299"/>
      <c r="BM34" s="299"/>
      <c r="BN34" s="299"/>
      <c r="BO34" s="299"/>
      <c r="BP34" s="299"/>
      <c r="BQ34" s="299"/>
      <c r="BR34" s="299"/>
      <c r="BS34" s="299"/>
      <c r="BT34" s="299"/>
      <c r="BU34" s="299"/>
      <c r="BV34" s="299"/>
      <c r="BW34" s="299"/>
      <c r="BX34" s="299"/>
      <c r="BY34" s="299"/>
      <c r="BZ34" s="299">
        <v>45</v>
      </c>
      <c r="CA34" s="299">
        <v>45</v>
      </c>
      <c r="CB34" s="299">
        <v>45</v>
      </c>
      <c r="CC34" s="299">
        <v>45</v>
      </c>
      <c r="CD34" s="299">
        <v>45</v>
      </c>
      <c r="CE34" s="299">
        <v>45</v>
      </c>
      <c r="CF34" s="299">
        <v>45</v>
      </c>
      <c r="CG34" s="299">
        <v>45</v>
      </c>
      <c r="CH34" s="299">
        <v>45</v>
      </c>
      <c r="CI34" s="299">
        <v>45</v>
      </c>
      <c r="CJ34" s="299">
        <v>45</v>
      </c>
      <c r="CK34" s="299">
        <v>45</v>
      </c>
      <c r="CL34" s="299">
        <v>45</v>
      </c>
      <c r="CM34" s="299">
        <v>45</v>
      </c>
      <c r="CN34" s="299">
        <v>45</v>
      </c>
      <c r="CO34" s="299">
        <v>45</v>
      </c>
      <c r="CP34" s="299">
        <v>45</v>
      </c>
      <c r="CQ34" s="299">
        <v>45</v>
      </c>
      <c r="CR34" s="299">
        <v>45</v>
      </c>
      <c r="CS34" s="299">
        <v>45</v>
      </c>
      <c r="CT34" s="299">
        <v>45</v>
      </c>
      <c r="CU34" s="299">
        <v>45</v>
      </c>
      <c r="CV34" s="299">
        <v>45</v>
      </c>
      <c r="CW34" s="299">
        <v>45</v>
      </c>
      <c r="CX34" s="299">
        <v>45</v>
      </c>
      <c r="CY34" s="299">
        <v>45</v>
      </c>
      <c r="CZ34" s="299">
        <v>45</v>
      </c>
      <c r="DA34" s="299">
        <v>45</v>
      </c>
      <c r="DB34" s="299">
        <v>45</v>
      </c>
      <c r="DC34" s="299">
        <v>45</v>
      </c>
      <c r="DD34" s="299">
        <v>45</v>
      </c>
      <c r="DE34" s="299">
        <v>45</v>
      </c>
      <c r="DF34" s="299">
        <v>45</v>
      </c>
      <c r="DG34" s="299">
        <v>45</v>
      </c>
      <c r="DH34" s="299">
        <v>45</v>
      </c>
      <c r="DI34" s="299">
        <v>45</v>
      </c>
      <c r="DJ34" s="299">
        <v>45</v>
      </c>
      <c r="DK34" s="299">
        <v>45</v>
      </c>
      <c r="DL34" s="299">
        <v>45</v>
      </c>
      <c r="DM34" s="299">
        <v>45</v>
      </c>
      <c r="DN34" s="299">
        <v>45</v>
      </c>
      <c r="DO34" s="299">
        <v>45</v>
      </c>
      <c r="DP34" s="299">
        <v>45</v>
      </c>
      <c r="DQ34" s="299">
        <v>45</v>
      </c>
      <c r="DR34" s="299"/>
      <c r="DS34" s="299"/>
      <c r="DT34" s="299">
        <v>45</v>
      </c>
      <c r="DU34" s="299">
        <v>45</v>
      </c>
      <c r="DV34" s="299">
        <v>45</v>
      </c>
      <c r="DW34" s="299">
        <v>45</v>
      </c>
      <c r="DX34" s="299">
        <v>45</v>
      </c>
      <c r="DY34" s="299">
        <v>45</v>
      </c>
      <c r="DZ34" s="299">
        <v>45</v>
      </c>
      <c r="EA34" s="299">
        <v>45</v>
      </c>
      <c r="EB34" s="299">
        <v>45</v>
      </c>
      <c r="EC34" s="299">
        <v>45</v>
      </c>
      <c r="ED34" s="299">
        <v>45</v>
      </c>
      <c r="EE34" s="299">
        <v>45</v>
      </c>
      <c r="EF34" s="299">
        <v>45</v>
      </c>
      <c r="EG34" s="299">
        <v>45</v>
      </c>
      <c r="EH34" s="299">
        <v>45</v>
      </c>
      <c r="EI34" s="299">
        <v>45</v>
      </c>
      <c r="EJ34" s="299">
        <v>45</v>
      </c>
      <c r="EK34" s="299">
        <v>45</v>
      </c>
      <c r="EL34" s="299">
        <v>45</v>
      </c>
      <c r="EM34" s="299">
        <v>45</v>
      </c>
      <c r="EN34" s="299">
        <v>45</v>
      </c>
      <c r="EO34" s="299">
        <v>45</v>
      </c>
      <c r="EP34" s="299">
        <v>45</v>
      </c>
      <c r="EQ34" s="299"/>
      <c r="ER34" s="299"/>
      <c r="ES34" s="299"/>
      <c r="ET34" s="299"/>
      <c r="EU34" s="299"/>
      <c r="EV34" s="299"/>
      <c r="EW34" s="299"/>
      <c r="EX34" s="299"/>
      <c r="EY34" s="299"/>
      <c r="EZ34" s="299"/>
      <c r="FA34" s="299"/>
      <c r="FB34" s="299"/>
      <c r="FC34" s="299"/>
      <c r="FD34" s="299"/>
      <c r="FE34" s="299"/>
      <c r="FF34" s="299"/>
      <c r="FG34" s="299"/>
      <c r="FH34" s="299"/>
      <c r="FI34" s="299"/>
      <c r="FJ34" s="299"/>
      <c r="FK34" s="299"/>
      <c r="FL34" s="299"/>
      <c r="FM34" s="299"/>
      <c r="FN34" s="299"/>
      <c r="FO34" s="299"/>
      <c r="FP34" s="299"/>
      <c r="FQ34" s="300" t="e">
        <f t="shared" ca="1" si="18"/>
        <v>#VALUE!</v>
      </c>
      <c r="FR34" s="300" t="e">
        <f t="shared" ca="1" si="31"/>
        <v>#VALUE!</v>
      </c>
      <c r="FS34" s="300" t="e">
        <f t="shared" ca="1" si="31"/>
        <v>#VALUE!</v>
      </c>
      <c r="FT34" s="300" t="e">
        <f t="shared" ca="1" si="31"/>
        <v>#VALUE!</v>
      </c>
      <c r="FU34" s="300" t="e">
        <f t="shared" ca="1" si="31"/>
        <v>#VALUE!</v>
      </c>
      <c r="FV34" s="300" t="e">
        <f t="shared" ca="1" si="31"/>
        <v>#VALUE!</v>
      </c>
      <c r="FW34" s="300" t="e">
        <f t="shared" ca="1" si="31"/>
        <v>#VALUE!</v>
      </c>
      <c r="FX34" s="300" t="e">
        <f t="shared" ca="1" si="31"/>
        <v>#VALUE!</v>
      </c>
      <c r="FY34" s="300" t="e">
        <f t="shared" ca="1" si="31"/>
        <v>#VALUE!</v>
      </c>
      <c r="FZ34" s="300" t="e">
        <f t="shared" ca="1" si="31"/>
        <v>#VALUE!</v>
      </c>
      <c r="GA34" s="301" t="e">
        <f t="shared" ca="1" si="31"/>
        <v>#VALUE!</v>
      </c>
      <c r="GB34" s="301" t="e">
        <f t="shared" ca="1" si="32"/>
        <v>#VALUE!</v>
      </c>
      <c r="GC34" s="301" t="e">
        <f t="shared" ca="1" si="32"/>
        <v>#VALUE!</v>
      </c>
      <c r="GD34" s="301" t="e">
        <f t="shared" ca="1" si="32"/>
        <v>#VALUE!</v>
      </c>
      <c r="GE34" s="301" t="e">
        <f t="shared" ca="1" si="32"/>
        <v>#VALUE!</v>
      </c>
      <c r="GF34" s="301" t="e">
        <f t="shared" ca="1" si="32"/>
        <v>#VALUE!</v>
      </c>
      <c r="GG34" s="301" t="e">
        <f t="shared" ca="1" si="32"/>
        <v>#VALUE!</v>
      </c>
      <c r="GH34" s="301" t="e">
        <f t="shared" ca="1" si="32"/>
        <v>#VALUE!</v>
      </c>
      <c r="GI34" s="301" t="e">
        <f t="shared" ca="1" si="32"/>
        <v>#VALUE!</v>
      </c>
      <c r="GJ34" s="301" t="e">
        <f t="shared" ca="1" si="32"/>
        <v>#VALUE!</v>
      </c>
      <c r="GK34" s="301" t="e">
        <f t="shared" ca="1" si="32"/>
        <v>#VALUE!</v>
      </c>
      <c r="GL34" s="301" t="e">
        <f t="shared" ca="1" si="32"/>
        <v>#VALUE!</v>
      </c>
      <c r="GM34" s="301" t="e">
        <f t="shared" ca="1" si="32"/>
        <v>#VALUE!</v>
      </c>
      <c r="GN34" s="302" t="e">
        <f t="shared" ca="1" si="32"/>
        <v>#VALUE!</v>
      </c>
      <c r="GO34" s="302" t="e">
        <f t="shared" ca="1" si="32"/>
        <v>#VALUE!</v>
      </c>
      <c r="GP34" s="301">
        <f t="shared" si="28"/>
        <v>90</v>
      </c>
      <c r="GQ34" s="301">
        <f t="shared" si="28"/>
        <v>180</v>
      </c>
      <c r="GR34" s="301">
        <f t="shared" si="28"/>
        <v>180</v>
      </c>
      <c r="GS34" s="301">
        <f t="shared" si="28"/>
        <v>180</v>
      </c>
      <c r="GT34" s="301">
        <f t="shared" si="28"/>
        <v>180</v>
      </c>
      <c r="GU34" s="303">
        <f t="shared" si="28"/>
        <v>180</v>
      </c>
      <c r="GV34" s="302">
        <f t="shared" si="28"/>
        <v>135</v>
      </c>
      <c r="GW34" s="302">
        <f t="shared" si="28"/>
        <v>0</v>
      </c>
      <c r="GX34" s="302">
        <f t="shared" si="28"/>
        <v>0</v>
      </c>
      <c r="GY34" s="302">
        <f t="shared" si="28"/>
        <v>0</v>
      </c>
      <c r="GZ34" s="302">
        <f t="shared" si="28"/>
        <v>0</v>
      </c>
      <c r="HA34" s="302">
        <f t="shared" si="28"/>
        <v>0</v>
      </c>
      <c r="HB34" s="302">
        <f t="shared" si="28"/>
        <v>0</v>
      </c>
      <c r="HC34" s="302">
        <f t="shared" si="28"/>
        <v>0</v>
      </c>
      <c r="HD34" s="302">
        <f t="shared" si="28"/>
        <v>0</v>
      </c>
      <c r="HE34" s="302">
        <f t="shared" si="28"/>
        <v>0</v>
      </c>
      <c r="HF34" s="304"/>
      <c r="HG34" s="305"/>
    </row>
    <row r="35" spans="1:215" s="306" customFormat="1" ht="15.75" customHeight="1">
      <c r="A35" s="307"/>
      <c r="B35" s="292"/>
      <c r="C35" s="292"/>
      <c r="D35" s="292"/>
      <c r="E35" s="292"/>
      <c r="F35" s="292"/>
      <c r="G35" s="292"/>
      <c r="H35" s="292"/>
      <c r="I35" s="292"/>
      <c r="J35" s="292"/>
      <c r="K35" s="292"/>
      <c r="L35" s="292"/>
      <c r="M35" s="292"/>
      <c r="N35" s="292"/>
      <c r="O35" s="292"/>
      <c r="P35" s="292"/>
      <c r="Q35" s="293">
        <f t="shared" si="3"/>
        <v>0</v>
      </c>
      <c r="R35" s="294">
        <f t="shared" si="4"/>
        <v>0</v>
      </c>
      <c r="S35" s="295"/>
      <c r="T35" s="295">
        <f t="shared" si="6"/>
        <v>0</v>
      </c>
      <c r="U35" s="296"/>
      <c r="V35" s="295"/>
      <c r="W35" s="292"/>
      <c r="X35" s="292"/>
      <c r="Y35" s="292"/>
      <c r="Z35" s="292"/>
      <c r="AA35" s="297">
        <f>[1]Resourcing!QD39</f>
        <v>53.384999999999998</v>
      </c>
      <c r="AB35" s="298"/>
      <c r="AC35" s="299"/>
      <c r="AD35" s="299"/>
      <c r="AE35" s="299"/>
      <c r="AF35" s="299"/>
      <c r="AG35" s="299"/>
      <c r="AH35" s="299"/>
      <c r="AI35" s="299"/>
      <c r="AJ35" s="299"/>
      <c r="AK35" s="299"/>
      <c r="AL35" s="299"/>
      <c r="AM35" s="299"/>
      <c r="AN35" s="299"/>
      <c r="AO35" s="299"/>
      <c r="AP35" s="299"/>
      <c r="AQ35" s="299"/>
      <c r="AR35" s="299"/>
      <c r="AS35" s="299"/>
      <c r="AT35" s="299"/>
      <c r="AU35" s="299"/>
      <c r="AV35" s="299"/>
      <c r="AW35" s="299"/>
      <c r="AX35" s="299"/>
      <c r="AY35" s="299"/>
      <c r="AZ35" s="299"/>
      <c r="BA35" s="299"/>
      <c r="BB35" s="299"/>
      <c r="BC35" s="299"/>
      <c r="BD35" s="299"/>
      <c r="BE35" s="299"/>
      <c r="BF35" s="299"/>
      <c r="BG35" s="299"/>
      <c r="BH35" s="299"/>
      <c r="BI35" s="299"/>
      <c r="BJ35" s="299"/>
      <c r="BK35" s="299"/>
      <c r="BL35" s="299"/>
      <c r="BM35" s="299"/>
      <c r="BN35" s="299"/>
      <c r="BO35" s="299"/>
      <c r="BP35" s="299"/>
      <c r="BQ35" s="299"/>
      <c r="BR35" s="299"/>
      <c r="BS35" s="299"/>
      <c r="BT35" s="299"/>
      <c r="BU35" s="299"/>
      <c r="BV35" s="299"/>
      <c r="BW35" s="299"/>
      <c r="BX35" s="299"/>
      <c r="BY35" s="299"/>
      <c r="BZ35" s="299"/>
      <c r="CA35" s="299"/>
      <c r="CB35" s="299"/>
      <c r="CC35" s="299"/>
      <c r="CD35" s="299"/>
      <c r="CE35" s="299"/>
      <c r="CF35" s="299"/>
      <c r="CG35" s="299"/>
      <c r="CH35" s="299"/>
      <c r="CI35" s="299"/>
      <c r="CJ35" s="299"/>
      <c r="CK35" s="299"/>
      <c r="CL35" s="299"/>
      <c r="CM35" s="299"/>
      <c r="CN35" s="299"/>
      <c r="CO35" s="299"/>
      <c r="CP35" s="299"/>
      <c r="CQ35" s="299"/>
      <c r="CR35" s="299"/>
      <c r="CS35" s="299"/>
      <c r="CT35" s="299"/>
      <c r="CU35" s="299"/>
      <c r="CV35" s="299"/>
      <c r="CW35" s="299"/>
      <c r="CX35" s="299"/>
      <c r="CY35" s="299"/>
      <c r="CZ35" s="299"/>
      <c r="DA35" s="299"/>
      <c r="DB35" s="299"/>
      <c r="DC35" s="299"/>
      <c r="DD35" s="299"/>
      <c r="DE35" s="299"/>
      <c r="DF35" s="299"/>
      <c r="DG35" s="299"/>
      <c r="DH35" s="299"/>
      <c r="DI35" s="299"/>
      <c r="DJ35" s="299"/>
      <c r="DK35" s="299"/>
      <c r="DL35" s="299"/>
      <c r="DM35" s="299"/>
      <c r="DN35" s="299"/>
      <c r="DO35" s="299"/>
      <c r="DP35" s="299"/>
      <c r="DQ35" s="299"/>
      <c r="DR35" s="299"/>
      <c r="DS35" s="299"/>
      <c r="DT35" s="299"/>
      <c r="DU35" s="299"/>
      <c r="DV35" s="299"/>
      <c r="DW35" s="299"/>
      <c r="DX35" s="299"/>
      <c r="DY35" s="299"/>
      <c r="DZ35" s="299"/>
      <c r="EA35" s="299"/>
      <c r="EB35" s="299"/>
      <c r="EC35" s="299"/>
      <c r="ED35" s="299"/>
      <c r="EE35" s="299"/>
      <c r="EF35" s="299"/>
      <c r="EG35" s="299"/>
      <c r="EH35" s="299"/>
      <c r="EI35" s="299"/>
      <c r="EJ35" s="299"/>
      <c r="EK35" s="299"/>
      <c r="EL35" s="299"/>
      <c r="EM35" s="299"/>
      <c r="EN35" s="299"/>
      <c r="EO35" s="299"/>
      <c r="EP35" s="299"/>
      <c r="EQ35" s="299"/>
      <c r="ER35" s="299"/>
      <c r="ES35" s="299"/>
      <c r="ET35" s="299"/>
      <c r="EU35" s="299"/>
      <c r="EV35" s="299"/>
      <c r="EW35" s="299"/>
      <c r="EX35" s="299"/>
      <c r="EY35" s="299"/>
      <c r="EZ35" s="299"/>
      <c r="FA35" s="299"/>
      <c r="FB35" s="299"/>
      <c r="FC35" s="299"/>
      <c r="FD35" s="299"/>
      <c r="FE35" s="299"/>
      <c r="FF35" s="299"/>
      <c r="FG35" s="299"/>
      <c r="FH35" s="299"/>
      <c r="FI35" s="299"/>
      <c r="FJ35" s="299"/>
      <c r="FK35" s="299"/>
      <c r="FL35" s="299"/>
      <c r="FM35" s="299"/>
      <c r="FN35" s="299"/>
      <c r="FO35" s="299"/>
      <c r="FP35" s="299"/>
      <c r="FQ35" s="300" t="e">
        <f t="shared" ca="1" si="18"/>
        <v>#VALUE!</v>
      </c>
      <c r="FR35" s="300" t="e">
        <f t="shared" ca="1" si="31"/>
        <v>#VALUE!</v>
      </c>
      <c r="FS35" s="300" t="e">
        <f t="shared" ca="1" si="31"/>
        <v>#VALUE!</v>
      </c>
      <c r="FT35" s="300" t="e">
        <f t="shared" ca="1" si="31"/>
        <v>#VALUE!</v>
      </c>
      <c r="FU35" s="300" t="e">
        <f t="shared" ca="1" si="31"/>
        <v>#VALUE!</v>
      </c>
      <c r="FV35" s="300" t="e">
        <f t="shared" ca="1" si="31"/>
        <v>#VALUE!</v>
      </c>
      <c r="FW35" s="300" t="e">
        <f t="shared" ca="1" si="31"/>
        <v>#VALUE!</v>
      </c>
      <c r="FX35" s="300" t="e">
        <f t="shared" ca="1" si="31"/>
        <v>#VALUE!</v>
      </c>
      <c r="FY35" s="300" t="e">
        <f t="shared" ca="1" si="31"/>
        <v>#VALUE!</v>
      </c>
      <c r="FZ35" s="300" t="e">
        <f t="shared" ca="1" si="31"/>
        <v>#VALUE!</v>
      </c>
      <c r="GA35" s="301" t="e">
        <f t="shared" ca="1" si="31"/>
        <v>#VALUE!</v>
      </c>
      <c r="GB35" s="301" t="e">
        <f t="shared" ca="1" si="32"/>
        <v>#VALUE!</v>
      </c>
      <c r="GC35" s="301" t="e">
        <f t="shared" ca="1" si="32"/>
        <v>#VALUE!</v>
      </c>
      <c r="GD35" s="301" t="e">
        <f t="shared" ca="1" si="32"/>
        <v>#VALUE!</v>
      </c>
      <c r="GE35" s="301" t="e">
        <f t="shared" ca="1" si="32"/>
        <v>#VALUE!</v>
      </c>
      <c r="GF35" s="301" t="e">
        <f t="shared" ca="1" si="32"/>
        <v>#VALUE!</v>
      </c>
      <c r="GG35" s="301" t="e">
        <f t="shared" ca="1" si="32"/>
        <v>#VALUE!</v>
      </c>
      <c r="GH35" s="301" t="e">
        <f t="shared" ca="1" si="32"/>
        <v>#VALUE!</v>
      </c>
      <c r="GI35" s="301" t="e">
        <f t="shared" ca="1" si="32"/>
        <v>#VALUE!</v>
      </c>
      <c r="GJ35" s="301" t="e">
        <f t="shared" ca="1" si="32"/>
        <v>#VALUE!</v>
      </c>
      <c r="GK35" s="301" t="e">
        <f t="shared" ca="1" si="32"/>
        <v>#VALUE!</v>
      </c>
      <c r="GL35" s="301" t="e">
        <f t="shared" ca="1" si="32"/>
        <v>#VALUE!</v>
      </c>
      <c r="GM35" s="301" t="e">
        <f t="shared" ca="1" si="32"/>
        <v>#VALUE!</v>
      </c>
      <c r="GN35" s="302" t="e">
        <f t="shared" ca="1" si="32"/>
        <v>#VALUE!</v>
      </c>
      <c r="GO35" s="302" t="e">
        <f t="shared" ca="1" si="32"/>
        <v>#VALUE!</v>
      </c>
      <c r="GP35" s="301">
        <f t="shared" si="28"/>
        <v>0</v>
      </c>
      <c r="GQ35" s="301">
        <f t="shared" si="28"/>
        <v>0</v>
      </c>
      <c r="GR35" s="301">
        <f t="shared" si="28"/>
        <v>0</v>
      </c>
      <c r="GS35" s="301">
        <f t="shared" si="28"/>
        <v>0</v>
      </c>
      <c r="GT35" s="301">
        <f t="shared" si="28"/>
        <v>0</v>
      </c>
      <c r="GU35" s="303">
        <f t="shared" si="28"/>
        <v>0</v>
      </c>
      <c r="GV35" s="302">
        <f t="shared" si="28"/>
        <v>0</v>
      </c>
      <c r="GW35" s="302">
        <f t="shared" si="28"/>
        <v>0</v>
      </c>
      <c r="GX35" s="302">
        <f t="shared" si="28"/>
        <v>0</v>
      </c>
      <c r="GY35" s="302">
        <f t="shared" si="28"/>
        <v>0</v>
      </c>
      <c r="GZ35" s="302">
        <f t="shared" si="28"/>
        <v>0</v>
      </c>
      <c r="HA35" s="302">
        <f t="shared" si="28"/>
        <v>0</v>
      </c>
      <c r="HB35" s="302">
        <f t="shared" si="28"/>
        <v>0</v>
      </c>
      <c r="HC35" s="302">
        <f t="shared" si="28"/>
        <v>0</v>
      </c>
      <c r="HD35" s="302">
        <f t="shared" si="28"/>
        <v>0</v>
      </c>
      <c r="HE35" s="302">
        <f t="shared" si="28"/>
        <v>0</v>
      </c>
      <c r="HF35" s="304"/>
      <c r="HG35" s="305"/>
    </row>
    <row r="36" spans="1:215" s="306" customFormat="1" ht="15.75" customHeight="1">
      <c r="A36" s="307"/>
      <c r="B36" s="292" t="s">
        <v>85</v>
      </c>
      <c r="C36" s="292" t="s">
        <v>201</v>
      </c>
      <c r="D36" s="292" t="s">
        <v>201</v>
      </c>
      <c r="E36" s="308" t="s">
        <v>389</v>
      </c>
      <c r="F36" s="292" t="s">
        <v>186</v>
      </c>
      <c r="G36" s="292" t="s">
        <v>201</v>
      </c>
      <c r="H36" s="292" t="s">
        <v>390</v>
      </c>
      <c r="I36" s="292" t="s">
        <v>390</v>
      </c>
      <c r="J36" s="292" t="s">
        <v>186</v>
      </c>
      <c r="K36" s="292" t="s">
        <v>391</v>
      </c>
      <c r="L36" s="292" t="s">
        <v>390</v>
      </c>
      <c r="M36" s="292" t="s">
        <v>355</v>
      </c>
      <c r="N36" s="292" t="str">
        <f t="shared" ref="N36:N42" si="33">_xlfn.CONCAT(C36,"-",D36)</f>
        <v>TAX-TAX</v>
      </c>
      <c r="O36" s="292" t="str">
        <f t="shared" ref="O36:O42" si="34">_xlfn.CONCAT(Y36,"-",Z36,"-",F36,"-",X36)</f>
        <v>Tax Advisory-Managing Director-US-Tax</v>
      </c>
      <c r="P36" s="292" t="str">
        <f t="shared" ref="P36:P42" si="35">_xlfn.CONCAT(C36," - ",Y36)</f>
        <v>TAX - Tax Advisory</v>
      </c>
      <c r="Q36" s="293">
        <f t="shared" si="3"/>
        <v>108100</v>
      </c>
      <c r="R36" s="294">
        <f t="shared" si="4"/>
        <v>13800</v>
      </c>
      <c r="S36" s="295">
        <f t="shared" ref="S36:S42" si="36">SUM(GP36:HN36)</f>
        <v>0</v>
      </c>
      <c r="T36" s="295">
        <f t="shared" si="6"/>
        <v>188</v>
      </c>
      <c r="U36" s="296" t="str">
        <f t="shared" ref="U36:U42" si="37">_xlfn.CONCAT(Y36," - ",Z36)</f>
        <v>Tax Advisory - Managing Director</v>
      </c>
      <c r="V36" s="295" t="str">
        <f t="shared" ref="V36:V42" si="38">VLOOKUP(O36,$B$187:$H$848,4,0)</f>
        <v>12+ years</v>
      </c>
      <c r="W36" s="292" t="str">
        <f t="shared" ref="W36:W42" si="39">IF(F36="US", "Onshore",IF(F36="India","Offshore", "Nearshore"))</f>
        <v>Onshore</v>
      </c>
      <c r="X36" s="292" t="s">
        <v>263</v>
      </c>
      <c r="Y36" s="292" t="s">
        <v>392</v>
      </c>
      <c r="Z36" s="292" t="s">
        <v>357</v>
      </c>
      <c r="AA36" s="297">
        <f>[1]Resourcing!QD40</f>
        <v>43.160845070422504</v>
      </c>
      <c r="AB36" s="298">
        <f t="shared" ref="AB36:AB42" si="40">IFERROR(VLOOKUP(O36,$B$187:$S$848,6,FALSE()),"combination not found")</f>
        <v>575</v>
      </c>
      <c r="AC36" s="299"/>
      <c r="AD36" s="299"/>
      <c r="AE36" s="299"/>
      <c r="AF36" s="299"/>
      <c r="AG36" s="299"/>
      <c r="AH36" s="299"/>
      <c r="AI36" s="299"/>
      <c r="AJ36" s="299"/>
      <c r="AK36" s="299"/>
      <c r="AL36" s="299"/>
      <c r="AM36" s="299"/>
      <c r="AN36" s="299"/>
      <c r="AO36" s="299"/>
      <c r="AP36" s="299"/>
      <c r="AQ36" s="299"/>
      <c r="AR36" s="299"/>
      <c r="AS36" s="299"/>
      <c r="AT36" s="299"/>
      <c r="AU36" s="299"/>
      <c r="AV36" s="299"/>
      <c r="AW36" s="299"/>
      <c r="AX36" s="299"/>
      <c r="AY36" s="299"/>
      <c r="AZ36" s="299"/>
      <c r="BA36" s="299">
        <v>2</v>
      </c>
      <c r="BB36" s="299">
        <v>2</v>
      </c>
      <c r="BC36" s="299">
        <v>2</v>
      </c>
      <c r="BD36" s="299">
        <v>2</v>
      </c>
      <c r="BE36" s="299">
        <v>2</v>
      </c>
      <c r="BF36" s="299">
        <v>2</v>
      </c>
      <c r="BG36" s="299">
        <v>2</v>
      </c>
      <c r="BH36" s="299">
        <v>2</v>
      </c>
      <c r="BI36" s="299">
        <v>2</v>
      </c>
      <c r="BJ36" s="299">
        <v>2</v>
      </c>
      <c r="BK36" s="299">
        <v>2</v>
      </c>
      <c r="BL36" s="299">
        <v>2</v>
      </c>
      <c r="BM36" s="299">
        <v>2</v>
      </c>
      <c r="BN36" s="299">
        <v>2</v>
      </c>
      <c r="BO36" s="299">
        <v>2</v>
      </c>
      <c r="BP36" s="299">
        <v>2</v>
      </c>
      <c r="BQ36" s="299">
        <v>2</v>
      </c>
      <c r="BR36" s="299"/>
      <c r="BS36" s="299"/>
      <c r="BT36" s="299">
        <v>2</v>
      </c>
      <c r="BU36" s="299">
        <v>2</v>
      </c>
      <c r="BV36" s="299">
        <v>2</v>
      </c>
      <c r="BW36" s="299">
        <v>2</v>
      </c>
      <c r="BX36" s="299">
        <v>2</v>
      </c>
      <c r="BY36" s="299">
        <v>2</v>
      </c>
      <c r="BZ36" s="299">
        <v>2</v>
      </c>
      <c r="CA36" s="299">
        <v>2</v>
      </c>
      <c r="CB36" s="299">
        <v>2</v>
      </c>
      <c r="CC36" s="299">
        <v>2</v>
      </c>
      <c r="CD36" s="299">
        <v>2</v>
      </c>
      <c r="CE36" s="299">
        <v>2</v>
      </c>
      <c r="CF36" s="299">
        <v>2</v>
      </c>
      <c r="CG36" s="299">
        <v>2</v>
      </c>
      <c r="CH36" s="299">
        <v>2</v>
      </c>
      <c r="CI36" s="299">
        <v>2</v>
      </c>
      <c r="CJ36" s="299">
        <v>2</v>
      </c>
      <c r="CK36" s="299">
        <v>2</v>
      </c>
      <c r="CL36" s="299">
        <v>2</v>
      </c>
      <c r="CM36" s="299">
        <v>2</v>
      </c>
      <c r="CN36" s="299">
        <v>2</v>
      </c>
      <c r="CO36" s="299">
        <v>2</v>
      </c>
      <c r="CP36" s="299">
        <v>2</v>
      </c>
      <c r="CQ36" s="299">
        <v>2</v>
      </c>
      <c r="CR36" s="299">
        <v>2</v>
      </c>
      <c r="CS36" s="299">
        <v>2</v>
      </c>
      <c r="CT36" s="299">
        <v>2</v>
      </c>
      <c r="CU36" s="299">
        <v>2</v>
      </c>
      <c r="CV36" s="299">
        <v>2</v>
      </c>
      <c r="CW36" s="299">
        <v>2</v>
      </c>
      <c r="CX36" s="299">
        <v>2</v>
      </c>
      <c r="CY36" s="299">
        <v>2</v>
      </c>
      <c r="CZ36" s="299">
        <v>2</v>
      </c>
      <c r="DA36" s="299">
        <v>2</v>
      </c>
      <c r="DB36" s="299">
        <v>2</v>
      </c>
      <c r="DC36" s="299">
        <v>2</v>
      </c>
      <c r="DD36" s="299">
        <v>2</v>
      </c>
      <c r="DE36" s="299">
        <v>2</v>
      </c>
      <c r="DF36" s="299">
        <v>2</v>
      </c>
      <c r="DG36" s="299">
        <v>2</v>
      </c>
      <c r="DH36" s="299">
        <v>2</v>
      </c>
      <c r="DI36" s="299">
        <v>2</v>
      </c>
      <c r="DJ36" s="299">
        <v>2</v>
      </c>
      <c r="DK36" s="299">
        <v>2</v>
      </c>
      <c r="DL36" s="299">
        <v>2</v>
      </c>
      <c r="DM36" s="299">
        <v>2</v>
      </c>
      <c r="DN36" s="299">
        <v>2</v>
      </c>
      <c r="DO36" s="299">
        <v>2</v>
      </c>
      <c r="DP36" s="299">
        <v>2</v>
      </c>
      <c r="DQ36" s="299">
        <v>2</v>
      </c>
      <c r="DR36" s="299"/>
      <c r="DS36" s="299"/>
      <c r="DT36" s="299">
        <v>2</v>
      </c>
      <c r="DU36" s="299">
        <v>2</v>
      </c>
      <c r="DV36" s="299">
        <v>2</v>
      </c>
      <c r="DW36" s="299">
        <v>2</v>
      </c>
      <c r="DX36" s="299">
        <v>2</v>
      </c>
      <c r="DY36" s="299">
        <v>2</v>
      </c>
      <c r="DZ36" s="299">
        <v>2</v>
      </c>
      <c r="EA36" s="299">
        <v>2</v>
      </c>
      <c r="EB36" s="299">
        <v>2</v>
      </c>
      <c r="EC36" s="299">
        <v>2</v>
      </c>
      <c r="ED36" s="299">
        <v>2</v>
      </c>
      <c r="EE36" s="299">
        <v>2</v>
      </c>
      <c r="EF36" s="299">
        <v>2</v>
      </c>
      <c r="EG36" s="299">
        <v>2</v>
      </c>
      <c r="EH36" s="299">
        <v>2</v>
      </c>
      <c r="EI36" s="299">
        <v>2</v>
      </c>
      <c r="EJ36" s="299">
        <v>2</v>
      </c>
      <c r="EK36" s="299">
        <v>2</v>
      </c>
      <c r="EL36" s="299">
        <v>2</v>
      </c>
      <c r="EM36" s="299">
        <v>2</v>
      </c>
      <c r="EN36" s="299">
        <v>2</v>
      </c>
      <c r="EO36" s="299">
        <v>2.5</v>
      </c>
      <c r="EP36" s="299">
        <v>2.5</v>
      </c>
      <c r="EQ36" s="299">
        <v>2.5</v>
      </c>
      <c r="ER36" s="299">
        <v>2.5</v>
      </c>
      <c r="ES36" s="299">
        <v>1</v>
      </c>
      <c r="ET36" s="299">
        <v>1</v>
      </c>
      <c r="EU36" s="299"/>
      <c r="EV36" s="299"/>
      <c r="EW36" s="299"/>
      <c r="EX36" s="299"/>
      <c r="EY36" s="299"/>
      <c r="EZ36" s="299"/>
      <c r="FA36" s="299"/>
      <c r="FB36" s="299"/>
      <c r="FC36" s="299"/>
      <c r="FD36" s="299"/>
      <c r="FE36" s="299"/>
      <c r="FF36" s="299"/>
      <c r="FG36" s="299"/>
      <c r="FH36" s="299"/>
      <c r="FI36" s="299"/>
      <c r="FJ36" s="299"/>
      <c r="FK36" s="299"/>
      <c r="FL36" s="299"/>
      <c r="FM36" s="299"/>
      <c r="FN36" s="299"/>
      <c r="FO36" s="299"/>
      <c r="FP36" s="299"/>
      <c r="FQ36" s="300" t="e">
        <f t="shared" ca="1" si="18"/>
        <v>#VALUE!</v>
      </c>
      <c r="FR36" s="300" t="e">
        <f t="shared" ca="1" si="31"/>
        <v>#VALUE!</v>
      </c>
      <c r="FS36" s="300" t="e">
        <f t="shared" ca="1" si="31"/>
        <v>#VALUE!</v>
      </c>
      <c r="FT36" s="300" t="e">
        <f t="shared" ca="1" si="31"/>
        <v>#VALUE!</v>
      </c>
      <c r="FU36" s="300" t="e">
        <f t="shared" ca="1" si="31"/>
        <v>#VALUE!</v>
      </c>
      <c r="FV36" s="300" t="e">
        <f t="shared" ca="1" si="31"/>
        <v>#VALUE!</v>
      </c>
      <c r="FW36" s="300" t="e">
        <f t="shared" ca="1" si="31"/>
        <v>#VALUE!</v>
      </c>
      <c r="FX36" s="300" t="e">
        <f t="shared" ca="1" si="31"/>
        <v>#VALUE!</v>
      </c>
      <c r="FY36" s="300" t="e">
        <f t="shared" ca="1" si="31"/>
        <v>#VALUE!</v>
      </c>
      <c r="FZ36" s="300" t="e">
        <f t="shared" ca="1" si="31"/>
        <v>#VALUE!</v>
      </c>
      <c r="GA36" s="301" t="e">
        <f t="shared" ca="1" si="31"/>
        <v>#VALUE!</v>
      </c>
      <c r="GB36" s="301" t="e">
        <f t="shared" ca="1" si="32"/>
        <v>#VALUE!</v>
      </c>
      <c r="GC36" s="301" t="e">
        <f t="shared" ca="1" si="32"/>
        <v>#VALUE!</v>
      </c>
      <c r="GD36" s="301" t="e">
        <f t="shared" ca="1" si="32"/>
        <v>#VALUE!</v>
      </c>
      <c r="GE36" s="301" t="e">
        <f t="shared" ca="1" si="32"/>
        <v>#VALUE!</v>
      </c>
      <c r="GF36" s="301" t="e">
        <f t="shared" ca="1" si="32"/>
        <v>#VALUE!</v>
      </c>
      <c r="GG36" s="301" t="e">
        <f t="shared" ca="1" si="32"/>
        <v>#VALUE!</v>
      </c>
      <c r="GH36" s="301" t="e">
        <f t="shared" ca="1" si="32"/>
        <v>#VALUE!</v>
      </c>
      <c r="GI36" s="301" t="e">
        <f t="shared" ca="1" si="32"/>
        <v>#VALUE!</v>
      </c>
      <c r="GJ36" s="301" t="e">
        <f t="shared" ca="1" si="32"/>
        <v>#VALUE!</v>
      </c>
      <c r="GK36" s="301" t="e">
        <f t="shared" ca="1" si="32"/>
        <v>#VALUE!</v>
      </c>
      <c r="GL36" s="301" t="e">
        <f t="shared" ca="1" si="32"/>
        <v>#VALUE!</v>
      </c>
      <c r="GM36" s="301" t="e">
        <f t="shared" ca="1" si="32"/>
        <v>#VALUE!</v>
      </c>
      <c r="GN36" s="302" t="e">
        <f t="shared" ca="1" si="32"/>
        <v>#VALUE!</v>
      </c>
      <c r="GO36" s="302" t="e">
        <f t="shared" ca="1" si="32"/>
        <v>#VALUE!</v>
      </c>
      <c r="GP36" s="301"/>
      <c r="GQ36" s="301"/>
      <c r="GR36" s="301"/>
      <c r="GS36" s="301"/>
      <c r="GT36" s="301"/>
      <c r="GU36" s="303"/>
      <c r="GV36" s="302"/>
      <c r="GW36" s="302"/>
      <c r="GX36" s="302"/>
      <c r="GY36" s="302"/>
      <c r="GZ36" s="302"/>
      <c r="HA36" s="302"/>
      <c r="HB36" s="302"/>
      <c r="HC36" s="302"/>
      <c r="HD36" s="302"/>
      <c r="HE36" s="302"/>
      <c r="HF36" s="304"/>
      <c r="HG36" s="305"/>
    </row>
    <row r="37" spans="1:215" s="306" customFormat="1" ht="15.75" customHeight="1">
      <c r="A37" s="307"/>
      <c r="B37" s="292" t="s">
        <v>85</v>
      </c>
      <c r="C37" s="292" t="s">
        <v>201</v>
      </c>
      <c r="D37" s="292" t="s">
        <v>201</v>
      </c>
      <c r="E37" s="292" t="s">
        <v>393</v>
      </c>
      <c r="F37" s="292" t="s">
        <v>186</v>
      </c>
      <c r="G37" s="292" t="s">
        <v>201</v>
      </c>
      <c r="H37" s="292" t="s">
        <v>390</v>
      </c>
      <c r="I37" s="292" t="s">
        <v>390</v>
      </c>
      <c r="J37" s="292" t="s">
        <v>186</v>
      </c>
      <c r="K37" s="292" t="s">
        <v>391</v>
      </c>
      <c r="L37" s="292" t="s">
        <v>390</v>
      </c>
      <c r="M37" s="292" t="s">
        <v>360</v>
      </c>
      <c r="N37" s="292" t="str">
        <f t="shared" si="33"/>
        <v>TAX-TAX</v>
      </c>
      <c r="O37" s="292" t="str">
        <f t="shared" si="34"/>
        <v>Tax Advisory-Senior Manager-US-Tax</v>
      </c>
      <c r="P37" s="292" t="str">
        <f t="shared" si="35"/>
        <v>TAX - Tax Advisory</v>
      </c>
      <c r="Q37" s="293">
        <f t="shared" si="3"/>
        <v>920000</v>
      </c>
      <c r="R37" s="294">
        <f t="shared" si="4"/>
        <v>120000</v>
      </c>
      <c r="S37" s="295">
        <f t="shared" si="36"/>
        <v>580</v>
      </c>
      <c r="T37" s="295">
        <f t="shared" si="6"/>
        <v>1840</v>
      </c>
      <c r="U37" s="296" t="str">
        <f t="shared" si="37"/>
        <v>Tax Advisory - Senior Manager</v>
      </c>
      <c r="V37" s="295" t="str">
        <f t="shared" si="38"/>
        <v>9-12 years</v>
      </c>
      <c r="W37" s="292" t="str">
        <f t="shared" si="39"/>
        <v>Onshore</v>
      </c>
      <c r="X37" s="292" t="s">
        <v>263</v>
      </c>
      <c r="Y37" s="292" t="s">
        <v>392</v>
      </c>
      <c r="Z37" s="292" t="s">
        <v>361</v>
      </c>
      <c r="AA37" s="297">
        <f>[1]Resourcing!QD41</f>
        <v>42.987164179104496</v>
      </c>
      <c r="AB37" s="298">
        <f t="shared" si="40"/>
        <v>500</v>
      </c>
      <c r="AC37" s="299"/>
      <c r="AD37" s="299"/>
      <c r="AE37" s="299"/>
      <c r="AF37" s="299"/>
      <c r="AG37" s="299"/>
      <c r="AH37" s="299"/>
      <c r="AI37" s="299"/>
      <c r="AJ37" s="299"/>
      <c r="AK37" s="299"/>
      <c r="AL37" s="299"/>
      <c r="AM37" s="299"/>
      <c r="AN37" s="299"/>
      <c r="AO37" s="299"/>
      <c r="AP37" s="299"/>
      <c r="AQ37" s="299"/>
      <c r="AR37" s="299"/>
      <c r="AS37" s="299"/>
      <c r="AT37" s="299"/>
      <c r="AU37" s="299"/>
      <c r="AV37" s="299"/>
      <c r="AW37" s="299"/>
      <c r="AX37" s="299"/>
      <c r="AY37" s="299"/>
      <c r="AZ37" s="299"/>
      <c r="BA37" s="299"/>
      <c r="BB37" s="299"/>
      <c r="BC37" s="299">
        <v>20</v>
      </c>
      <c r="BD37" s="299">
        <v>20</v>
      </c>
      <c r="BE37" s="299">
        <v>20</v>
      </c>
      <c r="BF37" s="299">
        <v>20</v>
      </c>
      <c r="BG37" s="299">
        <v>20</v>
      </c>
      <c r="BH37" s="299">
        <v>20</v>
      </c>
      <c r="BI37" s="299">
        <v>20</v>
      </c>
      <c r="BJ37" s="299">
        <v>20</v>
      </c>
      <c r="BK37" s="299">
        <v>20</v>
      </c>
      <c r="BL37" s="299">
        <v>20</v>
      </c>
      <c r="BM37" s="299">
        <v>20</v>
      </c>
      <c r="BN37" s="299">
        <v>20</v>
      </c>
      <c r="BO37" s="299">
        <v>20</v>
      </c>
      <c r="BP37" s="299">
        <v>20</v>
      </c>
      <c r="BQ37" s="299">
        <v>20</v>
      </c>
      <c r="BR37" s="299"/>
      <c r="BS37" s="299"/>
      <c r="BT37" s="299">
        <v>20</v>
      </c>
      <c r="BU37" s="299">
        <v>20</v>
      </c>
      <c r="BV37" s="299">
        <v>20</v>
      </c>
      <c r="BW37" s="299">
        <v>20</v>
      </c>
      <c r="BX37" s="299">
        <v>20</v>
      </c>
      <c r="BY37" s="299">
        <v>20</v>
      </c>
      <c r="BZ37" s="299">
        <v>20</v>
      </c>
      <c r="CA37" s="299">
        <v>20</v>
      </c>
      <c r="CB37" s="299">
        <v>20</v>
      </c>
      <c r="CC37" s="299">
        <v>20</v>
      </c>
      <c r="CD37" s="299">
        <v>20</v>
      </c>
      <c r="CE37" s="299">
        <v>20</v>
      </c>
      <c r="CF37" s="299">
        <v>20</v>
      </c>
      <c r="CG37" s="299">
        <v>20</v>
      </c>
      <c r="CH37" s="299">
        <v>20</v>
      </c>
      <c r="CI37" s="299">
        <v>20</v>
      </c>
      <c r="CJ37" s="299">
        <v>20</v>
      </c>
      <c r="CK37" s="299">
        <v>20</v>
      </c>
      <c r="CL37" s="299">
        <v>20</v>
      </c>
      <c r="CM37" s="299">
        <v>20</v>
      </c>
      <c r="CN37" s="299">
        <v>20</v>
      </c>
      <c r="CO37" s="299">
        <v>20</v>
      </c>
      <c r="CP37" s="299">
        <v>20</v>
      </c>
      <c r="CQ37" s="299">
        <v>20</v>
      </c>
      <c r="CR37" s="299">
        <v>20</v>
      </c>
      <c r="CS37" s="299">
        <v>20</v>
      </c>
      <c r="CT37" s="299">
        <v>20</v>
      </c>
      <c r="CU37" s="299">
        <v>20</v>
      </c>
      <c r="CV37" s="299">
        <v>20</v>
      </c>
      <c r="CW37" s="299">
        <v>20</v>
      </c>
      <c r="CX37" s="299">
        <v>20</v>
      </c>
      <c r="CY37" s="299">
        <v>20</v>
      </c>
      <c r="CZ37" s="299">
        <v>20</v>
      </c>
      <c r="DA37" s="299">
        <v>20</v>
      </c>
      <c r="DB37" s="299">
        <v>20</v>
      </c>
      <c r="DC37" s="299">
        <v>20</v>
      </c>
      <c r="DD37" s="299">
        <v>20</v>
      </c>
      <c r="DE37" s="299">
        <v>20</v>
      </c>
      <c r="DF37" s="299">
        <v>20</v>
      </c>
      <c r="DG37" s="299">
        <v>20</v>
      </c>
      <c r="DH37" s="299">
        <v>20</v>
      </c>
      <c r="DI37" s="299">
        <v>20</v>
      </c>
      <c r="DJ37" s="299">
        <v>20</v>
      </c>
      <c r="DK37" s="299">
        <v>20</v>
      </c>
      <c r="DL37" s="299">
        <v>20</v>
      </c>
      <c r="DM37" s="299">
        <v>20</v>
      </c>
      <c r="DN37" s="299">
        <v>20</v>
      </c>
      <c r="DO37" s="299">
        <v>20</v>
      </c>
      <c r="DP37" s="299">
        <v>20</v>
      </c>
      <c r="DQ37" s="299">
        <v>20</v>
      </c>
      <c r="DR37" s="299"/>
      <c r="DS37" s="299"/>
      <c r="DT37" s="299">
        <v>20</v>
      </c>
      <c r="DU37" s="299">
        <v>20</v>
      </c>
      <c r="DV37" s="299">
        <v>20</v>
      </c>
      <c r="DW37" s="299">
        <v>20</v>
      </c>
      <c r="DX37" s="299">
        <v>20</v>
      </c>
      <c r="DY37" s="299">
        <v>20</v>
      </c>
      <c r="DZ37" s="299">
        <v>20</v>
      </c>
      <c r="EA37" s="299">
        <v>20</v>
      </c>
      <c r="EB37" s="299">
        <v>20</v>
      </c>
      <c r="EC37" s="299">
        <v>20</v>
      </c>
      <c r="ED37" s="299">
        <v>20</v>
      </c>
      <c r="EE37" s="299">
        <v>20</v>
      </c>
      <c r="EF37" s="299">
        <v>20</v>
      </c>
      <c r="EG37" s="299">
        <v>20</v>
      </c>
      <c r="EH37" s="299">
        <v>20</v>
      </c>
      <c r="EI37" s="299">
        <v>20</v>
      </c>
      <c r="EJ37" s="299">
        <v>20</v>
      </c>
      <c r="EK37" s="299">
        <v>20</v>
      </c>
      <c r="EL37" s="299">
        <v>20</v>
      </c>
      <c r="EM37" s="299">
        <v>20</v>
      </c>
      <c r="EN37" s="299">
        <v>20</v>
      </c>
      <c r="EO37" s="299">
        <v>20</v>
      </c>
      <c r="EP37" s="299">
        <v>20</v>
      </c>
      <c r="EQ37" s="299">
        <v>20</v>
      </c>
      <c r="ER37" s="299">
        <v>20</v>
      </c>
      <c r="ES37" s="299">
        <v>20</v>
      </c>
      <c r="ET37" s="299">
        <v>20</v>
      </c>
      <c r="EU37" s="299"/>
      <c r="EV37" s="299"/>
      <c r="EW37" s="299"/>
      <c r="EX37" s="299"/>
      <c r="EY37" s="299"/>
      <c r="EZ37" s="299"/>
      <c r="FA37" s="299"/>
      <c r="FB37" s="299"/>
      <c r="FC37" s="299"/>
      <c r="FD37" s="299"/>
      <c r="FE37" s="299"/>
      <c r="FF37" s="299"/>
      <c r="FG37" s="299"/>
      <c r="FH37" s="299"/>
      <c r="FI37" s="299"/>
      <c r="FJ37" s="299"/>
      <c r="FK37" s="299"/>
      <c r="FL37" s="299"/>
      <c r="FM37" s="299"/>
      <c r="FN37" s="299"/>
      <c r="FO37" s="299"/>
      <c r="FP37" s="299"/>
      <c r="FQ37" s="300" t="e">
        <f t="shared" ca="1" si="18"/>
        <v>#VALUE!</v>
      </c>
      <c r="FR37" s="300" t="e">
        <f t="shared" ca="1" si="31"/>
        <v>#VALUE!</v>
      </c>
      <c r="FS37" s="300" t="e">
        <f t="shared" ca="1" si="31"/>
        <v>#VALUE!</v>
      </c>
      <c r="FT37" s="300" t="e">
        <f t="shared" ca="1" si="31"/>
        <v>#VALUE!</v>
      </c>
      <c r="FU37" s="300" t="e">
        <f t="shared" ca="1" si="31"/>
        <v>#VALUE!</v>
      </c>
      <c r="FV37" s="300" t="e">
        <f t="shared" ca="1" si="31"/>
        <v>#VALUE!</v>
      </c>
      <c r="FW37" s="300" t="e">
        <f t="shared" ca="1" si="31"/>
        <v>#VALUE!</v>
      </c>
      <c r="FX37" s="300" t="e">
        <f t="shared" ca="1" si="31"/>
        <v>#VALUE!</v>
      </c>
      <c r="FY37" s="300" t="e">
        <f t="shared" ca="1" si="31"/>
        <v>#VALUE!</v>
      </c>
      <c r="FZ37" s="300" t="e">
        <f t="shared" ca="1" si="31"/>
        <v>#VALUE!</v>
      </c>
      <c r="GA37" s="301" t="e">
        <f t="shared" ca="1" si="31"/>
        <v>#VALUE!</v>
      </c>
      <c r="GB37" s="301" t="e">
        <f t="shared" ca="1" si="32"/>
        <v>#VALUE!</v>
      </c>
      <c r="GC37" s="301" t="e">
        <f t="shared" ca="1" si="32"/>
        <v>#VALUE!</v>
      </c>
      <c r="GD37" s="301" t="e">
        <f t="shared" ca="1" si="32"/>
        <v>#VALUE!</v>
      </c>
      <c r="GE37" s="301" t="e">
        <f t="shared" ca="1" si="32"/>
        <v>#VALUE!</v>
      </c>
      <c r="GF37" s="301" t="e">
        <f t="shared" ca="1" si="32"/>
        <v>#VALUE!</v>
      </c>
      <c r="GG37" s="301" t="e">
        <f t="shared" ca="1" si="32"/>
        <v>#VALUE!</v>
      </c>
      <c r="GH37" s="301" t="e">
        <f t="shared" ca="1" si="32"/>
        <v>#VALUE!</v>
      </c>
      <c r="GI37" s="301" t="e">
        <f t="shared" ca="1" si="32"/>
        <v>#VALUE!</v>
      </c>
      <c r="GJ37" s="301" t="e">
        <f t="shared" ca="1" si="32"/>
        <v>#VALUE!</v>
      </c>
      <c r="GK37" s="301" t="e">
        <f t="shared" ca="1" si="32"/>
        <v>#VALUE!</v>
      </c>
      <c r="GL37" s="301" t="e">
        <f t="shared" ca="1" si="32"/>
        <v>#VALUE!</v>
      </c>
      <c r="GM37" s="301" t="e">
        <f t="shared" ca="1" si="32"/>
        <v>#VALUE!</v>
      </c>
      <c r="GN37" s="302" t="e">
        <f t="shared" ca="1" si="32"/>
        <v>#VALUE!</v>
      </c>
      <c r="GO37" s="302" t="e">
        <f t="shared" ca="1" si="32"/>
        <v>#VALUE!</v>
      </c>
      <c r="GP37" s="301">
        <f t="shared" ref="GP37:HE43" si="41">SUMIF($AB$8:$FO$8,GP$9,$AB37:$FO37)</f>
        <v>40</v>
      </c>
      <c r="GQ37" s="301">
        <f t="shared" si="41"/>
        <v>80</v>
      </c>
      <c r="GR37" s="301">
        <f t="shared" si="41"/>
        <v>80</v>
      </c>
      <c r="GS37" s="301">
        <f t="shared" si="41"/>
        <v>80</v>
      </c>
      <c r="GT37" s="301">
        <f t="shared" si="41"/>
        <v>80</v>
      </c>
      <c r="GU37" s="303">
        <f t="shared" si="41"/>
        <v>80</v>
      </c>
      <c r="GV37" s="302">
        <f t="shared" si="41"/>
        <v>80</v>
      </c>
      <c r="GW37" s="302">
        <f t="shared" si="41"/>
        <v>60</v>
      </c>
      <c r="GX37" s="302">
        <f t="shared" si="41"/>
        <v>0</v>
      </c>
      <c r="GY37" s="302">
        <f t="shared" si="41"/>
        <v>0</v>
      </c>
      <c r="GZ37" s="302">
        <f t="shared" si="41"/>
        <v>0</v>
      </c>
      <c r="HA37" s="302">
        <f t="shared" si="41"/>
        <v>0</v>
      </c>
      <c r="HB37" s="302">
        <f t="shared" si="41"/>
        <v>0</v>
      </c>
      <c r="HC37" s="302">
        <f t="shared" si="41"/>
        <v>0</v>
      </c>
      <c r="HD37" s="302">
        <f t="shared" si="41"/>
        <v>0</v>
      </c>
      <c r="HE37" s="302">
        <f t="shared" si="41"/>
        <v>0</v>
      </c>
      <c r="HF37" s="304"/>
      <c r="HG37" s="305"/>
    </row>
    <row r="38" spans="1:215" s="306" customFormat="1" ht="15.75" customHeight="1">
      <c r="A38" s="307"/>
      <c r="B38" s="292" t="s">
        <v>85</v>
      </c>
      <c r="C38" s="292" t="s">
        <v>201</v>
      </c>
      <c r="D38" s="292" t="s">
        <v>201</v>
      </c>
      <c r="E38" s="292" t="s">
        <v>394</v>
      </c>
      <c r="F38" s="292" t="s">
        <v>184</v>
      </c>
      <c r="G38" s="292" t="s">
        <v>201</v>
      </c>
      <c r="H38" s="292" t="s">
        <v>390</v>
      </c>
      <c r="I38" s="292" t="s">
        <v>390</v>
      </c>
      <c r="J38" s="292" t="s">
        <v>184</v>
      </c>
      <c r="K38" s="292" t="s">
        <v>391</v>
      </c>
      <c r="L38" s="292" t="s">
        <v>390</v>
      </c>
      <c r="M38" s="292" t="s">
        <v>371</v>
      </c>
      <c r="N38" s="292" t="str">
        <f t="shared" si="33"/>
        <v>TAX-TAX</v>
      </c>
      <c r="O38" s="292" t="str">
        <f t="shared" si="34"/>
        <v>Tax Advisory-Manager-India-Tax</v>
      </c>
      <c r="P38" s="292" t="str">
        <f t="shared" si="35"/>
        <v>TAX - Tax Advisory</v>
      </c>
      <c r="Q38" s="293">
        <f t="shared" si="3"/>
        <v>785040</v>
      </c>
      <c r="R38" s="294">
        <f t="shared" si="4"/>
        <v>10800</v>
      </c>
      <c r="S38" s="295">
        <f t="shared" si="36"/>
        <v>931</v>
      </c>
      <c r="T38" s="295">
        <f t="shared" si="6"/>
        <v>3271</v>
      </c>
      <c r="U38" s="296" t="str">
        <f t="shared" si="37"/>
        <v>Tax Advisory - Manager</v>
      </c>
      <c r="V38" s="295" t="str">
        <f t="shared" si="38"/>
        <v>6-9 years</v>
      </c>
      <c r="W38" s="292" t="str">
        <f t="shared" si="39"/>
        <v>Offshore</v>
      </c>
      <c r="X38" s="292" t="s">
        <v>263</v>
      </c>
      <c r="Y38" s="292" t="s">
        <v>392</v>
      </c>
      <c r="Z38" s="292" t="s">
        <v>376</v>
      </c>
      <c r="AA38" s="297">
        <f>[1]Resourcing!QD42</f>
        <v>0</v>
      </c>
      <c r="AB38" s="298">
        <f t="shared" si="40"/>
        <v>240</v>
      </c>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299"/>
      <c r="BD38" s="299"/>
      <c r="BE38" s="299"/>
      <c r="BF38" s="299"/>
      <c r="BG38" s="299"/>
      <c r="BH38" s="299"/>
      <c r="BI38" s="299"/>
      <c r="BJ38" s="299"/>
      <c r="BK38" s="299"/>
      <c r="BL38" s="299"/>
      <c r="BM38" s="299"/>
      <c r="BN38" s="299">
        <v>45</v>
      </c>
      <c r="BO38" s="299">
        <v>45</v>
      </c>
      <c r="BP38" s="299">
        <v>45</v>
      </c>
      <c r="BQ38" s="299">
        <v>45</v>
      </c>
      <c r="BR38" s="299"/>
      <c r="BS38" s="299"/>
      <c r="BT38" s="299">
        <v>45</v>
      </c>
      <c r="BU38" s="299">
        <v>45</v>
      </c>
      <c r="BV38" s="299">
        <v>45</v>
      </c>
      <c r="BW38" s="299">
        <v>45</v>
      </c>
      <c r="BX38" s="299">
        <v>45</v>
      </c>
      <c r="BY38" s="299">
        <v>45</v>
      </c>
      <c r="BZ38" s="299">
        <v>45</v>
      </c>
      <c r="CA38" s="299">
        <v>45</v>
      </c>
      <c r="CB38" s="299">
        <v>45</v>
      </c>
      <c r="CC38" s="299">
        <v>45</v>
      </c>
      <c r="CD38" s="299">
        <v>45</v>
      </c>
      <c r="CE38" s="299">
        <v>45</v>
      </c>
      <c r="CF38" s="299">
        <v>45</v>
      </c>
      <c r="CG38" s="299">
        <v>45</v>
      </c>
      <c r="CH38" s="299">
        <v>45</v>
      </c>
      <c r="CI38" s="299">
        <v>45</v>
      </c>
      <c r="CJ38" s="299">
        <v>45</v>
      </c>
      <c r="CK38" s="299">
        <v>45</v>
      </c>
      <c r="CL38" s="299">
        <v>45</v>
      </c>
      <c r="CM38" s="299">
        <v>45</v>
      </c>
      <c r="CN38" s="299">
        <v>45</v>
      </c>
      <c r="CO38" s="299">
        <v>45</v>
      </c>
      <c r="CP38" s="299">
        <v>45</v>
      </c>
      <c r="CQ38" s="299">
        <v>45</v>
      </c>
      <c r="CR38" s="299">
        <v>45</v>
      </c>
      <c r="CS38" s="299">
        <v>45</v>
      </c>
      <c r="CT38" s="299">
        <v>45</v>
      </c>
      <c r="CU38" s="299">
        <v>45</v>
      </c>
      <c r="CV38" s="299">
        <v>45</v>
      </c>
      <c r="CW38" s="299">
        <v>45</v>
      </c>
      <c r="CX38" s="299">
        <v>45</v>
      </c>
      <c r="CY38" s="299">
        <v>45</v>
      </c>
      <c r="CZ38" s="299">
        <v>45</v>
      </c>
      <c r="DA38" s="299">
        <v>45</v>
      </c>
      <c r="DB38" s="299">
        <v>45</v>
      </c>
      <c r="DC38" s="299">
        <v>45</v>
      </c>
      <c r="DD38" s="299">
        <v>45</v>
      </c>
      <c r="DE38" s="299">
        <v>45</v>
      </c>
      <c r="DF38" s="299">
        <v>45</v>
      </c>
      <c r="DG38" s="299">
        <v>45</v>
      </c>
      <c r="DH38" s="299">
        <v>45</v>
      </c>
      <c r="DI38" s="299">
        <v>45</v>
      </c>
      <c r="DJ38" s="299">
        <v>45</v>
      </c>
      <c r="DK38" s="299">
        <v>45</v>
      </c>
      <c r="DL38" s="299">
        <v>45</v>
      </c>
      <c r="DM38" s="299">
        <v>45</v>
      </c>
      <c r="DN38" s="299">
        <v>45</v>
      </c>
      <c r="DO38" s="299">
        <v>45</v>
      </c>
      <c r="DP38" s="299">
        <v>45</v>
      </c>
      <c r="DQ38" s="299">
        <v>45</v>
      </c>
      <c r="DR38" s="299"/>
      <c r="DS38" s="299"/>
      <c r="DT38" s="299">
        <v>45</v>
      </c>
      <c r="DU38" s="299">
        <v>45</v>
      </c>
      <c r="DV38" s="299">
        <v>45</v>
      </c>
      <c r="DW38" s="299">
        <v>45</v>
      </c>
      <c r="DX38" s="299">
        <v>45</v>
      </c>
      <c r="DY38" s="299">
        <v>45</v>
      </c>
      <c r="DZ38" s="299">
        <v>45</v>
      </c>
      <c r="EA38" s="299">
        <v>45</v>
      </c>
      <c r="EB38" s="299">
        <v>45</v>
      </c>
      <c r="EC38" s="299">
        <v>45</v>
      </c>
      <c r="ED38" s="299">
        <v>23</v>
      </c>
      <c r="EE38" s="299">
        <v>23</v>
      </c>
      <c r="EF38" s="299">
        <v>23</v>
      </c>
      <c r="EG38" s="299">
        <v>23</v>
      </c>
      <c r="EH38" s="299">
        <v>23</v>
      </c>
      <c r="EI38" s="299">
        <v>23</v>
      </c>
      <c r="EJ38" s="299">
        <v>23</v>
      </c>
      <c r="EK38" s="299">
        <v>23</v>
      </c>
      <c r="EL38" s="299">
        <v>23</v>
      </c>
      <c r="EM38" s="299">
        <v>23</v>
      </c>
      <c r="EN38" s="299">
        <v>23</v>
      </c>
      <c r="EO38" s="299">
        <v>23</v>
      </c>
      <c r="EP38" s="299">
        <v>23</v>
      </c>
      <c r="EQ38" s="299">
        <v>23</v>
      </c>
      <c r="ER38" s="299">
        <v>23</v>
      </c>
      <c r="ES38" s="299">
        <v>23</v>
      </c>
      <c r="ET38" s="299">
        <v>23</v>
      </c>
      <c r="EU38" s="299"/>
      <c r="EV38" s="299"/>
      <c r="EW38" s="299"/>
      <c r="EX38" s="299"/>
      <c r="EY38" s="299"/>
      <c r="EZ38" s="299"/>
      <c r="FA38" s="299"/>
      <c r="FB38" s="299"/>
      <c r="FC38" s="299"/>
      <c r="FD38" s="299"/>
      <c r="FE38" s="299"/>
      <c r="FF38" s="299"/>
      <c r="FG38" s="299"/>
      <c r="FH38" s="299"/>
      <c r="FI38" s="299"/>
      <c r="FJ38" s="299"/>
      <c r="FK38" s="299"/>
      <c r="FL38" s="299"/>
      <c r="FM38" s="299"/>
      <c r="FN38" s="299"/>
      <c r="FO38" s="299"/>
      <c r="FP38" s="299"/>
      <c r="FQ38" s="300" t="e">
        <f t="shared" ca="1" si="18"/>
        <v>#VALUE!</v>
      </c>
      <c r="FR38" s="300" t="e">
        <f t="shared" ca="1" si="31"/>
        <v>#VALUE!</v>
      </c>
      <c r="FS38" s="300" t="e">
        <f t="shared" ca="1" si="31"/>
        <v>#VALUE!</v>
      </c>
      <c r="FT38" s="300" t="e">
        <f t="shared" ca="1" si="31"/>
        <v>#VALUE!</v>
      </c>
      <c r="FU38" s="300" t="e">
        <f t="shared" ca="1" si="31"/>
        <v>#VALUE!</v>
      </c>
      <c r="FV38" s="300" t="e">
        <f t="shared" ca="1" si="31"/>
        <v>#VALUE!</v>
      </c>
      <c r="FW38" s="300" t="e">
        <f t="shared" ca="1" si="31"/>
        <v>#VALUE!</v>
      </c>
      <c r="FX38" s="300" t="e">
        <f t="shared" ca="1" si="31"/>
        <v>#VALUE!</v>
      </c>
      <c r="FY38" s="300" t="e">
        <f t="shared" ca="1" si="31"/>
        <v>#VALUE!</v>
      </c>
      <c r="FZ38" s="300" t="e">
        <f t="shared" ca="1" si="31"/>
        <v>#VALUE!</v>
      </c>
      <c r="GA38" s="301" t="e">
        <f t="shared" ca="1" si="31"/>
        <v>#VALUE!</v>
      </c>
      <c r="GB38" s="301" t="e">
        <f t="shared" ca="1" si="32"/>
        <v>#VALUE!</v>
      </c>
      <c r="GC38" s="301" t="e">
        <f t="shared" ca="1" si="32"/>
        <v>#VALUE!</v>
      </c>
      <c r="GD38" s="301" t="e">
        <f t="shared" ca="1" si="32"/>
        <v>#VALUE!</v>
      </c>
      <c r="GE38" s="301" t="e">
        <f t="shared" ca="1" si="32"/>
        <v>#VALUE!</v>
      </c>
      <c r="GF38" s="301" t="e">
        <f t="shared" ca="1" si="32"/>
        <v>#VALUE!</v>
      </c>
      <c r="GG38" s="301" t="e">
        <f t="shared" ca="1" si="32"/>
        <v>#VALUE!</v>
      </c>
      <c r="GH38" s="301" t="e">
        <f t="shared" ca="1" si="32"/>
        <v>#VALUE!</v>
      </c>
      <c r="GI38" s="301" t="e">
        <f t="shared" ca="1" si="32"/>
        <v>#VALUE!</v>
      </c>
      <c r="GJ38" s="301" t="e">
        <f t="shared" ca="1" si="32"/>
        <v>#VALUE!</v>
      </c>
      <c r="GK38" s="301" t="e">
        <f t="shared" ca="1" si="32"/>
        <v>#VALUE!</v>
      </c>
      <c r="GL38" s="301" t="e">
        <f t="shared" ca="1" si="32"/>
        <v>#VALUE!</v>
      </c>
      <c r="GM38" s="301" t="e">
        <f t="shared" ca="1" si="32"/>
        <v>#VALUE!</v>
      </c>
      <c r="GN38" s="302" t="e">
        <f t="shared" ca="1" si="32"/>
        <v>#VALUE!</v>
      </c>
      <c r="GO38" s="302" t="e">
        <f t="shared" ca="1" si="32"/>
        <v>#VALUE!</v>
      </c>
      <c r="GP38" s="301">
        <f t="shared" si="41"/>
        <v>90</v>
      </c>
      <c r="GQ38" s="301">
        <f t="shared" si="41"/>
        <v>180</v>
      </c>
      <c r="GR38" s="301">
        <f t="shared" si="41"/>
        <v>180</v>
      </c>
      <c r="GS38" s="301">
        <f t="shared" si="41"/>
        <v>136</v>
      </c>
      <c r="GT38" s="301">
        <f t="shared" si="41"/>
        <v>92</v>
      </c>
      <c r="GU38" s="303">
        <f t="shared" si="41"/>
        <v>92</v>
      </c>
      <c r="GV38" s="302">
        <f t="shared" si="41"/>
        <v>92</v>
      </c>
      <c r="GW38" s="302">
        <f t="shared" si="41"/>
        <v>69</v>
      </c>
      <c r="GX38" s="302">
        <f t="shared" si="41"/>
        <v>0</v>
      </c>
      <c r="GY38" s="302">
        <f t="shared" si="41"/>
        <v>0</v>
      </c>
      <c r="GZ38" s="302">
        <f t="shared" si="41"/>
        <v>0</v>
      </c>
      <c r="HA38" s="302">
        <f t="shared" si="41"/>
        <v>0</v>
      </c>
      <c r="HB38" s="302">
        <f t="shared" si="41"/>
        <v>0</v>
      </c>
      <c r="HC38" s="302">
        <f t="shared" si="41"/>
        <v>0</v>
      </c>
      <c r="HD38" s="302">
        <f t="shared" si="41"/>
        <v>0</v>
      </c>
      <c r="HE38" s="302">
        <f t="shared" si="41"/>
        <v>0</v>
      </c>
      <c r="HF38" s="304"/>
      <c r="HG38" s="305"/>
    </row>
    <row r="39" spans="1:215" s="306" customFormat="1" ht="15.75" customHeight="1">
      <c r="A39" s="307"/>
      <c r="B39" s="292" t="s">
        <v>85</v>
      </c>
      <c r="C39" s="292" t="s">
        <v>201</v>
      </c>
      <c r="D39" s="292" t="s">
        <v>201</v>
      </c>
      <c r="E39" s="292" t="s">
        <v>395</v>
      </c>
      <c r="F39" s="292" t="s">
        <v>184</v>
      </c>
      <c r="G39" s="292" t="s">
        <v>201</v>
      </c>
      <c r="H39" s="292" t="s">
        <v>390</v>
      </c>
      <c r="I39" s="292" t="s">
        <v>390</v>
      </c>
      <c r="J39" s="292" t="s">
        <v>184</v>
      </c>
      <c r="K39" s="292" t="s">
        <v>391</v>
      </c>
      <c r="L39" s="292" t="s">
        <v>396</v>
      </c>
      <c r="M39" s="292" t="s">
        <v>397</v>
      </c>
      <c r="N39" s="292" t="str">
        <f t="shared" si="33"/>
        <v>TAX-TAX</v>
      </c>
      <c r="O39" s="292" t="str">
        <f t="shared" si="34"/>
        <v>Tax Advisory-Senior Consultant-India-Tax</v>
      </c>
      <c r="P39" s="292" t="str">
        <f t="shared" si="35"/>
        <v>TAX - Tax Advisory</v>
      </c>
      <c r="Q39" s="293">
        <f t="shared" si="3"/>
        <v>530280</v>
      </c>
      <c r="R39" s="294">
        <f t="shared" si="4"/>
        <v>3600</v>
      </c>
      <c r="S39" s="295">
        <f t="shared" si="36"/>
        <v>931</v>
      </c>
      <c r="T39" s="295">
        <f t="shared" si="6"/>
        <v>2946</v>
      </c>
      <c r="U39" s="296" t="str">
        <f t="shared" si="37"/>
        <v>Tax Advisory - Senior Consultant</v>
      </c>
      <c r="V39" s="295" t="str">
        <f t="shared" si="38"/>
        <v>3-6 years</v>
      </c>
      <c r="W39" s="292" t="str">
        <f t="shared" si="39"/>
        <v>Offshore</v>
      </c>
      <c r="X39" s="292" t="s">
        <v>263</v>
      </c>
      <c r="Y39" s="292" t="s">
        <v>392</v>
      </c>
      <c r="Z39" s="292" t="s">
        <v>364</v>
      </c>
      <c r="AA39" s="297">
        <f>[1]Resourcing!QD43</f>
        <v>358.68297872340401</v>
      </c>
      <c r="AB39" s="298">
        <f t="shared" si="40"/>
        <v>180</v>
      </c>
      <c r="AC39" s="299"/>
      <c r="AD39" s="299"/>
      <c r="AE39" s="299"/>
      <c r="AF39" s="299"/>
      <c r="AG39" s="299"/>
      <c r="AH39" s="299"/>
      <c r="AI39" s="299"/>
      <c r="AJ39" s="299"/>
      <c r="AK39" s="299"/>
      <c r="AL39" s="299"/>
      <c r="AM39" s="299"/>
      <c r="AN39" s="299"/>
      <c r="AO39" s="299"/>
      <c r="AP39" s="299"/>
      <c r="AQ39" s="299"/>
      <c r="AR39" s="299"/>
      <c r="AS39" s="299"/>
      <c r="AT39" s="299"/>
      <c r="AU39" s="299"/>
      <c r="AV39" s="299"/>
      <c r="AW39" s="299"/>
      <c r="AX39" s="299"/>
      <c r="AY39" s="299"/>
      <c r="AZ39" s="299"/>
      <c r="BA39" s="299"/>
      <c r="BB39" s="299"/>
      <c r="BC39" s="299"/>
      <c r="BD39" s="299"/>
      <c r="BE39" s="299"/>
      <c r="BF39" s="299"/>
      <c r="BG39" s="299"/>
      <c r="BH39" s="299"/>
      <c r="BI39" s="299"/>
      <c r="BJ39" s="299"/>
      <c r="BK39" s="299"/>
      <c r="BL39" s="299"/>
      <c r="BM39" s="299"/>
      <c r="BN39" s="299">
        <v>20</v>
      </c>
      <c r="BO39" s="299">
        <v>20</v>
      </c>
      <c r="BP39" s="299">
        <v>20</v>
      </c>
      <c r="BQ39" s="299">
        <v>20</v>
      </c>
      <c r="BR39" s="299"/>
      <c r="BS39" s="299"/>
      <c r="BT39" s="299">
        <v>20</v>
      </c>
      <c r="BU39" s="299">
        <v>20</v>
      </c>
      <c r="BV39" s="299">
        <v>20</v>
      </c>
      <c r="BW39" s="299">
        <v>20</v>
      </c>
      <c r="BX39" s="299">
        <v>20</v>
      </c>
      <c r="BY39" s="299">
        <v>20</v>
      </c>
      <c r="BZ39" s="299">
        <v>20</v>
      </c>
      <c r="CA39" s="299">
        <v>20</v>
      </c>
      <c r="CB39" s="299">
        <v>20</v>
      </c>
      <c r="CC39" s="299">
        <v>45</v>
      </c>
      <c r="CD39" s="299">
        <v>45</v>
      </c>
      <c r="CE39" s="299">
        <v>45</v>
      </c>
      <c r="CF39" s="299">
        <v>45</v>
      </c>
      <c r="CG39" s="299">
        <v>45</v>
      </c>
      <c r="CH39" s="299">
        <v>45</v>
      </c>
      <c r="CI39" s="299">
        <v>45</v>
      </c>
      <c r="CJ39" s="299">
        <v>45</v>
      </c>
      <c r="CK39" s="299">
        <v>45</v>
      </c>
      <c r="CL39" s="299">
        <v>45</v>
      </c>
      <c r="CM39" s="299">
        <v>45</v>
      </c>
      <c r="CN39" s="299">
        <v>45</v>
      </c>
      <c r="CO39" s="299">
        <v>45</v>
      </c>
      <c r="CP39" s="299">
        <v>45</v>
      </c>
      <c r="CQ39" s="299">
        <v>45</v>
      </c>
      <c r="CR39" s="299">
        <v>45</v>
      </c>
      <c r="CS39" s="299">
        <v>45</v>
      </c>
      <c r="CT39" s="299">
        <v>45</v>
      </c>
      <c r="CU39" s="299">
        <v>45</v>
      </c>
      <c r="CV39" s="299">
        <v>45</v>
      </c>
      <c r="CW39" s="299">
        <v>45</v>
      </c>
      <c r="CX39" s="299">
        <v>45</v>
      </c>
      <c r="CY39" s="299">
        <v>45</v>
      </c>
      <c r="CZ39" s="299">
        <v>45</v>
      </c>
      <c r="DA39" s="299">
        <v>45</v>
      </c>
      <c r="DB39" s="299">
        <v>45</v>
      </c>
      <c r="DC39" s="299">
        <v>45</v>
      </c>
      <c r="DD39" s="299">
        <v>45</v>
      </c>
      <c r="DE39" s="299">
        <v>45</v>
      </c>
      <c r="DF39" s="299">
        <v>45</v>
      </c>
      <c r="DG39" s="299">
        <v>45</v>
      </c>
      <c r="DH39" s="299">
        <v>45</v>
      </c>
      <c r="DI39" s="299">
        <v>45</v>
      </c>
      <c r="DJ39" s="299">
        <v>45</v>
      </c>
      <c r="DK39" s="299">
        <v>45</v>
      </c>
      <c r="DL39" s="299">
        <v>45</v>
      </c>
      <c r="DM39" s="299">
        <v>45</v>
      </c>
      <c r="DN39" s="299">
        <v>45</v>
      </c>
      <c r="DO39" s="299">
        <v>45</v>
      </c>
      <c r="DP39" s="299">
        <v>45</v>
      </c>
      <c r="DQ39" s="299">
        <v>45</v>
      </c>
      <c r="DR39" s="299"/>
      <c r="DS39" s="299"/>
      <c r="DT39" s="299">
        <v>45</v>
      </c>
      <c r="DU39" s="299">
        <v>45</v>
      </c>
      <c r="DV39" s="299">
        <v>45</v>
      </c>
      <c r="DW39" s="299">
        <v>45</v>
      </c>
      <c r="DX39" s="299">
        <v>45</v>
      </c>
      <c r="DY39" s="299">
        <v>45</v>
      </c>
      <c r="DZ39" s="299">
        <v>45</v>
      </c>
      <c r="EA39" s="299">
        <v>45</v>
      </c>
      <c r="EB39" s="299">
        <v>45</v>
      </c>
      <c r="EC39" s="299">
        <v>45</v>
      </c>
      <c r="ED39" s="299">
        <v>23</v>
      </c>
      <c r="EE39" s="299">
        <v>23</v>
      </c>
      <c r="EF39" s="299">
        <v>23</v>
      </c>
      <c r="EG39" s="299">
        <v>23</v>
      </c>
      <c r="EH39" s="299">
        <v>23</v>
      </c>
      <c r="EI39" s="299">
        <v>23</v>
      </c>
      <c r="EJ39" s="299">
        <v>23</v>
      </c>
      <c r="EK39" s="299">
        <v>23</v>
      </c>
      <c r="EL39" s="299">
        <v>23</v>
      </c>
      <c r="EM39" s="299">
        <v>23</v>
      </c>
      <c r="EN39" s="299">
        <v>23</v>
      </c>
      <c r="EO39" s="299">
        <v>23</v>
      </c>
      <c r="EP39" s="299">
        <v>23</v>
      </c>
      <c r="EQ39" s="299">
        <v>23</v>
      </c>
      <c r="ER39" s="299">
        <v>23</v>
      </c>
      <c r="ES39" s="299">
        <v>23</v>
      </c>
      <c r="ET39" s="299">
        <v>23</v>
      </c>
      <c r="EU39" s="299"/>
      <c r="EV39" s="299"/>
      <c r="EW39" s="299"/>
      <c r="EX39" s="299"/>
      <c r="EY39" s="299"/>
      <c r="EZ39" s="299"/>
      <c r="FA39" s="299"/>
      <c r="FB39" s="299"/>
      <c r="FC39" s="299"/>
      <c r="FD39" s="299"/>
      <c r="FE39" s="299"/>
      <c r="FF39" s="299"/>
      <c r="FG39" s="299"/>
      <c r="FH39" s="299"/>
      <c r="FI39" s="299"/>
      <c r="FJ39" s="299"/>
      <c r="FK39" s="299"/>
      <c r="FL39" s="299"/>
      <c r="FM39" s="299"/>
      <c r="FN39" s="299"/>
      <c r="FO39" s="299"/>
      <c r="FP39" s="299"/>
      <c r="FQ39" s="300" t="e">
        <f t="shared" ca="1" si="18"/>
        <v>#VALUE!</v>
      </c>
      <c r="FR39" s="300" t="e">
        <f t="shared" ca="1" si="31"/>
        <v>#VALUE!</v>
      </c>
      <c r="FS39" s="300" t="e">
        <f t="shared" ca="1" si="31"/>
        <v>#VALUE!</v>
      </c>
      <c r="FT39" s="300" t="e">
        <f t="shared" ca="1" si="31"/>
        <v>#VALUE!</v>
      </c>
      <c r="FU39" s="300" t="e">
        <f t="shared" ca="1" si="31"/>
        <v>#VALUE!</v>
      </c>
      <c r="FV39" s="300" t="e">
        <f t="shared" ca="1" si="31"/>
        <v>#VALUE!</v>
      </c>
      <c r="FW39" s="300" t="e">
        <f t="shared" ca="1" si="31"/>
        <v>#VALUE!</v>
      </c>
      <c r="FX39" s="300" t="e">
        <f t="shared" ca="1" si="31"/>
        <v>#VALUE!</v>
      </c>
      <c r="FY39" s="300" t="e">
        <f t="shared" ca="1" si="31"/>
        <v>#VALUE!</v>
      </c>
      <c r="FZ39" s="300" t="e">
        <f t="shared" ca="1" si="31"/>
        <v>#VALUE!</v>
      </c>
      <c r="GA39" s="301" t="e">
        <f t="shared" ca="1" si="31"/>
        <v>#VALUE!</v>
      </c>
      <c r="GB39" s="301" t="e">
        <f t="shared" ca="1" si="32"/>
        <v>#VALUE!</v>
      </c>
      <c r="GC39" s="301" t="e">
        <f t="shared" ca="1" si="32"/>
        <v>#VALUE!</v>
      </c>
      <c r="GD39" s="301" t="e">
        <f t="shared" ca="1" si="32"/>
        <v>#VALUE!</v>
      </c>
      <c r="GE39" s="301" t="e">
        <f t="shared" ca="1" si="32"/>
        <v>#VALUE!</v>
      </c>
      <c r="GF39" s="301" t="e">
        <f t="shared" ca="1" si="32"/>
        <v>#VALUE!</v>
      </c>
      <c r="GG39" s="301" t="e">
        <f t="shared" ca="1" si="32"/>
        <v>#VALUE!</v>
      </c>
      <c r="GH39" s="301" t="e">
        <f t="shared" ca="1" si="32"/>
        <v>#VALUE!</v>
      </c>
      <c r="GI39" s="301" t="e">
        <f t="shared" ca="1" si="32"/>
        <v>#VALUE!</v>
      </c>
      <c r="GJ39" s="301" t="e">
        <f t="shared" ca="1" si="32"/>
        <v>#VALUE!</v>
      </c>
      <c r="GK39" s="301" t="e">
        <f t="shared" ca="1" si="32"/>
        <v>#VALUE!</v>
      </c>
      <c r="GL39" s="301" t="e">
        <f t="shared" ca="1" si="32"/>
        <v>#VALUE!</v>
      </c>
      <c r="GM39" s="301" t="e">
        <f t="shared" ca="1" si="32"/>
        <v>#VALUE!</v>
      </c>
      <c r="GN39" s="302" t="e">
        <f t="shared" ca="1" si="32"/>
        <v>#VALUE!</v>
      </c>
      <c r="GO39" s="302" t="e">
        <f t="shared" ca="1" si="32"/>
        <v>#VALUE!</v>
      </c>
      <c r="GP39" s="301">
        <f t="shared" si="41"/>
        <v>90</v>
      </c>
      <c r="GQ39" s="301">
        <f t="shared" si="41"/>
        <v>180</v>
      </c>
      <c r="GR39" s="301">
        <f t="shared" si="41"/>
        <v>180</v>
      </c>
      <c r="GS39" s="301">
        <f t="shared" si="41"/>
        <v>136</v>
      </c>
      <c r="GT39" s="301">
        <f t="shared" si="41"/>
        <v>92</v>
      </c>
      <c r="GU39" s="303">
        <f t="shared" si="41"/>
        <v>92</v>
      </c>
      <c r="GV39" s="302">
        <f t="shared" si="41"/>
        <v>92</v>
      </c>
      <c r="GW39" s="302">
        <f t="shared" si="41"/>
        <v>69</v>
      </c>
      <c r="GX39" s="302">
        <f t="shared" si="41"/>
        <v>0</v>
      </c>
      <c r="GY39" s="302">
        <f t="shared" si="41"/>
        <v>0</v>
      </c>
      <c r="GZ39" s="302">
        <f t="shared" si="41"/>
        <v>0</v>
      </c>
      <c r="HA39" s="302">
        <f t="shared" si="41"/>
        <v>0</v>
      </c>
      <c r="HB39" s="302">
        <f t="shared" si="41"/>
        <v>0</v>
      </c>
      <c r="HC39" s="302">
        <f t="shared" si="41"/>
        <v>0</v>
      </c>
      <c r="HD39" s="302">
        <f t="shared" si="41"/>
        <v>0</v>
      </c>
      <c r="HE39" s="302">
        <f t="shared" si="41"/>
        <v>0</v>
      </c>
      <c r="HF39" s="304"/>
      <c r="HG39" s="305"/>
    </row>
    <row r="40" spans="1:215" s="306" customFormat="1" ht="15.75" customHeight="1">
      <c r="A40" s="307"/>
      <c r="B40" s="292" t="s">
        <v>85</v>
      </c>
      <c r="C40" s="292" t="s">
        <v>201</v>
      </c>
      <c r="D40" s="292" t="s">
        <v>201</v>
      </c>
      <c r="E40" s="292" t="s">
        <v>398</v>
      </c>
      <c r="F40" s="292" t="s">
        <v>184</v>
      </c>
      <c r="G40" s="292" t="s">
        <v>201</v>
      </c>
      <c r="H40" s="292" t="s">
        <v>390</v>
      </c>
      <c r="I40" s="292" t="s">
        <v>390</v>
      </c>
      <c r="J40" s="292" t="s">
        <v>184</v>
      </c>
      <c r="K40" s="292" t="s">
        <v>391</v>
      </c>
      <c r="L40" s="292" t="s">
        <v>390</v>
      </c>
      <c r="M40" s="292" t="s">
        <v>360</v>
      </c>
      <c r="N40" s="292" t="str">
        <f t="shared" si="33"/>
        <v>TAX-TAX</v>
      </c>
      <c r="O40" s="292" t="str">
        <f t="shared" si="34"/>
        <v>Tax Advisory-Senior Manager-India-Tax</v>
      </c>
      <c r="P40" s="292" t="str">
        <f t="shared" si="35"/>
        <v>TAX - Tax Advisory</v>
      </c>
      <c r="Q40" s="293">
        <f t="shared" si="3"/>
        <v>666600</v>
      </c>
      <c r="R40" s="294">
        <f t="shared" si="4"/>
        <v>14850</v>
      </c>
      <c r="S40" s="295">
        <f t="shared" si="36"/>
        <v>300</v>
      </c>
      <c r="T40" s="295">
        <f t="shared" si="6"/>
        <v>2020</v>
      </c>
      <c r="U40" s="296" t="str">
        <f t="shared" si="37"/>
        <v>Tax Advisory - Senior Manager</v>
      </c>
      <c r="V40" s="295" t="str">
        <f t="shared" si="38"/>
        <v>9-12 years</v>
      </c>
      <c r="W40" s="292" t="str">
        <f t="shared" si="39"/>
        <v>Offshore</v>
      </c>
      <c r="X40" s="292" t="s">
        <v>263</v>
      </c>
      <c r="Y40" s="292" t="s">
        <v>392</v>
      </c>
      <c r="Z40" s="292" t="s">
        <v>361</v>
      </c>
      <c r="AA40" s="297">
        <f>[1]Resourcing!QD44</f>
        <v>321.753260869565</v>
      </c>
      <c r="AB40" s="298">
        <f t="shared" si="40"/>
        <v>330</v>
      </c>
      <c r="AC40" s="299"/>
      <c r="AD40" s="299"/>
      <c r="AE40" s="299"/>
      <c r="AF40" s="299"/>
      <c r="AG40" s="299"/>
      <c r="AH40" s="299"/>
      <c r="AI40" s="299"/>
      <c r="AJ40" s="299"/>
      <c r="AK40" s="299"/>
      <c r="AL40" s="299"/>
      <c r="AM40" s="299"/>
      <c r="AN40" s="299"/>
      <c r="AO40" s="299"/>
      <c r="AP40" s="299"/>
      <c r="AQ40" s="299"/>
      <c r="AR40" s="299"/>
      <c r="AS40" s="299"/>
      <c r="AT40" s="299"/>
      <c r="AU40" s="299"/>
      <c r="AV40" s="299"/>
      <c r="AW40" s="299"/>
      <c r="AX40" s="299"/>
      <c r="AY40" s="299"/>
      <c r="AZ40" s="299"/>
      <c r="BA40" s="299"/>
      <c r="BB40" s="299"/>
      <c r="BC40" s="299"/>
      <c r="BD40" s="299"/>
      <c r="BE40" s="299"/>
      <c r="BF40" s="299"/>
      <c r="BG40" s="299"/>
      <c r="BH40" s="299"/>
      <c r="BI40" s="299"/>
      <c r="BJ40" s="299"/>
      <c r="BK40" s="299"/>
      <c r="BL40" s="299"/>
      <c r="BM40" s="299"/>
      <c r="BN40" s="299">
        <v>45</v>
      </c>
      <c r="BO40" s="299">
        <v>45</v>
      </c>
      <c r="BP40" s="299">
        <v>45</v>
      </c>
      <c r="BQ40" s="299">
        <v>45</v>
      </c>
      <c r="BR40" s="299"/>
      <c r="BS40" s="299"/>
      <c r="BT40" s="299">
        <v>45</v>
      </c>
      <c r="BU40" s="299">
        <v>45</v>
      </c>
      <c r="BV40" s="299">
        <v>45</v>
      </c>
      <c r="BW40" s="299">
        <v>45</v>
      </c>
      <c r="BX40" s="299">
        <v>45</v>
      </c>
      <c r="BY40" s="299">
        <v>45</v>
      </c>
      <c r="BZ40" s="299">
        <v>45</v>
      </c>
      <c r="CA40" s="299">
        <v>45</v>
      </c>
      <c r="CB40" s="299">
        <v>45</v>
      </c>
      <c r="CC40" s="299">
        <v>45</v>
      </c>
      <c r="CD40" s="299">
        <v>45</v>
      </c>
      <c r="CE40" s="299">
        <v>45</v>
      </c>
      <c r="CF40" s="299">
        <v>45</v>
      </c>
      <c r="CG40" s="299">
        <v>45</v>
      </c>
      <c r="CH40" s="299">
        <v>45</v>
      </c>
      <c r="CI40" s="299">
        <v>45</v>
      </c>
      <c r="CJ40" s="299">
        <v>45</v>
      </c>
      <c r="CK40" s="299">
        <v>25</v>
      </c>
      <c r="CL40" s="299">
        <v>25</v>
      </c>
      <c r="CM40" s="299">
        <v>25</v>
      </c>
      <c r="CN40" s="299">
        <v>25</v>
      </c>
      <c r="CO40" s="299">
        <v>25</v>
      </c>
      <c r="CP40" s="299">
        <v>25</v>
      </c>
      <c r="CQ40" s="299">
        <v>25</v>
      </c>
      <c r="CR40" s="299">
        <v>25</v>
      </c>
      <c r="CS40" s="299">
        <v>25</v>
      </c>
      <c r="CT40" s="299">
        <v>25</v>
      </c>
      <c r="CU40" s="299">
        <v>25</v>
      </c>
      <c r="CV40" s="299">
        <v>25</v>
      </c>
      <c r="CW40" s="299">
        <v>25</v>
      </c>
      <c r="CX40" s="299">
        <v>25</v>
      </c>
      <c r="CY40" s="299">
        <v>25</v>
      </c>
      <c r="CZ40" s="299">
        <v>25</v>
      </c>
      <c r="DA40" s="299">
        <v>25</v>
      </c>
      <c r="DB40" s="299">
        <v>25</v>
      </c>
      <c r="DC40" s="299">
        <v>25</v>
      </c>
      <c r="DD40" s="299">
        <v>25</v>
      </c>
      <c r="DE40" s="299">
        <v>25</v>
      </c>
      <c r="DF40" s="299">
        <v>25</v>
      </c>
      <c r="DG40" s="299">
        <v>25</v>
      </c>
      <c r="DH40" s="299">
        <v>25</v>
      </c>
      <c r="DI40" s="299">
        <v>25</v>
      </c>
      <c r="DJ40" s="299">
        <v>25</v>
      </c>
      <c r="DK40" s="299">
        <v>25</v>
      </c>
      <c r="DL40" s="299">
        <v>25</v>
      </c>
      <c r="DM40" s="299">
        <v>25</v>
      </c>
      <c r="DN40" s="299">
        <v>25</v>
      </c>
      <c r="DO40" s="299">
        <v>25</v>
      </c>
      <c r="DP40" s="299">
        <v>25</v>
      </c>
      <c r="DQ40" s="299">
        <v>25</v>
      </c>
      <c r="DR40" s="299"/>
      <c r="DS40" s="299"/>
      <c r="DT40" s="299">
        <v>25</v>
      </c>
      <c r="DU40" s="299">
        <v>25</v>
      </c>
      <c r="DV40" s="299">
        <v>25</v>
      </c>
      <c r="DW40" s="299">
        <v>25</v>
      </c>
      <c r="DX40" s="299">
        <v>25</v>
      </c>
      <c r="DY40" s="299">
        <v>25</v>
      </c>
      <c r="DZ40" s="299">
        <v>25</v>
      </c>
      <c r="EA40" s="299">
        <v>25</v>
      </c>
      <c r="EB40" s="299">
        <v>25</v>
      </c>
      <c r="EC40" s="299">
        <v>25</v>
      </c>
      <c r="ED40" s="299"/>
      <c r="EE40" s="299"/>
      <c r="EF40" s="299"/>
      <c r="EG40" s="299"/>
      <c r="EH40" s="299"/>
      <c r="EI40" s="299"/>
      <c r="EJ40" s="299"/>
      <c r="EK40" s="299"/>
      <c r="EL40" s="299"/>
      <c r="EM40" s="299"/>
      <c r="EN40" s="299"/>
      <c r="EO40" s="299"/>
      <c r="EP40" s="299"/>
      <c r="EQ40" s="299"/>
      <c r="ER40" s="299"/>
      <c r="ES40" s="299"/>
      <c r="ET40" s="299"/>
      <c r="EU40" s="299"/>
      <c r="EV40" s="299"/>
      <c r="EW40" s="299"/>
      <c r="EX40" s="299"/>
      <c r="EY40" s="299"/>
      <c r="EZ40" s="299"/>
      <c r="FA40" s="299"/>
      <c r="FB40" s="299"/>
      <c r="FC40" s="299"/>
      <c r="FD40" s="299"/>
      <c r="FE40" s="299"/>
      <c r="FF40" s="299"/>
      <c r="FG40" s="299"/>
      <c r="FH40" s="299"/>
      <c r="FI40" s="299"/>
      <c r="FJ40" s="299"/>
      <c r="FK40" s="299"/>
      <c r="FL40" s="299"/>
      <c r="FM40" s="299"/>
      <c r="FN40" s="299"/>
      <c r="FO40" s="299"/>
      <c r="FP40" s="299"/>
      <c r="FQ40" s="300" t="e">
        <f t="shared" ca="1" si="18"/>
        <v>#VALUE!</v>
      </c>
      <c r="FR40" s="300" t="e">
        <f t="shared" ca="1" si="31"/>
        <v>#VALUE!</v>
      </c>
      <c r="FS40" s="300" t="e">
        <f t="shared" ca="1" si="31"/>
        <v>#VALUE!</v>
      </c>
      <c r="FT40" s="300" t="e">
        <f t="shared" ca="1" si="31"/>
        <v>#VALUE!</v>
      </c>
      <c r="FU40" s="300" t="e">
        <f t="shared" ca="1" si="31"/>
        <v>#VALUE!</v>
      </c>
      <c r="FV40" s="300" t="e">
        <f t="shared" ca="1" si="31"/>
        <v>#VALUE!</v>
      </c>
      <c r="FW40" s="300" t="e">
        <f t="shared" ca="1" si="31"/>
        <v>#VALUE!</v>
      </c>
      <c r="FX40" s="300" t="e">
        <f t="shared" ca="1" si="31"/>
        <v>#VALUE!</v>
      </c>
      <c r="FY40" s="300" t="e">
        <f t="shared" ca="1" si="31"/>
        <v>#VALUE!</v>
      </c>
      <c r="FZ40" s="300" t="e">
        <f t="shared" ca="1" si="31"/>
        <v>#VALUE!</v>
      </c>
      <c r="GA40" s="301" t="e">
        <f t="shared" ca="1" si="31"/>
        <v>#VALUE!</v>
      </c>
      <c r="GB40" s="301" t="e">
        <f t="shared" ca="1" si="32"/>
        <v>#VALUE!</v>
      </c>
      <c r="GC40" s="301" t="e">
        <f t="shared" ca="1" si="32"/>
        <v>#VALUE!</v>
      </c>
      <c r="GD40" s="301" t="e">
        <f t="shared" ca="1" si="32"/>
        <v>#VALUE!</v>
      </c>
      <c r="GE40" s="301" t="e">
        <f t="shared" ca="1" si="32"/>
        <v>#VALUE!</v>
      </c>
      <c r="GF40" s="301" t="e">
        <f t="shared" ca="1" si="32"/>
        <v>#VALUE!</v>
      </c>
      <c r="GG40" s="301" t="e">
        <f t="shared" ca="1" si="32"/>
        <v>#VALUE!</v>
      </c>
      <c r="GH40" s="301" t="e">
        <f t="shared" ca="1" si="32"/>
        <v>#VALUE!</v>
      </c>
      <c r="GI40" s="301" t="e">
        <f t="shared" ca="1" si="32"/>
        <v>#VALUE!</v>
      </c>
      <c r="GJ40" s="301" t="e">
        <f t="shared" ca="1" si="32"/>
        <v>#VALUE!</v>
      </c>
      <c r="GK40" s="301" t="e">
        <f t="shared" ca="1" si="32"/>
        <v>#VALUE!</v>
      </c>
      <c r="GL40" s="301" t="e">
        <f t="shared" ca="1" si="32"/>
        <v>#VALUE!</v>
      </c>
      <c r="GM40" s="301" t="e">
        <f t="shared" ca="1" si="32"/>
        <v>#VALUE!</v>
      </c>
      <c r="GN40" s="302" t="e">
        <f t="shared" ca="1" si="32"/>
        <v>#VALUE!</v>
      </c>
      <c r="GO40" s="302" t="e">
        <f t="shared" ca="1" si="32"/>
        <v>#VALUE!</v>
      </c>
      <c r="GP40" s="301">
        <f t="shared" si="41"/>
        <v>50</v>
      </c>
      <c r="GQ40" s="301">
        <f t="shared" si="41"/>
        <v>100</v>
      </c>
      <c r="GR40" s="301">
        <f t="shared" si="41"/>
        <v>100</v>
      </c>
      <c r="GS40" s="301">
        <f t="shared" si="41"/>
        <v>50</v>
      </c>
      <c r="GT40" s="301">
        <f t="shared" si="41"/>
        <v>0</v>
      </c>
      <c r="GU40" s="303">
        <f t="shared" si="41"/>
        <v>0</v>
      </c>
      <c r="GV40" s="302">
        <f t="shared" si="41"/>
        <v>0</v>
      </c>
      <c r="GW40" s="302">
        <f t="shared" si="41"/>
        <v>0</v>
      </c>
      <c r="GX40" s="302">
        <f t="shared" si="41"/>
        <v>0</v>
      </c>
      <c r="GY40" s="302">
        <f t="shared" si="41"/>
        <v>0</v>
      </c>
      <c r="GZ40" s="302">
        <f t="shared" si="41"/>
        <v>0</v>
      </c>
      <c r="HA40" s="302">
        <f t="shared" si="41"/>
        <v>0</v>
      </c>
      <c r="HB40" s="302">
        <f t="shared" si="41"/>
        <v>0</v>
      </c>
      <c r="HC40" s="302">
        <f t="shared" si="41"/>
        <v>0</v>
      </c>
      <c r="HD40" s="302">
        <f t="shared" si="41"/>
        <v>0</v>
      </c>
      <c r="HE40" s="302">
        <f t="shared" si="41"/>
        <v>0</v>
      </c>
      <c r="HF40" s="304"/>
      <c r="HG40" s="305"/>
    </row>
    <row r="41" spans="1:215" s="306" customFormat="1" ht="15.75" customHeight="1">
      <c r="A41" s="307"/>
      <c r="B41" s="292" t="s">
        <v>85</v>
      </c>
      <c r="C41" s="292" t="s">
        <v>201</v>
      </c>
      <c r="D41" s="292" t="s">
        <v>201</v>
      </c>
      <c r="E41" s="292" t="s">
        <v>399</v>
      </c>
      <c r="F41" s="292" t="s">
        <v>184</v>
      </c>
      <c r="G41" s="292" t="s">
        <v>201</v>
      </c>
      <c r="H41" s="292" t="s">
        <v>390</v>
      </c>
      <c r="I41" s="292" t="s">
        <v>390</v>
      </c>
      <c r="J41" s="292" t="s">
        <v>184</v>
      </c>
      <c r="K41" s="292" t="s">
        <v>391</v>
      </c>
      <c r="L41" s="292" t="s">
        <v>396</v>
      </c>
      <c r="M41" s="292" t="s">
        <v>397</v>
      </c>
      <c r="N41" s="292" t="str">
        <f t="shared" si="33"/>
        <v>TAX-TAX</v>
      </c>
      <c r="O41" s="292" t="str">
        <f t="shared" si="34"/>
        <v>Tax Advisory-Senior Consultant-India-Tax</v>
      </c>
      <c r="P41" s="292" t="str">
        <f t="shared" si="35"/>
        <v>TAX - Tax Advisory</v>
      </c>
      <c r="Q41" s="293">
        <f t="shared" si="3"/>
        <v>530280</v>
      </c>
      <c r="R41" s="294">
        <f t="shared" si="4"/>
        <v>3600</v>
      </c>
      <c r="S41" s="295">
        <f t="shared" si="36"/>
        <v>931</v>
      </c>
      <c r="T41" s="295">
        <f t="shared" si="6"/>
        <v>2946</v>
      </c>
      <c r="U41" s="296" t="str">
        <f t="shared" si="37"/>
        <v>Tax Advisory - Senior Consultant</v>
      </c>
      <c r="V41" s="295" t="str">
        <f t="shared" si="38"/>
        <v>3-6 years</v>
      </c>
      <c r="W41" s="292" t="str">
        <f t="shared" si="39"/>
        <v>Offshore</v>
      </c>
      <c r="X41" s="292" t="s">
        <v>263</v>
      </c>
      <c r="Y41" s="292" t="s">
        <v>392</v>
      </c>
      <c r="Z41" s="292" t="s">
        <v>364</v>
      </c>
      <c r="AA41" s="297">
        <f>[1]Resourcing!QD45</f>
        <v>98.242470192601601</v>
      </c>
      <c r="AB41" s="298">
        <f t="shared" si="40"/>
        <v>180</v>
      </c>
      <c r="AC41" s="299"/>
      <c r="AD41" s="299"/>
      <c r="AE41" s="299"/>
      <c r="AF41" s="299"/>
      <c r="AG41" s="299"/>
      <c r="AH41" s="299"/>
      <c r="AI41" s="299"/>
      <c r="AJ41" s="299"/>
      <c r="AK41" s="299"/>
      <c r="AL41" s="299"/>
      <c r="AM41" s="299"/>
      <c r="AN41" s="299"/>
      <c r="AO41" s="299"/>
      <c r="AP41" s="299"/>
      <c r="AQ41" s="299"/>
      <c r="AR41" s="299"/>
      <c r="AS41" s="299"/>
      <c r="AT41" s="299"/>
      <c r="AU41" s="299"/>
      <c r="AV41" s="299"/>
      <c r="AW41" s="299"/>
      <c r="AX41" s="299"/>
      <c r="AY41" s="299"/>
      <c r="AZ41" s="299"/>
      <c r="BA41" s="299"/>
      <c r="BB41" s="299"/>
      <c r="BC41" s="299"/>
      <c r="BD41" s="299"/>
      <c r="BE41" s="299"/>
      <c r="BF41" s="299"/>
      <c r="BG41" s="299"/>
      <c r="BH41" s="299"/>
      <c r="BI41" s="299"/>
      <c r="BJ41" s="299"/>
      <c r="BK41" s="299"/>
      <c r="BL41" s="299"/>
      <c r="BM41" s="299"/>
      <c r="BN41" s="299">
        <v>20</v>
      </c>
      <c r="BO41" s="299">
        <v>20</v>
      </c>
      <c r="BP41" s="299">
        <v>20</v>
      </c>
      <c r="BQ41" s="299">
        <v>20</v>
      </c>
      <c r="BR41" s="299"/>
      <c r="BS41" s="299"/>
      <c r="BT41" s="299">
        <v>20</v>
      </c>
      <c r="BU41" s="299">
        <v>20</v>
      </c>
      <c r="BV41" s="299">
        <v>20</v>
      </c>
      <c r="BW41" s="299">
        <v>20</v>
      </c>
      <c r="BX41" s="299">
        <v>20</v>
      </c>
      <c r="BY41" s="299">
        <v>20</v>
      </c>
      <c r="BZ41" s="299">
        <v>20</v>
      </c>
      <c r="CA41" s="299">
        <v>20</v>
      </c>
      <c r="CB41" s="299">
        <v>20</v>
      </c>
      <c r="CC41" s="299">
        <v>45</v>
      </c>
      <c r="CD41" s="299">
        <v>45</v>
      </c>
      <c r="CE41" s="299">
        <v>45</v>
      </c>
      <c r="CF41" s="299">
        <v>45</v>
      </c>
      <c r="CG41" s="299">
        <v>45</v>
      </c>
      <c r="CH41" s="299">
        <v>45</v>
      </c>
      <c r="CI41" s="299">
        <v>45</v>
      </c>
      <c r="CJ41" s="299">
        <v>45</v>
      </c>
      <c r="CK41" s="299">
        <v>45</v>
      </c>
      <c r="CL41" s="299">
        <v>45</v>
      </c>
      <c r="CM41" s="299">
        <v>45</v>
      </c>
      <c r="CN41" s="299">
        <v>45</v>
      </c>
      <c r="CO41" s="299">
        <v>45</v>
      </c>
      <c r="CP41" s="299">
        <v>45</v>
      </c>
      <c r="CQ41" s="299">
        <v>45</v>
      </c>
      <c r="CR41" s="299">
        <v>45</v>
      </c>
      <c r="CS41" s="299">
        <v>45</v>
      </c>
      <c r="CT41" s="299">
        <v>45</v>
      </c>
      <c r="CU41" s="299">
        <v>45</v>
      </c>
      <c r="CV41" s="299">
        <v>45</v>
      </c>
      <c r="CW41" s="299">
        <v>45</v>
      </c>
      <c r="CX41" s="299">
        <v>45</v>
      </c>
      <c r="CY41" s="299">
        <v>45</v>
      </c>
      <c r="CZ41" s="299">
        <v>45</v>
      </c>
      <c r="DA41" s="299">
        <v>45</v>
      </c>
      <c r="DB41" s="299">
        <v>45</v>
      </c>
      <c r="DC41" s="299">
        <v>45</v>
      </c>
      <c r="DD41" s="299">
        <v>45</v>
      </c>
      <c r="DE41" s="299">
        <v>45</v>
      </c>
      <c r="DF41" s="299">
        <v>45</v>
      </c>
      <c r="DG41" s="299">
        <v>45</v>
      </c>
      <c r="DH41" s="299">
        <v>45</v>
      </c>
      <c r="DI41" s="299">
        <v>45</v>
      </c>
      <c r="DJ41" s="299">
        <v>45</v>
      </c>
      <c r="DK41" s="299">
        <v>45</v>
      </c>
      <c r="DL41" s="299">
        <v>45</v>
      </c>
      <c r="DM41" s="299">
        <v>45</v>
      </c>
      <c r="DN41" s="299">
        <v>45</v>
      </c>
      <c r="DO41" s="299">
        <v>45</v>
      </c>
      <c r="DP41" s="299">
        <v>45</v>
      </c>
      <c r="DQ41" s="299">
        <v>45</v>
      </c>
      <c r="DR41" s="299"/>
      <c r="DS41" s="299"/>
      <c r="DT41" s="299">
        <v>45</v>
      </c>
      <c r="DU41" s="299">
        <v>45</v>
      </c>
      <c r="DV41" s="299">
        <v>45</v>
      </c>
      <c r="DW41" s="299">
        <v>45</v>
      </c>
      <c r="DX41" s="299">
        <v>45</v>
      </c>
      <c r="DY41" s="299">
        <v>45</v>
      </c>
      <c r="DZ41" s="299">
        <v>45</v>
      </c>
      <c r="EA41" s="299">
        <v>45</v>
      </c>
      <c r="EB41" s="299">
        <v>45</v>
      </c>
      <c r="EC41" s="299">
        <v>45</v>
      </c>
      <c r="ED41" s="299">
        <v>23</v>
      </c>
      <c r="EE41" s="299">
        <v>23</v>
      </c>
      <c r="EF41" s="299">
        <v>23</v>
      </c>
      <c r="EG41" s="299">
        <v>23</v>
      </c>
      <c r="EH41" s="299">
        <v>23</v>
      </c>
      <c r="EI41" s="299">
        <v>23</v>
      </c>
      <c r="EJ41" s="299">
        <v>23</v>
      </c>
      <c r="EK41" s="299">
        <v>23</v>
      </c>
      <c r="EL41" s="299">
        <v>23</v>
      </c>
      <c r="EM41" s="299">
        <v>23</v>
      </c>
      <c r="EN41" s="299">
        <v>23</v>
      </c>
      <c r="EO41" s="299">
        <v>23</v>
      </c>
      <c r="EP41" s="299">
        <v>23</v>
      </c>
      <c r="EQ41" s="299">
        <v>23</v>
      </c>
      <c r="ER41" s="299">
        <v>23</v>
      </c>
      <c r="ES41" s="299">
        <v>23</v>
      </c>
      <c r="ET41" s="299">
        <v>23</v>
      </c>
      <c r="EU41" s="299"/>
      <c r="EV41" s="299"/>
      <c r="EW41" s="299"/>
      <c r="EX41" s="299"/>
      <c r="EY41" s="299"/>
      <c r="EZ41" s="299"/>
      <c r="FA41" s="299"/>
      <c r="FB41" s="299"/>
      <c r="FC41" s="299"/>
      <c r="FD41" s="299"/>
      <c r="FE41" s="299"/>
      <c r="FF41" s="299"/>
      <c r="FG41" s="299"/>
      <c r="FH41" s="299"/>
      <c r="FI41" s="299"/>
      <c r="FJ41" s="299"/>
      <c r="FK41" s="299"/>
      <c r="FL41" s="299"/>
      <c r="FM41" s="299"/>
      <c r="FN41" s="299"/>
      <c r="FO41" s="299"/>
      <c r="FP41" s="299"/>
      <c r="FQ41" s="300" t="e">
        <f t="shared" ca="1" si="18"/>
        <v>#VALUE!</v>
      </c>
      <c r="FR41" s="300" t="e">
        <f t="shared" ca="1" si="31"/>
        <v>#VALUE!</v>
      </c>
      <c r="FS41" s="300" t="e">
        <f t="shared" ca="1" si="31"/>
        <v>#VALUE!</v>
      </c>
      <c r="FT41" s="300" t="e">
        <f t="shared" ca="1" si="31"/>
        <v>#VALUE!</v>
      </c>
      <c r="FU41" s="300" t="e">
        <f t="shared" ca="1" si="31"/>
        <v>#VALUE!</v>
      </c>
      <c r="FV41" s="300" t="e">
        <f t="shared" ca="1" si="31"/>
        <v>#VALUE!</v>
      </c>
      <c r="FW41" s="300" t="e">
        <f t="shared" ca="1" si="31"/>
        <v>#VALUE!</v>
      </c>
      <c r="FX41" s="300" t="e">
        <f t="shared" ca="1" si="31"/>
        <v>#VALUE!</v>
      </c>
      <c r="FY41" s="300" t="e">
        <f t="shared" ca="1" si="31"/>
        <v>#VALUE!</v>
      </c>
      <c r="FZ41" s="300" t="e">
        <f t="shared" ca="1" si="31"/>
        <v>#VALUE!</v>
      </c>
      <c r="GA41" s="301" t="e">
        <f t="shared" ca="1" si="31"/>
        <v>#VALUE!</v>
      </c>
      <c r="GB41" s="301" t="e">
        <f t="shared" ca="1" si="32"/>
        <v>#VALUE!</v>
      </c>
      <c r="GC41" s="301" t="e">
        <f t="shared" ca="1" si="32"/>
        <v>#VALUE!</v>
      </c>
      <c r="GD41" s="301" t="e">
        <f t="shared" ca="1" si="32"/>
        <v>#VALUE!</v>
      </c>
      <c r="GE41" s="301" t="e">
        <f t="shared" ca="1" si="32"/>
        <v>#VALUE!</v>
      </c>
      <c r="GF41" s="301" t="e">
        <f t="shared" ca="1" si="32"/>
        <v>#VALUE!</v>
      </c>
      <c r="GG41" s="301" t="e">
        <f t="shared" ca="1" si="32"/>
        <v>#VALUE!</v>
      </c>
      <c r="GH41" s="301" t="e">
        <f t="shared" ca="1" si="32"/>
        <v>#VALUE!</v>
      </c>
      <c r="GI41" s="301" t="e">
        <f t="shared" ca="1" si="32"/>
        <v>#VALUE!</v>
      </c>
      <c r="GJ41" s="301" t="e">
        <f t="shared" ca="1" si="32"/>
        <v>#VALUE!</v>
      </c>
      <c r="GK41" s="301" t="e">
        <f t="shared" ca="1" si="32"/>
        <v>#VALUE!</v>
      </c>
      <c r="GL41" s="301" t="e">
        <f t="shared" ca="1" si="32"/>
        <v>#VALUE!</v>
      </c>
      <c r="GM41" s="301" t="e">
        <f t="shared" ca="1" si="32"/>
        <v>#VALUE!</v>
      </c>
      <c r="GN41" s="302" t="e">
        <f t="shared" ca="1" si="32"/>
        <v>#VALUE!</v>
      </c>
      <c r="GO41" s="302" t="e">
        <f t="shared" ca="1" si="32"/>
        <v>#VALUE!</v>
      </c>
      <c r="GP41" s="301">
        <f t="shared" si="41"/>
        <v>90</v>
      </c>
      <c r="GQ41" s="301">
        <f t="shared" si="41"/>
        <v>180</v>
      </c>
      <c r="GR41" s="301">
        <f t="shared" si="41"/>
        <v>180</v>
      </c>
      <c r="GS41" s="301">
        <f t="shared" si="41"/>
        <v>136</v>
      </c>
      <c r="GT41" s="301">
        <f t="shared" si="41"/>
        <v>92</v>
      </c>
      <c r="GU41" s="303">
        <f t="shared" si="41"/>
        <v>92</v>
      </c>
      <c r="GV41" s="302">
        <f t="shared" si="41"/>
        <v>92</v>
      </c>
      <c r="GW41" s="302">
        <f t="shared" si="41"/>
        <v>69</v>
      </c>
      <c r="GX41" s="302">
        <f t="shared" si="41"/>
        <v>0</v>
      </c>
      <c r="GY41" s="302">
        <f t="shared" si="41"/>
        <v>0</v>
      </c>
      <c r="GZ41" s="302">
        <f t="shared" si="41"/>
        <v>0</v>
      </c>
      <c r="HA41" s="302">
        <f t="shared" si="41"/>
        <v>0</v>
      </c>
      <c r="HB41" s="302">
        <f t="shared" si="41"/>
        <v>0</v>
      </c>
      <c r="HC41" s="302">
        <f t="shared" si="41"/>
        <v>0</v>
      </c>
      <c r="HD41" s="302">
        <f t="shared" si="41"/>
        <v>0</v>
      </c>
      <c r="HE41" s="302">
        <f t="shared" si="41"/>
        <v>0</v>
      </c>
      <c r="HF41" s="304"/>
      <c r="HG41" s="305"/>
    </row>
    <row r="42" spans="1:215" s="306" customFormat="1" ht="15.75" customHeight="1">
      <c r="A42" s="307"/>
      <c r="B42" s="292" t="s">
        <v>85</v>
      </c>
      <c r="C42" s="292" t="s">
        <v>201</v>
      </c>
      <c r="D42" s="292" t="s">
        <v>201</v>
      </c>
      <c r="E42" s="292" t="s">
        <v>400</v>
      </c>
      <c r="F42" s="292" t="s">
        <v>186</v>
      </c>
      <c r="G42" s="292" t="s">
        <v>201</v>
      </c>
      <c r="H42" s="292" t="s">
        <v>390</v>
      </c>
      <c r="I42" s="292" t="s">
        <v>390</v>
      </c>
      <c r="J42" s="292" t="s">
        <v>186</v>
      </c>
      <c r="K42" s="292" t="s">
        <v>391</v>
      </c>
      <c r="L42" s="292" t="s">
        <v>396</v>
      </c>
      <c r="M42" s="292" t="s">
        <v>397</v>
      </c>
      <c r="N42" s="292" t="str">
        <f t="shared" si="33"/>
        <v>TAX-TAX</v>
      </c>
      <c r="O42" s="292" t="str">
        <f t="shared" si="34"/>
        <v>Tax Advisory-Senior Consultant-US-Tax</v>
      </c>
      <c r="P42" s="292" t="str">
        <f t="shared" si="35"/>
        <v>TAX - Tax Advisory</v>
      </c>
      <c r="Q42" s="293">
        <f t="shared" ref="Q42:Q73" si="42">AB42*SUM(AZ42:ET42)</f>
        <v>615600</v>
      </c>
      <c r="R42" s="294">
        <f t="shared" ref="R42:R73" si="43">AB42*SUM(BC42:BN42)</f>
        <v>5700</v>
      </c>
      <c r="S42" s="295">
        <f t="shared" si="36"/>
        <v>820</v>
      </c>
      <c r="T42" s="295">
        <f t="shared" ref="T42:T73" si="44">SUM(AZ42:EZ42)</f>
        <v>2160</v>
      </c>
      <c r="U42" s="296" t="str">
        <f t="shared" si="37"/>
        <v>Tax Advisory - Senior Consultant</v>
      </c>
      <c r="V42" s="295" t="str">
        <f t="shared" si="38"/>
        <v>3-6 years</v>
      </c>
      <c r="W42" s="292" t="str">
        <f t="shared" si="39"/>
        <v>Onshore</v>
      </c>
      <c r="X42" s="292" t="s">
        <v>263</v>
      </c>
      <c r="Y42" s="292" t="s">
        <v>392</v>
      </c>
      <c r="Z42" s="292" t="s">
        <v>364</v>
      </c>
      <c r="AA42" s="297">
        <f>[1]Resourcing!QD46</f>
        <v>77.842219959266799</v>
      </c>
      <c r="AB42" s="298">
        <f t="shared" si="40"/>
        <v>285</v>
      </c>
      <c r="AC42" s="299"/>
      <c r="AD42" s="299"/>
      <c r="AE42" s="299"/>
      <c r="AF42" s="299"/>
      <c r="AG42" s="299"/>
      <c r="AH42" s="299"/>
      <c r="AI42" s="299"/>
      <c r="AJ42" s="299"/>
      <c r="AK42" s="299"/>
      <c r="AL42" s="299"/>
      <c r="AM42" s="299"/>
      <c r="AN42" s="299"/>
      <c r="AO42" s="299"/>
      <c r="AP42" s="299"/>
      <c r="AQ42" s="299"/>
      <c r="AR42" s="299"/>
      <c r="AS42" s="299"/>
      <c r="AT42" s="299"/>
      <c r="AU42" s="299"/>
      <c r="AV42" s="299"/>
      <c r="AW42" s="299"/>
      <c r="AX42" s="299"/>
      <c r="AY42" s="299"/>
      <c r="AZ42" s="299"/>
      <c r="BA42" s="299"/>
      <c r="BB42" s="299"/>
      <c r="BC42" s="299"/>
      <c r="BD42" s="299"/>
      <c r="BE42" s="299"/>
      <c r="BF42" s="299"/>
      <c r="BG42" s="299"/>
      <c r="BH42" s="299"/>
      <c r="BI42" s="299"/>
      <c r="BJ42" s="299"/>
      <c r="BK42" s="299"/>
      <c r="BL42" s="299"/>
      <c r="BM42" s="299"/>
      <c r="BN42" s="299">
        <v>20</v>
      </c>
      <c r="BO42" s="299">
        <v>20</v>
      </c>
      <c r="BP42" s="299">
        <v>20</v>
      </c>
      <c r="BQ42" s="299">
        <v>20</v>
      </c>
      <c r="BR42" s="299"/>
      <c r="BS42" s="299"/>
      <c r="BT42" s="299">
        <v>20</v>
      </c>
      <c r="BU42" s="299">
        <v>20</v>
      </c>
      <c r="BV42" s="299">
        <v>20</v>
      </c>
      <c r="BW42" s="299">
        <v>20</v>
      </c>
      <c r="BX42" s="299">
        <v>20</v>
      </c>
      <c r="BY42" s="299">
        <v>20</v>
      </c>
      <c r="BZ42" s="299">
        <v>20</v>
      </c>
      <c r="CA42" s="299">
        <v>20</v>
      </c>
      <c r="CB42" s="299">
        <v>20</v>
      </c>
      <c r="CC42" s="299">
        <v>20</v>
      </c>
      <c r="CD42" s="299">
        <v>20</v>
      </c>
      <c r="CE42" s="299">
        <v>20</v>
      </c>
      <c r="CF42" s="299">
        <v>20</v>
      </c>
      <c r="CG42" s="299">
        <v>20</v>
      </c>
      <c r="CH42" s="299">
        <v>20</v>
      </c>
      <c r="CI42" s="299">
        <v>20</v>
      </c>
      <c r="CJ42" s="299">
        <v>20</v>
      </c>
      <c r="CK42" s="299">
        <v>20</v>
      </c>
      <c r="CL42" s="299">
        <v>20</v>
      </c>
      <c r="CM42" s="299">
        <v>20</v>
      </c>
      <c r="CN42" s="299">
        <v>20</v>
      </c>
      <c r="CO42" s="299">
        <v>20</v>
      </c>
      <c r="CP42" s="299">
        <v>20</v>
      </c>
      <c r="CQ42" s="299">
        <v>20</v>
      </c>
      <c r="CR42" s="299">
        <v>20</v>
      </c>
      <c r="CS42" s="299">
        <v>20</v>
      </c>
      <c r="CT42" s="299">
        <v>20</v>
      </c>
      <c r="CU42" s="299">
        <v>20</v>
      </c>
      <c r="CV42" s="299">
        <v>20</v>
      </c>
      <c r="CW42" s="299">
        <v>20</v>
      </c>
      <c r="CX42" s="299">
        <v>20</v>
      </c>
      <c r="CY42" s="299">
        <v>20</v>
      </c>
      <c r="CZ42" s="299">
        <v>20</v>
      </c>
      <c r="DA42" s="299">
        <v>40</v>
      </c>
      <c r="DB42" s="299">
        <v>40</v>
      </c>
      <c r="DC42" s="299">
        <v>40</v>
      </c>
      <c r="DD42" s="299">
        <v>40</v>
      </c>
      <c r="DE42" s="299">
        <v>40</v>
      </c>
      <c r="DF42" s="299">
        <v>40</v>
      </c>
      <c r="DG42" s="299">
        <v>40</v>
      </c>
      <c r="DH42" s="299">
        <v>40</v>
      </c>
      <c r="DI42" s="299">
        <v>40</v>
      </c>
      <c r="DJ42" s="299">
        <v>40</v>
      </c>
      <c r="DK42" s="299">
        <v>40</v>
      </c>
      <c r="DL42" s="299">
        <v>40</v>
      </c>
      <c r="DM42" s="299">
        <v>40</v>
      </c>
      <c r="DN42" s="299">
        <v>40</v>
      </c>
      <c r="DO42" s="299">
        <v>40</v>
      </c>
      <c r="DP42" s="299">
        <v>40</v>
      </c>
      <c r="DQ42" s="299">
        <v>40</v>
      </c>
      <c r="DR42" s="299"/>
      <c r="DS42" s="299"/>
      <c r="DT42" s="299">
        <v>40</v>
      </c>
      <c r="DU42" s="299">
        <v>40</v>
      </c>
      <c r="DV42" s="299">
        <v>40</v>
      </c>
      <c r="DW42" s="299">
        <v>40</v>
      </c>
      <c r="DX42" s="299">
        <v>40</v>
      </c>
      <c r="DY42" s="299">
        <v>40</v>
      </c>
      <c r="DZ42" s="299">
        <v>40</v>
      </c>
      <c r="EA42" s="299">
        <v>40</v>
      </c>
      <c r="EB42" s="299">
        <v>40</v>
      </c>
      <c r="EC42" s="299">
        <v>40</v>
      </c>
      <c r="ED42" s="299">
        <v>20</v>
      </c>
      <c r="EE42" s="299">
        <v>20</v>
      </c>
      <c r="EF42" s="299">
        <v>20</v>
      </c>
      <c r="EG42" s="299">
        <v>20</v>
      </c>
      <c r="EH42" s="299">
        <v>20</v>
      </c>
      <c r="EI42" s="299">
        <v>20</v>
      </c>
      <c r="EJ42" s="299">
        <v>20</v>
      </c>
      <c r="EK42" s="299">
        <v>20</v>
      </c>
      <c r="EL42" s="299">
        <v>20</v>
      </c>
      <c r="EM42" s="299">
        <v>20</v>
      </c>
      <c r="EN42" s="299">
        <v>20</v>
      </c>
      <c r="EO42" s="299">
        <v>20</v>
      </c>
      <c r="EP42" s="299">
        <v>20</v>
      </c>
      <c r="EQ42" s="299">
        <v>20</v>
      </c>
      <c r="ER42" s="299">
        <v>20</v>
      </c>
      <c r="ES42" s="299">
        <v>20</v>
      </c>
      <c r="ET42" s="299">
        <v>20</v>
      </c>
      <c r="EU42" s="299"/>
      <c r="EV42" s="299"/>
      <c r="EW42" s="299"/>
      <c r="EX42" s="299"/>
      <c r="EY42" s="299"/>
      <c r="EZ42" s="299"/>
      <c r="FA42" s="299"/>
      <c r="FB42" s="299"/>
      <c r="FC42" s="299"/>
      <c r="FD42" s="299"/>
      <c r="FE42" s="299"/>
      <c r="FF42" s="299"/>
      <c r="FG42" s="299"/>
      <c r="FH42" s="299"/>
      <c r="FI42" s="299"/>
      <c r="FJ42" s="299"/>
      <c r="FK42" s="299"/>
      <c r="FL42" s="299"/>
      <c r="FM42" s="299"/>
      <c r="FN42" s="299"/>
      <c r="FO42" s="299"/>
      <c r="FP42" s="299"/>
      <c r="FQ42" s="300" t="e">
        <f t="shared" ca="1" si="18"/>
        <v>#VALUE!</v>
      </c>
      <c r="FR42" s="300" t="e">
        <f t="shared" ca="1" si="31"/>
        <v>#VALUE!</v>
      </c>
      <c r="FS42" s="300" t="e">
        <f t="shared" ca="1" si="31"/>
        <v>#VALUE!</v>
      </c>
      <c r="FT42" s="300" t="e">
        <f t="shared" ca="1" si="31"/>
        <v>#VALUE!</v>
      </c>
      <c r="FU42" s="300" t="e">
        <f t="shared" ca="1" si="31"/>
        <v>#VALUE!</v>
      </c>
      <c r="FV42" s="300" t="e">
        <f t="shared" ca="1" si="31"/>
        <v>#VALUE!</v>
      </c>
      <c r="FW42" s="300" t="e">
        <f t="shared" ca="1" si="31"/>
        <v>#VALUE!</v>
      </c>
      <c r="FX42" s="300" t="e">
        <f t="shared" ca="1" si="31"/>
        <v>#VALUE!</v>
      </c>
      <c r="FY42" s="300" t="e">
        <f t="shared" ca="1" si="31"/>
        <v>#VALUE!</v>
      </c>
      <c r="FZ42" s="300" t="e">
        <f t="shared" ca="1" si="31"/>
        <v>#VALUE!</v>
      </c>
      <c r="GA42" s="301" t="e">
        <f t="shared" ca="1" si="31"/>
        <v>#VALUE!</v>
      </c>
      <c r="GB42" s="301" t="e">
        <f t="shared" ca="1" si="32"/>
        <v>#VALUE!</v>
      </c>
      <c r="GC42" s="301" t="e">
        <f t="shared" ca="1" si="32"/>
        <v>#VALUE!</v>
      </c>
      <c r="GD42" s="301" t="e">
        <f t="shared" ca="1" si="32"/>
        <v>#VALUE!</v>
      </c>
      <c r="GE42" s="301" t="e">
        <f t="shared" ca="1" si="32"/>
        <v>#VALUE!</v>
      </c>
      <c r="GF42" s="301" t="e">
        <f t="shared" ca="1" si="32"/>
        <v>#VALUE!</v>
      </c>
      <c r="GG42" s="301" t="e">
        <f t="shared" ca="1" si="32"/>
        <v>#VALUE!</v>
      </c>
      <c r="GH42" s="301" t="e">
        <f t="shared" ca="1" si="32"/>
        <v>#VALUE!</v>
      </c>
      <c r="GI42" s="301" t="e">
        <f t="shared" ca="1" si="32"/>
        <v>#VALUE!</v>
      </c>
      <c r="GJ42" s="301" t="e">
        <f t="shared" ca="1" si="32"/>
        <v>#VALUE!</v>
      </c>
      <c r="GK42" s="301" t="e">
        <f t="shared" ca="1" si="32"/>
        <v>#VALUE!</v>
      </c>
      <c r="GL42" s="301" t="e">
        <f t="shared" ca="1" si="32"/>
        <v>#VALUE!</v>
      </c>
      <c r="GM42" s="301" t="e">
        <f t="shared" ca="1" si="32"/>
        <v>#VALUE!</v>
      </c>
      <c r="GN42" s="302" t="e">
        <f t="shared" ca="1" si="32"/>
        <v>#VALUE!</v>
      </c>
      <c r="GO42" s="302" t="e">
        <f t="shared" ca="1" si="32"/>
        <v>#VALUE!</v>
      </c>
      <c r="GP42" s="301">
        <f t="shared" si="41"/>
        <v>80</v>
      </c>
      <c r="GQ42" s="301">
        <f t="shared" si="41"/>
        <v>160</v>
      </c>
      <c r="GR42" s="301">
        <f t="shared" si="41"/>
        <v>160</v>
      </c>
      <c r="GS42" s="301">
        <f t="shared" si="41"/>
        <v>120</v>
      </c>
      <c r="GT42" s="301">
        <f t="shared" si="41"/>
        <v>80</v>
      </c>
      <c r="GU42" s="303">
        <f t="shared" si="41"/>
        <v>80</v>
      </c>
      <c r="GV42" s="302">
        <f t="shared" si="41"/>
        <v>80</v>
      </c>
      <c r="GW42" s="302">
        <f t="shared" si="41"/>
        <v>60</v>
      </c>
      <c r="GX42" s="302">
        <f t="shared" si="41"/>
        <v>0</v>
      </c>
      <c r="GY42" s="302">
        <f t="shared" si="41"/>
        <v>0</v>
      </c>
      <c r="GZ42" s="302">
        <f t="shared" si="41"/>
        <v>0</v>
      </c>
      <c r="HA42" s="302">
        <f t="shared" si="41"/>
        <v>0</v>
      </c>
      <c r="HB42" s="302">
        <f t="shared" si="41"/>
        <v>0</v>
      </c>
      <c r="HC42" s="302">
        <f t="shared" si="41"/>
        <v>0</v>
      </c>
      <c r="HD42" s="302">
        <f t="shared" si="41"/>
        <v>0</v>
      </c>
      <c r="HE42" s="302">
        <f t="shared" si="41"/>
        <v>0</v>
      </c>
      <c r="HF42" s="304"/>
      <c r="HG42" s="305"/>
    </row>
    <row r="43" spans="1:215" s="306" customFormat="1" ht="15.75" customHeight="1">
      <c r="A43" s="307"/>
      <c r="B43" s="292"/>
      <c r="C43" s="292"/>
      <c r="D43" s="292"/>
      <c r="E43" s="292"/>
      <c r="F43" s="292"/>
      <c r="G43" s="292"/>
      <c r="H43" s="292"/>
      <c r="I43" s="292"/>
      <c r="J43" s="292"/>
      <c r="K43" s="292"/>
      <c r="L43" s="292"/>
      <c r="M43" s="292"/>
      <c r="N43" s="292"/>
      <c r="O43" s="292"/>
      <c r="P43" s="292"/>
      <c r="Q43" s="293">
        <f t="shared" si="42"/>
        <v>0</v>
      </c>
      <c r="R43" s="294">
        <f t="shared" si="43"/>
        <v>0</v>
      </c>
      <c r="S43" s="295"/>
      <c r="T43" s="295">
        <f t="shared" si="44"/>
        <v>0</v>
      </c>
      <c r="U43" s="296"/>
      <c r="V43" s="295"/>
      <c r="W43" s="292"/>
      <c r="X43" s="292"/>
      <c r="Y43" s="292"/>
      <c r="Z43" s="292"/>
      <c r="AA43" s="297">
        <f>[1]Resourcing!QD47</f>
        <v>122.89603960396001</v>
      </c>
      <c r="AB43" s="298"/>
      <c r="AC43" s="299"/>
      <c r="AD43" s="299"/>
      <c r="AE43" s="299"/>
      <c r="AF43" s="299"/>
      <c r="AG43" s="299"/>
      <c r="AH43" s="299"/>
      <c r="AI43" s="299"/>
      <c r="AJ43" s="299"/>
      <c r="AK43" s="299"/>
      <c r="AL43" s="299"/>
      <c r="AM43" s="299"/>
      <c r="AN43" s="299"/>
      <c r="AO43" s="299"/>
      <c r="AP43" s="299"/>
      <c r="AQ43" s="299"/>
      <c r="AR43" s="299"/>
      <c r="AS43" s="299"/>
      <c r="AT43" s="299"/>
      <c r="AU43" s="299"/>
      <c r="AV43" s="299"/>
      <c r="AW43" s="299"/>
      <c r="AX43" s="299"/>
      <c r="AY43" s="299"/>
      <c r="AZ43" s="299"/>
      <c r="BA43" s="299"/>
      <c r="BB43" s="299"/>
      <c r="BC43" s="299"/>
      <c r="BD43" s="299"/>
      <c r="BE43" s="299"/>
      <c r="BF43" s="299"/>
      <c r="BG43" s="299"/>
      <c r="BH43" s="299"/>
      <c r="BI43" s="299"/>
      <c r="BJ43" s="299"/>
      <c r="BK43" s="299"/>
      <c r="BL43" s="299"/>
      <c r="BM43" s="299"/>
      <c r="BN43" s="299"/>
      <c r="BO43" s="299"/>
      <c r="BP43" s="299"/>
      <c r="BQ43" s="299"/>
      <c r="BR43" s="299"/>
      <c r="BS43" s="299"/>
      <c r="BT43" s="299"/>
      <c r="BU43" s="299"/>
      <c r="BV43" s="299"/>
      <c r="BW43" s="299"/>
      <c r="BX43" s="299"/>
      <c r="BY43" s="299"/>
      <c r="BZ43" s="299"/>
      <c r="CA43" s="299"/>
      <c r="CB43" s="299"/>
      <c r="CC43" s="299"/>
      <c r="CD43" s="299"/>
      <c r="CE43" s="299"/>
      <c r="CF43" s="299"/>
      <c r="CG43" s="299"/>
      <c r="CH43" s="299"/>
      <c r="CI43" s="299"/>
      <c r="CJ43" s="299"/>
      <c r="CK43" s="299"/>
      <c r="CL43" s="299"/>
      <c r="CM43" s="299"/>
      <c r="CN43" s="299"/>
      <c r="CO43" s="299"/>
      <c r="CP43" s="299"/>
      <c r="CQ43" s="299"/>
      <c r="CR43" s="299"/>
      <c r="CS43" s="299"/>
      <c r="CT43" s="299"/>
      <c r="CU43" s="299"/>
      <c r="CV43" s="299"/>
      <c r="CW43" s="299"/>
      <c r="CX43" s="299"/>
      <c r="CY43" s="299"/>
      <c r="CZ43" s="299"/>
      <c r="DA43" s="299"/>
      <c r="DB43" s="299"/>
      <c r="DC43" s="299"/>
      <c r="DD43" s="299"/>
      <c r="DE43" s="299"/>
      <c r="DF43" s="299"/>
      <c r="DG43" s="299"/>
      <c r="DH43" s="299"/>
      <c r="DI43" s="299"/>
      <c r="DJ43" s="299"/>
      <c r="DK43" s="299"/>
      <c r="DL43" s="299"/>
      <c r="DM43" s="299"/>
      <c r="DN43" s="299"/>
      <c r="DO43" s="299"/>
      <c r="DP43" s="299"/>
      <c r="DQ43" s="299"/>
      <c r="DR43" s="299"/>
      <c r="DS43" s="299"/>
      <c r="DT43" s="299"/>
      <c r="DU43" s="299"/>
      <c r="DV43" s="299"/>
      <c r="DW43" s="299"/>
      <c r="DX43" s="299"/>
      <c r="DY43" s="299"/>
      <c r="DZ43" s="299"/>
      <c r="EA43" s="299"/>
      <c r="EB43" s="299"/>
      <c r="EC43" s="299"/>
      <c r="ED43" s="299"/>
      <c r="EE43" s="299"/>
      <c r="EF43" s="299"/>
      <c r="EG43" s="299"/>
      <c r="EH43" s="299"/>
      <c r="EI43" s="299"/>
      <c r="EJ43" s="299"/>
      <c r="EK43" s="299"/>
      <c r="EL43" s="299"/>
      <c r="EM43" s="299"/>
      <c r="EN43" s="299"/>
      <c r="EO43" s="299"/>
      <c r="EP43" s="299"/>
      <c r="EQ43" s="299"/>
      <c r="ER43" s="299"/>
      <c r="ES43" s="299"/>
      <c r="ET43" s="299"/>
      <c r="EU43" s="299"/>
      <c r="EV43" s="299"/>
      <c r="EW43" s="299"/>
      <c r="EX43" s="299"/>
      <c r="EY43" s="299"/>
      <c r="EZ43" s="299"/>
      <c r="FA43" s="299"/>
      <c r="FB43" s="299"/>
      <c r="FC43" s="299"/>
      <c r="FD43" s="299"/>
      <c r="FE43" s="299"/>
      <c r="FF43" s="299"/>
      <c r="FG43" s="299"/>
      <c r="FH43" s="299"/>
      <c r="FI43" s="299"/>
      <c r="FJ43" s="299"/>
      <c r="FK43" s="299"/>
      <c r="FL43" s="299"/>
      <c r="FM43" s="299"/>
      <c r="FN43" s="299"/>
      <c r="FO43" s="299"/>
      <c r="FP43" s="299"/>
      <c r="FQ43" s="300" t="e">
        <f t="shared" ca="1" si="18"/>
        <v>#VALUE!</v>
      </c>
      <c r="FR43" s="300" t="e">
        <f t="shared" ref="FR43:GA52" ca="1" si="45">SUMIF($AC$11:$FP$11,FR$12,$AC43:$FP43)</f>
        <v>#VALUE!</v>
      </c>
      <c r="FS43" s="300" t="e">
        <f t="shared" ca="1" si="45"/>
        <v>#VALUE!</v>
      </c>
      <c r="FT43" s="300" t="e">
        <f t="shared" ca="1" si="45"/>
        <v>#VALUE!</v>
      </c>
      <c r="FU43" s="300" t="e">
        <f t="shared" ca="1" si="45"/>
        <v>#VALUE!</v>
      </c>
      <c r="FV43" s="300" t="e">
        <f t="shared" ca="1" si="45"/>
        <v>#VALUE!</v>
      </c>
      <c r="FW43" s="300" t="e">
        <f t="shared" ca="1" si="45"/>
        <v>#VALUE!</v>
      </c>
      <c r="FX43" s="300" t="e">
        <f t="shared" ca="1" si="45"/>
        <v>#VALUE!</v>
      </c>
      <c r="FY43" s="300" t="e">
        <f t="shared" ca="1" si="45"/>
        <v>#VALUE!</v>
      </c>
      <c r="FZ43" s="300" t="e">
        <f t="shared" ca="1" si="45"/>
        <v>#VALUE!</v>
      </c>
      <c r="GA43" s="301" t="e">
        <f t="shared" ca="1" si="45"/>
        <v>#VALUE!</v>
      </c>
      <c r="GB43" s="301" t="e">
        <f t="shared" ref="GB43:GO52" ca="1" si="46">SUMIF($AC$11:$FP$11,GB$12,$AC43:$FP43)</f>
        <v>#VALUE!</v>
      </c>
      <c r="GC43" s="301" t="e">
        <f t="shared" ca="1" si="46"/>
        <v>#VALUE!</v>
      </c>
      <c r="GD43" s="301" t="e">
        <f t="shared" ca="1" si="46"/>
        <v>#VALUE!</v>
      </c>
      <c r="GE43" s="301" t="e">
        <f t="shared" ca="1" si="46"/>
        <v>#VALUE!</v>
      </c>
      <c r="GF43" s="301" t="e">
        <f t="shared" ca="1" si="46"/>
        <v>#VALUE!</v>
      </c>
      <c r="GG43" s="301" t="e">
        <f t="shared" ca="1" si="46"/>
        <v>#VALUE!</v>
      </c>
      <c r="GH43" s="301" t="e">
        <f t="shared" ca="1" si="46"/>
        <v>#VALUE!</v>
      </c>
      <c r="GI43" s="301" t="e">
        <f t="shared" ca="1" si="46"/>
        <v>#VALUE!</v>
      </c>
      <c r="GJ43" s="301" t="e">
        <f t="shared" ca="1" si="46"/>
        <v>#VALUE!</v>
      </c>
      <c r="GK43" s="301" t="e">
        <f t="shared" ca="1" si="46"/>
        <v>#VALUE!</v>
      </c>
      <c r="GL43" s="301" t="e">
        <f t="shared" ca="1" si="46"/>
        <v>#VALUE!</v>
      </c>
      <c r="GM43" s="301" t="e">
        <f t="shared" ca="1" si="46"/>
        <v>#VALUE!</v>
      </c>
      <c r="GN43" s="302" t="e">
        <f t="shared" ca="1" si="46"/>
        <v>#VALUE!</v>
      </c>
      <c r="GO43" s="302" t="e">
        <f t="shared" ca="1" si="46"/>
        <v>#VALUE!</v>
      </c>
      <c r="GP43" s="301">
        <f t="shared" si="41"/>
        <v>0</v>
      </c>
      <c r="GQ43" s="301">
        <f t="shared" si="41"/>
        <v>0</v>
      </c>
      <c r="GR43" s="301">
        <f t="shared" si="41"/>
        <v>0</v>
      </c>
      <c r="GS43" s="301">
        <f t="shared" si="41"/>
        <v>0</v>
      </c>
      <c r="GT43" s="301">
        <f t="shared" si="41"/>
        <v>0</v>
      </c>
      <c r="GU43" s="303">
        <f t="shared" si="41"/>
        <v>0</v>
      </c>
      <c r="GV43" s="302">
        <f t="shared" si="41"/>
        <v>0</v>
      </c>
      <c r="GW43" s="302">
        <f t="shared" si="41"/>
        <v>0</v>
      </c>
      <c r="GX43" s="302">
        <f t="shared" si="41"/>
        <v>0</v>
      </c>
      <c r="GY43" s="302">
        <f t="shared" si="41"/>
        <v>0</v>
      </c>
      <c r="GZ43" s="302">
        <f t="shared" si="41"/>
        <v>0</v>
      </c>
      <c r="HA43" s="302">
        <f t="shared" si="41"/>
        <v>0</v>
      </c>
      <c r="HB43" s="302">
        <f t="shared" si="41"/>
        <v>0</v>
      </c>
      <c r="HC43" s="302">
        <f t="shared" si="41"/>
        <v>0</v>
      </c>
      <c r="HD43" s="302">
        <f t="shared" si="41"/>
        <v>0</v>
      </c>
      <c r="HE43" s="302">
        <f t="shared" si="41"/>
        <v>0</v>
      </c>
      <c r="HF43" s="304"/>
      <c r="HG43" s="305"/>
    </row>
    <row r="44" spans="1:215" s="306" customFormat="1" ht="15.75" customHeight="1">
      <c r="A44" s="307"/>
      <c r="B44" s="292" t="s">
        <v>85</v>
      </c>
      <c r="C44" s="292" t="s">
        <v>194</v>
      </c>
      <c r="D44" s="292" t="s">
        <v>217</v>
      </c>
      <c r="E44" s="292" t="s">
        <v>401</v>
      </c>
      <c r="F44" s="292" t="s">
        <v>186</v>
      </c>
      <c r="G44" s="292" t="s">
        <v>350</v>
      </c>
      <c r="H44" s="292" t="s">
        <v>351</v>
      </c>
      <c r="I44" s="292" t="s">
        <v>352</v>
      </c>
      <c r="J44" s="292" t="s">
        <v>186</v>
      </c>
      <c r="K44" s="292" t="s">
        <v>353</v>
      </c>
      <c r="L44" s="292" t="s">
        <v>359</v>
      </c>
      <c r="M44" s="292" t="s">
        <v>371</v>
      </c>
      <c r="N44" s="292" t="str">
        <f t="shared" ref="N44:N54" si="47">_xlfn.CONCAT(C44,"-",D44)</f>
        <v>OTC-Order Management</v>
      </c>
      <c r="O44" s="292" t="str">
        <f t="shared" ref="O44:O54" si="48">_xlfn.CONCAT(Y44,"-",Z44,"-",F44,"-",X44)</f>
        <v>Technology-Manager-US-Consulting</v>
      </c>
      <c r="P44" s="292" t="str">
        <f t="shared" ref="P44:P54" si="49">_xlfn.CONCAT(C44," - ",Y44)</f>
        <v>OTC - Technology</v>
      </c>
      <c r="Q44" s="293">
        <f t="shared" si="42"/>
        <v>1101600</v>
      </c>
      <c r="R44" s="294">
        <f t="shared" si="43"/>
        <v>134640</v>
      </c>
      <c r="S44" s="295">
        <f t="shared" ref="S44:S54" si="50">SUM(GP44:HN44)</f>
        <v>0</v>
      </c>
      <c r="T44" s="295">
        <f t="shared" si="44"/>
        <v>3600</v>
      </c>
      <c r="U44" s="296" t="str">
        <f t="shared" ref="U44:U54" si="51">_xlfn.CONCAT(Y44," - ",Z44)</f>
        <v>Technology - Manager</v>
      </c>
      <c r="V44" s="295" t="str">
        <f t="shared" ref="V44:V54" si="52">VLOOKUP(O44,$B$187:$H$848,4,0)</f>
        <v>5-7 years</v>
      </c>
      <c r="W44" s="292" t="str">
        <f t="shared" ref="W44:W54" si="53">IF(F44="US", "Onshore",IF(F44="India","Offshore", "Nearshore"))</f>
        <v>Onshore</v>
      </c>
      <c r="X44" s="292" t="s">
        <v>261</v>
      </c>
      <c r="Y44" s="292" t="s">
        <v>259</v>
      </c>
      <c r="Z44" s="292" t="s">
        <v>376</v>
      </c>
      <c r="AA44" s="297">
        <f>[1]Resourcing!QD48</f>
        <v>77.842219959266799</v>
      </c>
      <c r="AB44" s="298">
        <f t="shared" ref="AB44:AB54" si="54">IFERROR(VLOOKUP(O44,$B$187:$S$848,6,FALSE()),"combination not found")</f>
        <v>306</v>
      </c>
      <c r="AC44" s="299"/>
      <c r="AD44" s="299"/>
      <c r="AE44" s="299"/>
      <c r="AF44" s="299"/>
      <c r="AG44" s="299"/>
      <c r="AH44" s="299"/>
      <c r="AI44" s="299"/>
      <c r="AJ44" s="299"/>
      <c r="AK44" s="299"/>
      <c r="AL44" s="299"/>
      <c r="AM44" s="299"/>
      <c r="AN44" s="299"/>
      <c r="AO44" s="299"/>
      <c r="AP44" s="299"/>
      <c r="AQ44" s="299"/>
      <c r="AR44" s="299"/>
      <c r="AS44" s="299"/>
      <c r="AT44" s="299"/>
      <c r="AU44" s="299"/>
      <c r="AV44" s="299"/>
      <c r="AW44" s="299"/>
      <c r="AX44" s="299"/>
      <c r="AY44" s="299"/>
      <c r="AZ44" s="299"/>
      <c r="BA44" s="299"/>
      <c r="BB44" s="299"/>
      <c r="BC44" s="299"/>
      <c r="BD44" s="299">
        <v>40</v>
      </c>
      <c r="BE44" s="299">
        <v>40</v>
      </c>
      <c r="BF44" s="299">
        <v>40</v>
      </c>
      <c r="BG44" s="299">
        <v>40</v>
      </c>
      <c r="BH44" s="299">
        <v>40</v>
      </c>
      <c r="BI44" s="299">
        <v>40</v>
      </c>
      <c r="BJ44" s="299">
        <v>40</v>
      </c>
      <c r="BK44" s="299">
        <v>40</v>
      </c>
      <c r="BL44" s="299">
        <v>40</v>
      </c>
      <c r="BM44" s="299">
        <v>40</v>
      </c>
      <c r="BN44" s="299">
        <v>40</v>
      </c>
      <c r="BO44" s="299">
        <v>40</v>
      </c>
      <c r="BP44" s="299">
        <v>40</v>
      </c>
      <c r="BQ44" s="299">
        <v>40</v>
      </c>
      <c r="BR44" s="299"/>
      <c r="BS44" s="299"/>
      <c r="BT44" s="299">
        <v>40</v>
      </c>
      <c r="BU44" s="299">
        <v>40</v>
      </c>
      <c r="BV44" s="299">
        <v>40</v>
      </c>
      <c r="BW44" s="299">
        <v>40</v>
      </c>
      <c r="BX44" s="299">
        <v>40</v>
      </c>
      <c r="BY44" s="299">
        <v>40</v>
      </c>
      <c r="BZ44" s="299">
        <v>40</v>
      </c>
      <c r="CA44" s="299">
        <v>40</v>
      </c>
      <c r="CB44" s="299">
        <v>40</v>
      </c>
      <c r="CC44" s="299">
        <v>40</v>
      </c>
      <c r="CD44" s="299">
        <v>40</v>
      </c>
      <c r="CE44" s="299">
        <v>40</v>
      </c>
      <c r="CF44" s="299">
        <v>40</v>
      </c>
      <c r="CG44" s="299">
        <v>40</v>
      </c>
      <c r="CH44" s="299">
        <v>40</v>
      </c>
      <c r="CI44" s="299">
        <v>40</v>
      </c>
      <c r="CJ44" s="299">
        <v>40</v>
      </c>
      <c r="CK44" s="299">
        <v>40</v>
      </c>
      <c r="CL44" s="299">
        <v>40</v>
      </c>
      <c r="CM44" s="299">
        <v>40</v>
      </c>
      <c r="CN44" s="299">
        <v>40</v>
      </c>
      <c r="CO44" s="299">
        <v>40</v>
      </c>
      <c r="CP44" s="299">
        <v>40</v>
      </c>
      <c r="CQ44" s="299">
        <v>40</v>
      </c>
      <c r="CR44" s="299">
        <v>40</v>
      </c>
      <c r="CS44" s="299">
        <v>40</v>
      </c>
      <c r="CT44" s="299">
        <v>40</v>
      </c>
      <c r="CU44" s="299">
        <v>40</v>
      </c>
      <c r="CV44" s="299">
        <v>40</v>
      </c>
      <c r="CW44" s="299">
        <v>40</v>
      </c>
      <c r="CX44" s="299">
        <v>40</v>
      </c>
      <c r="CY44" s="299">
        <v>40</v>
      </c>
      <c r="CZ44" s="299">
        <v>40</v>
      </c>
      <c r="DA44" s="299">
        <v>40</v>
      </c>
      <c r="DB44" s="299">
        <v>40</v>
      </c>
      <c r="DC44" s="299">
        <v>40</v>
      </c>
      <c r="DD44" s="299">
        <v>40</v>
      </c>
      <c r="DE44" s="299">
        <v>40</v>
      </c>
      <c r="DF44" s="299">
        <v>40</v>
      </c>
      <c r="DG44" s="299">
        <v>40</v>
      </c>
      <c r="DH44" s="299">
        <v>40</v>
      </c>
      <c r="DI44" s="299">
        <v>40</v>
      </c>
      <c r="DJ44" s="299">
        <v>40</v>
      </c>
      <c r="DK44" s="299">
        <v>40</v>
      </c>
      <c r="DL44" s="299">
        <v>40</v>
      </c>
      <c r="DM44" s="299">
        <v>40</v>
      </c>
      <c r="DN44" s="299">
        <v>40</v>
      </c>
      <c r="DO44" s="299">
        <v>40</v>
      </c>
      <c r="DP44" s="299">
        <v>40</v>
      </c>
      <c r="DQ44" s="299">
        <v>40</v>
      </c>
      <c r="DR44" s="299"/>
      <c r="DS44" s="299"/>
      <c r="DT44" s="299">
        <v>40</v>
      </c>
      <c r="DU44" s="299">
        <v>40</v>
      </c>
      <c r="DV44" s="299">
        <v>40</v>
      </c>
      <c r="DW44" s="299">
        <v>40</v>
      </c>
      <c r="DX44" s="299">
        <v>40</v>
      </c>
      <c r="DY44" s="299">
        <v>40</v>
      </c>
      <c r="DZ44" s="299">
        <v>40</v>
      </c>
      <c r="EA44" s="299">
        <v>40</v>
      </c>
      <c r="EB44" s="299">
        <v>40</v>
      </c>
      <c r="EC44" s="299">
        <v>40</v>
      </c>
      <c r="ED44" s="299">
        <v>40</v>
      </c>
      <c r="EE44" s="299">
        <v>40</v>
      </c>
      <c r="EF44" s="299">
        <v>40</v>
      </c>
      <c r="EG44" s="299">
        <v>40</v>
      </c>
      <c r="EH44" s="299">
        <v>40</v>
      </c>
      <c r="EI44" s="299">
        <v>40</v>
      </c>
      <c r="EJ44" s="299">
        <v>40</v>
      </c>
      <c r="EK44" s="299">
        <v>40</v>
      </c>
      <c r="EL44" s="299">
        <v>40</v>
      </c>
      <c r="EM44" s="299">
        <v>40</v>
      </c>
      <c r="EN44" s="299">
        <v>40</v>
      </c>
      <c r="EO44" s="299">
        <v>40</v>
      </c>
      <c r="EP44" s="299">
        <v>40</v>
      </c>
      <c r="EQ44" s="299">
        <v>40</v>
      </c>
      <c r="ER44" s="299">
        <v>40</v>
      </c>
      <c r="ES44" s="299">
        <v>40</v>
      </c>
      <c r="ET44" s="299"/>
      <c r="EU44" s="299"/>
      <c r="EV44" s="299"/>
      <c r="EW44" s="299"/>
      <c r="EX44" s="299"/>
      <c r="EY44" s="299"/>
      <c r="EZ44" s="299"/>
      <c r="FA44" s="299"/>
      <c r="FB44" s="299"/>
      <c r="FC44" s="299"/>
      <c r="FD44" s="299"/>
      <c r="FE44" s="299"/>
      <c r="FF44" s="299"/>
      <c r="FG44" s="299"/>
      <c r="FH44" s="299"/>
      <c r="FI44" s="299"/>
      <c r="FJ44" s="299"/>
      <c r="FK44" s="299"/>
      <c r="FL44" s="299"/>
      <c r="FM44" s="299"/>
      <c r="FN44" s="299"/>
      <c r="FO44" s="299"/>
      <c r="FP44" s="299"/>
      <c r="FQ44" s="300" t="e">
        <f t="shared" ca="1" si="18"/>
        <v>#VALUE!</v>
      </c>
      <c r="FR44" s="300" t="e">
        <f t="shared" ca="1" si="45"/>
        <v>#VALUE!</v>
      </c>
      <c r="FS44" s="300" t="e">
        <f t="shared" ca="1" si="45"/>
        <v>#VALUE!</v>
      </c>
      <c r="FT44" s="300" t="e">
        <f t="shared" ca="1" si="45"/>
        <v>#VALUE!</v>
      </c>
      <c r="FU44" s="300" t="e">
        <f t="shared" ca="1" si="45"/>
        <v>#VALUE!</v>
      </c>
      <c r="FV44" s="300" t="e">
        <f t="shared" ca="1" si="45"/>
        <v>#VALUE!</v>
      </c>
      <c r="FW44" s="300" t="e">
        <f t="shared" ca="1" si="45"/>
        <v>#VALUE!</v>
      </c>
      <c r="FX44" s="300" t="e">
        <f t="shared" ca="1" si="45"/>
        <v>#VALUE!</v>
      </c>
      <c r="FY44" s="300" t="e">
        <f t="shared" ca="1" si="45"/>
        <v>#VALUE!</v>
      </c>
      <c r="FZ44" s="300" t="e">
        <f t="shared" ca="1" si="45"/>
        <v>#VALUE!</v>
      </c>
      <c r="GA44" s="301" t="e">
        <f t="shared" ca="1" si="45"/>
        <v>#VALUE!</v>
      </c>
      <c r="GB44" s="301" t="e">
        <f t="shared" ca="1" si="46"/>
        <v>#VALUE!</v>
      </c>
      <c r="GC44" s="301" t="e">
        <f t="shared" ca="1" si="46"/>
        <v>#VALUE!</v>
      </c>
      <c r="GD44" s="301" t="e">
        <f t="shared" ca="1" si="46"/>
        <v>#VALUE!</v>
      </c>
      <c r="GE44" s="301" t="e">
        <f t="shared" ca="1" si="46"/>
        <v>#VALUE!</v>
      </c>
      <c r="GF44" s="301" t="e">
        <f t="shared" ca="1" si="46"/>
        <v>#VALUE!</v>
      </c>
      <c r="GG44" s="301" t="e">
        <f t="shared" ca="1" si="46"/>
        <v>#VALUE!</v>
      </c>
      <c r="GH44" s="301" t="e">
        <f t="shared" ca="1" si="46"/>
        <v>#VALUE!</v>
      </c>
      <c r="GI44" s="301" t="e">
        <f t="shared" ca="1" si="46"/>
        <v>#VALUE!</v>
      </c>
      <c r="GJ44" s="301" t="e">
        <f t="shared" ca="1" si="46"/>
        <v>#VALUE!</v>
      </c>
      <c r="GK44" s="301" t="e">
        <f t="shared" ca="1" si="46"/>
        <v>#VALUE!</v>
      </c>
      <c r="GL44" s="301" t="e">
        <f t="shared" ca="1" si="46"/>
        <v>#VALUE!</v>
      </c>
      <c r="GM44" s="301" t="e">
        <f t="shared" ca="1" si="46"/>
        <v>#VALUE!</v>
      </c>
      <c r="GN44" s="302" t="e">
        <f t="shared" ca="1" si="46"/>
        <v>#VALUE!</v>
      </c>
      <c r="GO44" s="302" t="e">
        <f t="shared" ca="1" si="46"/>
        <v>#VALUE!</v>
      </c>
      <c r="GP44" s="301"/>
      <c r="GQ44" s="301"/>
      <c r="GR44" s="301"/>
      <c r="GS44" s="301"/>
      <c r="GT44" s="301"/>
      <c r="GU44" s="303"/>
      <c r="GV44" s="302"/>
      <c r="GW44" s="302"/>
      <c r="GX44" s="302"/>
      <c r="GY44" s="302"/>
      <c r="GZ44" s="302"/>
      <c r="HA44" s="302"/>
      <c r="HB44" s="302"/>
      <c r="HC44" s="302"/>
      <c r="HD44" s="302"/>
      <c r="HE44" s="302"/>
      <c r="HF44" s="304"/>
      <c r="HG44" s="305"/>
    </row>
    <row r="45" spans="1:215" s="306" customFormat="1" ht="15.75" customHeight="1">
      <c r="A45" s="309"/>
      <c r="B45" s="292" t="s">
        <v>85</v>
      </c>
      <c r="C45" s="292" t="s">
        <v>194</v>
      </c>
      <c r="D45" s="292" t="s">
        <v>217</v>
      </c>
      <c r="E45" s="292" t="s">
        <v>402</v>
      </c>
      <c r="F45" s="292" t="s">
        <v>186</v>
      </c>
      <c r="G45" s="292" t="s">
        <v>350</v>
      </c>
      <c r="H45" s="292" t="s">
        <v>351</v>
      </c>
      <c r="I45" s="292" t="s">
        <v>352</v>
      </c>
      <c r="J45" s="292" t="s">
        <v>186</v>
      </c>
      <c r="K45" s="292" t="s">
        <v>353</v>
      </c>
      <c r="L45" s="292" t="s">
        <v>359</v>
      </c>
      <c r="M45" s="292" t="s">
        <v>367</v>
      </c>
      <c r="N45" s="292" t="str">
        <f t="shared" si="47"/>
        <v>OTC-Order Management</v>
      </c>
      <c r="O45" s="292" t="str">
        <f t="shared" si="48"/>
        <v>Technology-Consultant-US-Consulting</v>
      </c>
      <c r="P45" s="292" t="str">
        <f t="shared" si="49"/>
        <v>OTC - Technology</v>
      </c>
      <c r="Q45" s="293">
        <f t="shared" si="42"/>
        <v>445230</v>
      </c>
      <c r="R45" s="294">
        <f t="shared" si="43"/>
        <v>0</v>
      </c>
      <c r="S45" s="295" t="e">
        <f t="shared" ca="1" si="50"/>
        <v>#VALUE!</v>
      </c>
      <c r="T45" s="295">
        <f t="shared" si="44"/>
        <v>2295</v>
      </c>
      <c r="U45" s="296" t="str">
        <f t="shared" si="51"/>
        <v>Technology - Consultant</v>
      </c>
      <c r="V45" s="295" t="str">
        <f t="shared" si="52"/>
        <v>1-3 years</v>
      </c>
      <c r="W45" s="292" t="str">
        <f t="shared" si="53"/>
        <v>Onshore</v>
      </c>
      <c r="X45" s="292" t="s">
        <v>261</v>
      </c>
      <c r="Y45" s="292" t="s">
        <v>259</v>
      </c>
      <c r="Z45" s="292" t="s">
        <v>368</v>
      </c>
      <c r="AA45" s="297">
        <f>[1]Resourcing!QD49</f>
        <v>227.016759259259</v>
      </c>
      <c r="AB45" s="298">
        <f t="shared" si="54"/>
        <v>194</v>
      </c>
      <c r="AC45" s="299"/>
      <c r="AD45" s="299"/>
      <c r="AE45" s="299"/>
      <c r="AF45" s="299"/>
      <c r="AG45" s="299"/>
      <c r="AH45" s="299"/>
      <c r="AI45" s="299"/>
      <c r="AJ45" s="299"/>
      <c r="AK45" s="299"/>
      <c r="AL45" s="299"/>
      <c r="AM45" s="299"/>
      <c r="AN45" s="299"/>
      <c r="AO45" s="299"/>
      <c r="AP45" s="299"/>
      <c r="AQ45" s="299"/>
      <c r="AR45" s="299"/>
      <c r="AS45" s="299"/>
      <c r="AT45" s="299"/>
      <c r="AU45" s="299"/>
      <c r="AV45" s="299"/>
      <c r="AW45" s="299"/>
      <c r="AX45" s="299"/>
      <c r="AY45" s="299"/>
      <c r="AZ45" s="299"/>
      <c r="BA45" s="299"/>
      <c r="BB45" s="299"/>
      <c r="BC45" s="299"/>
      <c r="BD45" s="299"/>
      <c r="BE45" s="299"/>
      <c r="BF45" s="299"/>
      <c r="BG45" s="299"/>
      <c r="BH45" s="299"/>
      <c r="BI45" s="299"/>
      <c r="BJ45" s="299"/>
      <c r="BK45" s="299"/>
      <c r="BL45" s="299"/>
      <c r="BM45" s="299"/>
      <c r="BN45" s="299"/>
      <c r="BO45" s="299"/>
      <c r="BP45" s="299"/>
      <c r="BQ45" s="299"/>
      <c r="BR45" s="299"/>
      <c r="BS45" s="299"/>
      <c r="BT45" s="299">
        <v>45</v>
      </c>
      <c r="BU45" s="299">
        <v>45</v>
      </c>
      <c r="BV45" s="299">
        <v>45</v>
      </c>
      <c r="BW45" s="299">
        <v>45</v>
      </c>
      <c r="BX45" s="299">
        <v>45</v>
      </c>
      <c r="BY45" s="299">
        <v>45</v>
      </c>
      <c r="BZ45" s="299">
        <v>45</v>
      </c>
      <c r="CA45" s="299">
        <v>45</v>
      </c>
      <c r="CB45" s="299">
        <v>45</v>
      </c>
      <c r="CC45" s="299">
        <v>45</v>
      </c>
      <c r="CD45" s="299">
        <v>45</v>
      </c>
      <c r="CE45" s="299">
        <v>45</v>
      </c>
      <c r="CF45" s="299">
        <v>45</v>
      </c>
      <c r="CG45" s="299">
        <v>45</v>
      </c>
      <c r="CH45" s="299">
        <v>45</v>
      </c>
      <c r="CI45" s="299">
        <v>45</v>
      </c>
      <c r="CJ45" s="299">
        <v>45</v>
      </c>
      <c r="CK45" s="299">
        <v>45</v>
      </c>
      <c r="CL45" s="299">
        <v>45</v>
      </c>
      <c r="CM45" s="299">
        <v>45</v>
      </c>
      <c r="CN45" s="299">
        <v>45</v>
      </c>
      <c r="CO45" s="299">
        <v>45</v>
      </c>
      <c r="CP45" s="299">
        <v>45</v>
      </c>
      <c r="CQ45" s="299">
        <v>45</v>
      </c>
      <c r="CR45" s="299">
        <v>45</v>
      </c>
      <c r="CS45" s="299">
        <v>45</v>
      </c>
      <c r="CT45" s="299">
        <v>45</v>
      </c>
      <c r="CU45" s="299">
        <v>45</v>
      </c>
      <c r="CV45" s="299">
        <v>45</v>
      </c>
      <c r="CW45" s="299">
        <v>45</v>
      </c>
      <c r="CX45" s="299">
        <v>45</v>
      </c>
      <c r="CY45" s="299">
        <v>45</v>
      </c>
      <c r="CZ45" s="299">
        <v>45</v>
      </c>
      <c r="DA45" s="299">
        <v>45</v>
      </c>
      <c r="DB45" s="299">
        <v>45</v>
      </c>
      <c r="DC45" s="299">
        <v>45</v>
      </c>
      <c r="DD45" s="299">
        <v>45</v>
      </c>
      <c r="DE45" s="299">
        <v>45</v>
      </c>
      <c r="DF45" s="299">
        <v>45</v>
      </c>
      <c r="DG45" s="299">
        <v>45</v>
      </c>
      <c r="DH45" s="299">
        <v>45</v>
      </c>
      <c r="DI45" s="299">
        <v>45</v>
      </c>
      <c r="DJ45" s="299">
        <v>45</v>
      </c>
      <c r="DK45" s="299">
        <v>45</v>
      </c>
      <c r="DL45" s="299">
        <v>45</v>
      </c>
      <c r="DM45" s="299">
        <v>45</v>
      </c>
      <c r="DN45" s="299">
        <v>45</v>
      </c>
      <c r="DO45" s="299">
        <v>45</v>
      </c>
      <c r="DP45" s="299">
        <v>45</v>
      </c>
      <c r="DQ45" s="299">
        <v>45</v>
      </c>
      <c r="DR45" s="299"/>
      <c r="DS45" s="299"/>
      <c r="DT45" s="299">
        <v>45</v>
      </c>
      <c r="DU45" s="299"/>
      <c r="DV45" s="299"/>
      <c r="DW45" s="299"/>
      <c r="DX45" s="299"/>
      <c r="DY45" s="299"/>
      <c r="DZ45" s="299"/>
      <c r="EA45" s="299"/>
      <c r="EB45" s="299"/>
      <c r="EC45" s="299"/>
      <c r="ED45" s="299"/>
      <c r="EE45" s="299"/>
      <c r="EF45" s="299"/>
      <c r="EG45" s="299"/>
      <c r="EH45" s="299"/>
      <c r="EI45" s="299"/>
      <c r="EJ45" s="299"/>
      <c r="EK45" s="299"/>
      <c r="EL45" s="299"/>
      <c r="EM45" s="299"/>
      <c r="EN45" s="299"/>
      <c r="EO45" s="299"/>
      <c r="EP45" s="299"/>
      <c r="EQ45" s="299"/>
      <c r="ER45" s="299"/>
      <c r="ES45" s="299"/>
      <c r="ET45" s="299"/>
      <c r="EU45" s="299"/>
      <c r="EV45" s="299"/>
      <c r="EW45" s="299"/>
      <c r="EX45" s="299"/>
      <c r="EY45" s="299"/>
      <c r="EZ45" s="299"/>
      <c r="FA45" s="299"/>
      <c r="FB45" s="299"/>
      <c r="FC45" s="299"/>
      <c r="FD45" s="299"/>
      <c r="FE45" s="299"/>
      <c r="FF45" s="299"/>
      <c r="FG45" s="299"/>
      <c r="FH45" s="299"/>
      <c r="FI45" s="299"/>
      <c r="FJ45" s="299"/>
      <c r="FK45" s="299"/>
      <c r="FL45" s="299"/>
      <c r="FM45" s="299"/>
      <c r="FN45" s="299"/>
      <c r="FO45" s="299"/>
      <c r="FP45" s="299"/>
      <c r="FQ45" s="300" t="e">
        <f t="shared" ca="1" si="18"/>
        <v>#VALUE!</v>
      </c>
      <c r="FR45" s="300" t="e">
        <f t="shared" ca="1" si="45"/>
        <v>#VALUE!</v>
      </c>
      <c r="FS45" s="300" t="e">
        <f t="shared" ca="1" si="45"/>
        <v>#VALUE!</v>
      </c>
      <c r="FT45" s="300" t="e">
        <f t="shared" ca="1" si="45"/>
        <v>#VALUE!</v>
      </c>
      <c r="FU45" s="300" t="e">
        <f t="shared" ca="1" si="45"/>
        <v>#VALUE!</v>
      </c>
      <c r="FV45" s="300" t="e">
        <f t="shared" ca="1" si="45"/>
        <v>#VALUE!</v>
      </c>
      <c r="FW45" s="300" t="e">
        <f t="shared" ca="1" si="45"/>
        <v>#VALUE!</v>
      </c>
      <c r="FX45" s="300" t="e">
        <f t="shared" ca="1" si="45"/>
        <v>#VALUE!</v>
      </c>
      <c r="FY45" s="300" t="e">
        <f t="shared" ca="1" si="45"/>
        <v>#VALUE!</v>
      </c>
      <c r="FZ45" s="300" t="e">
        <f t="shared" ca="1" si="45"/>
        <v>#VALUE!</v>
      </c>
      <c r="GA45" s="301" t="e">
        <f t="shared" ca="1" si="45"/>
        <v>#VALUE!</v>
      </c>
      <c r="GB45" s="301" t="e">
        <f t="shared" ca="1" si="46"/>
        <v>#VALUE!</v>
      </c>
      <c r="GC45" s="301" t="e">
        <f t="shared" ca="1" si="46"/>
        <v>#VALUE!</v>
      </c>
      <c r="GD45" s="301" t="e">
        <f t="shared" ca="1" si="46"/>
        <v>#VALUE!</v>
      </c>
      <c r="GE45" s="301" t="e">
        <f t="shared" ca="1" si="46"/>
        <v>#VALUE!</v>
      </c>
      <c r="GF45" s="301" t="e">
        <f t="shared" ca="1" si="46"/>
        <v>#VALUE!</v>
      </c>
      <c r="GG45" s="301" t="e">
        <f t="shared" ca="1" si="46"/>
        <v>#VALUE!</v>
      </c>
      <c r="GH45" s="301" t="e">
        <f t="shared" ca="1" si="46"/>
        <v>#VALUE!</v>
      </c>
      <c r="GI45" s="301" t="e">
        <f t="shared" ca="1" si="46"/>
        <v>#VALUE!</v>
      </c>
      <c r="GJ45" s="301" t="e">
        <f t="shared" ca="1" si="46"/>
        <v>#VALUE!</v>
      </c>
      <c r="GK45" s="301" t="e">
        <f t="shared" ca="1" si="46"/>
        <v>#VALUE!</v>
      </c>
      <c r="GL45" s="301" t="e">
        <f t="shared" ca="1" si="46"/>
        <v>#VALUE!</v>
      </c>
      <c r="GM45" s="301" t="e">
        <f t="shared" ca="1" si="46"/>
        <v>#VALUE!</v>
      </c>
      <c r="GN45" s="302" t="e">
        <f t="shared" ca="1" si="46"/>
        <v>#VALUE!</v>
      </c>
      <c r="GO45" s="302" t="e">
        <f t="shared" ca="1" si="46"/>
        <v>#VALUE!</v>
      </c>
      <c r="GP45" s="310">
        <f t="shared" ref="GP45:HE50" si="55">SUMIF($AB$8:$FO$8,GP$9,$AB45:$FO45)</f>
        <v>90</v>
      </c>
      <c r="GQ45" s="310">
        <f t="shared" si="55"/>
        <v>45</v>
      </c>
      <c r="GR45" s="310">
        <f t="shared" si="55"/>
        <v>0</v>
      </c>
      <c r="GS45" s="310">
        <f t="shared" si="55"/>
        <v>0</v>
      </c>
      <c r="GT45" s="310">
        <f t="shared" si="55"/>
        <v>0</v>
      </c>
      <c r="GU45" s="311">
        <f t="shared" si="55"/>
        <v>0</v>
      </c>
      <c r="GV45" s="310">
        <f t="shared" si="55"/>
        <v>0</v>
      </c>
      <c r="GW45" s="310">
        <f t="shared" si="55"/>
        <v>0</v>
      </c>
      <c r="GX45" s="310">
        <f t="shared" si="55"/>
        <v>0</v>
      </c>
      <c r="GY45" s="310">
        <f t="shared" si="55"/>
        <v>0</v>
      </c>
      <c r="GZ45" s="310">
        <f t="shared" si="55"/>
        <v>0</v>
      </c>
      <c r="HA45" s="310">
        <f t="shared" si="55"/>
        <v>0</v>
      </c>
      <c r="HB45" s="310">
        <f t="shared" si="55"/>
        <v>0</v>
      </c>
      <c r="HC45" s="310">
        <f t="shared" si="55"/>
        <v>0</v>
      </c>
      <c r="HD45" s="310">
        <f t="shared" si="55"/>
        <v>0</v>
      </c>
      <c r="HE45" s="310">
        <f t="shared" si="55"/>
        <v>0</v>
      </c>
      <c r="HF45" s="304" t="e">
        <f ca="1">SUM(FQ45:HE45)</f>
        <v>#VALUE!</v>
      </c>
      <c r="HG45" s="305" t="e">
        <f ca="1">HF45-S67</f>
        <v>#VALUE!</v>
      </c>
    </row>
    <row r="46" spans="1:215" s="306" customFormat="1" ht="15.75" customHeight="1">
      <c r="A46" s="309"/>
      <c r="B46" s="292" t="s">
        <v>85</v>
      </c>
      <c r="C46" s="292" t="s">
        <v>194</v>
      </c>
      <c r="D46" s="292" t="s">
        <v>217</v>
      </c>
      <c r="E46" s="292" t="s">
        <v>403</v>
      </c>
      <c r="F46" s="292" t="s">
        <v>184</v>
      </c>
      <c r="G46" s="292" t="s">
        <v>350</v>
      </c>
      <c r="H46" s="292" t="s">
        <v>351</v>
      </c>
      <c r="I46" s="292" t="s">
        <v>352</v>
      </c>
      <c r="J46" s="292" t="s">
        <v>184</v>
      </c>
      <c r="K46" s="292" t="s">
        <v>353</v>
      </c>
      <c r="L46" s="292" t="s">
        <v>359</v>
      </c>
      <c r="M46" s="292" t="s">
        <v>371</v>
      </c>
      <c r="N46" s="292" t="str">
        <f t="shared" si="47"/>
        <v>OTC-Order Management</v>
      </c>
      <c r="O46" s="292" t="str">
        <f t="shared" si="48"/>
        <v>Technology-Manager-India-Consulting</v>
      </c>
      <c r="P46" s="292" t="str">
        <f t="shared" si="49"/>
        <v>OTC - Technology</v>
      </c>
      <c r="Q46" s="293">
        <f t="shared" si="42"/>
        <v>392040</v>
      </c>
      <c r="R46" s="294">
        <f t="shared" si="43"/>
        <v>44550</v>
      </c>
      <c r="S46" s="295">
        <f t="shared" si="50"/>
        <v>1215</v>
      </c>
      <c r="T46" s="295">
        <f t="shared" si="44"/>
        <v>3960</v>
      </c>
      <c r="U46" s="296" t="str">
        <f t="shared" si="51"/>
        <v>Technology - Manager</v>
      </c>
      <c r="V46" s="295" t="str">
        <f t="shared" si="52"/>
        <v>5-7 years</v>
      </c>
      <c r="W46" s="292" t="str">
        <f t="shared" si="53"/>
        <v>Offshore</v>
      </c>
      <c r="X46" s="292" t="s">
        <v>261</v>
      </c>
      <c r="Y46" s="292" t="s">
        <v>259</v>
      </c>
      <c r="Z46" s="292" t="s">
        <v>376</v>
      </c>
      <c r="AA46" s="297">
        <f>[1]Resourcing!QD50</f>
        <v>0</v>
      </c>
      <c r="AB46" s="298">
        <f t="shared" si="54"/>
        <v>99</v>
      </c>
      <c r="AC46" s="299"/>
      <c r="AD46" s="299"/>
      <c r="AE46" s="299"/>
      <c r="AF46" s="299"/>
      <c r="AG46" s="299"/>
      <c r="AH46" s="299"/>
      <c r="AI46" s="299"/>
      <c r="AJ46" s="299"/>
      <c r="AK46" s="299"/>
      <c r="AL46" s="299"/>
      <c r="AM46" s="299"/>
      <c r="AN46" s="299"/>
      <c r="AO46" s="299"/>
      <c r="AP46" s="299"/>
      <c r="AQ46" s="299"/>
      <c r="AR46" s="299"/>
      <c r="AS46" s="299"/>
      <c r="AT46" s="299"/>
      <c r="AU46" s="299"/>
      <c r="AV46" s="299"/>
      <c r="AW46" s="299"/>
      <c r="AX46" s="299"/>
      <c r="AY46" s="299"/>
      <c r="AZ46" s="299"/>
      <c r="BA46" s="299"/>
      <c r="BB46" s="299"/>
      <c r="BC46" s="299"/>
      <c r="BD46" s="299"/>
      <c r="BE46" s="299">
        <v>45</v>
      </c>
      <c r="BF46" s="299">
        <v>45</v>
      </c>
      <c r="BG46" s="299">
        <v>45</v>
      </c>
      <c r="BH46" s="299">
        <v>45</v>
      </c>
      <c r="BI46" s="299">
        <v>45</v>
      </c>
      <c r="BJ46" s="299">
        <v>45</v>
      </c>
      <c r="BK46" s="299">
        <v>45</v>
      </c>
      <c r="BL46" s="299">
        <v>45</v>
      </c>
      <c r="BM46" s="299">
        <v>45</v>
      </c>
      <c r="BN46" s="299">
        <v>45</v>
      </c>
      <c r="BO46" s="299">
        <v>45</v>
      </c>
      <c r="BP46" s="299">
        <v>45</v>
      </c>
      <c r="BQ46" s="299">
        <v>45</v>
      </c>
      <c r="BR46" s="299"/>
      <c r="BS46" s="299"/>
      <c r="BT46" s="299">
        <v>45</v>
      </c>
      <c r="BU46" s="299">
        <v>45</v>
      </c>
      <c r="BV46" s="299">
        <v>45</v>
      </c>
      <c r="BW46" s="299">
        <v>45</v>
      </c>
      <c r="BX46" s="299">
        <v>45</v>
      </c>
      <c r="BY46" s="299">
        <v>45</v>
      </c>
      <c r="BZ46" s="299">
        <v>45</v>
      </c>
      <c r="CA46" s="299">
        <v>45</v>
      </c>
      <c r="CB46" s="299">
        <v>45</v>
      </c>
      <c r="CC46" s="299">
        <v>45</v>
      </c>
      <c r="CD46" s="299">
        <v>45</v>
      </c>
      <c r="CE46" s="299">
        <v>45</v>
      </c>
      <c r="CF46" s="299">
        <v>45</v>
      </c>
      <c r="CG46" s="299">
        <v>45</v>
      </c>
      <c r="CH46" s="299">
        <v>45</v>
      </c>
      <c r="CI46" s="299">
        <v>45</v>
      </c>
      <c r="CJ46" s="299">
        <v>45</v>
      </c>
      <c r="CK46" s="299">
        <v>45</v>
      </c>
      <c r="CL46" s="299">
        <v>45</v>
      </c>
      <c r="CM46" s="299">
        <v>45</v>
      </c>
      <c r="CN46" s="299">
        <v>45</v>
      </c>
      <c r="CO46" s="299">
        <v>45</v>
      </c>
      <c r="CP46" s="299">
        <v>45</v>
      </c>
      <c r="CQ46" s="299">
        <v>45</v>
      </c>
      <c r="CR46" s="299">
        <v>45</v>
      </c>
      <c r="CS46" s="299">
        <v>45</v>
      </c>
      <c r="CT46" s="299">
        <v>45</v>
      </c>
      <c r="CU46" s="299">
        <v>45</v>
      </c>
      <c r="CV46" s="299">
        <v>45</v>
      </c>
      <c r="CW46" s="299">
        <v>45</v>
      </c>
      <c r="CX46" s="299">
        <v>45</v>
      </c>
      <c r="CY46" s="299">
        <v>45</v>
      </c>
      <c r="CZ46" s="299">
        <v>45</v>
      </c>
      <c r="DA46" s="299">
        <v>45</v>
      </c>
      <c r="DB46" s="299">
        <v>45</v>
      </c>
      <c r="DC46" s="299">
        <v>45</v>
      </c>
      <c r="DD46" s="299">
        <v>45</v>
      </c>
      <c r="DE46" s="299">
        <v>45</v>
      </c>
      <c r="DF46" s="299">
        <v>45</v>
      </c>
      <c r="DG46" s="299">
        <v>45</v>
      </c>
      <c r="DH46" s="299">
        <v>45</v>
      </c>
      <c r="DI46" s="299">
        <v>45</v>
      </c>
      <c r="DJ46" s="299">
        <v>45</v>
      </c>
      <c r="DK46" s="299">
        <v>45</v>
      </c>
      <c r="DL46" s="299">
        <v>45</v>
      </c>
      <c r="DM46" s="299">
        <v>45</v>
      </c>
      <c r="DN46" s="299">
        <v>45</v>
      </c>
      <c r="DO46" s="299">
        <v>45</v>
      </c>
      <c r="DP46" s="299">
        <v>45</v>
      </c>
      <c r="DQ46" s="299">
        <v>45</v>
      </c>
      <c r="DR46" s="299"/>
      <c r="DS46" s="299"/>
      <c r="DT46" s="299">
        <v>45</v>
      </c>
      <c r="DU46" s="299">
        <v>45</v>
      </c>
      <c r="DV46" s="299">
        <v>45</v>
      </c>
      <c r="DW46" s="299">
        <v>45</v>
      </c>
      <c r="DX46" s="299">
        <v>45</v>
      </c>
      <c r="DY46" s="299">
        <v>45</v>
      </c>
      <c r="DZ46" s="299">
        <v>45</v>
      </c>
      <c r="EA46" s="299">
        <v>45</v>
      </c>
      <c r="EB46" s="299">
        <v>45</v>
      </c>
      <c r="EC46" s="299">
        <v>45</v>
      </c>
      <c r="ED46" s="299">
        <v>45</v>
      </c>
      <c r="EE46" s="299">
        <v>45</v>
      </c>
      <c r="EF46" s="299">
        <v>45</v>
      </c>
      <c r="EG46" s="299">
        <v>45</v>
      </c>
      <c r="EH46" s="299">
        <v>45</v>
      </c>
      <c r="EI46" s="299">
        <v>45</v>
      </c>
      <c r="EJ46" s="299">
        <v>45</v>
      </c>
      <c r="EK46" s="299">
        <v>45</v>
      </c>
      <c r="EL46" s="299">
        <v>45</v>
      </c>
      <c r="EM46" s="299">
        <v>45</v>
      </c>
      <c r="EN46" s="299">
        <v>45</v>
      </c>
      <c r="EO46" s="299">
        <v>45</v>
      </c>
      <c r="EP46" s="299">
        <v>45</v>
      </c>
      <c r="EQ46" s="299">
        <v>45</v>
      </c>
      <c r="ER46" s="299">
        <v>45</v>
      </c>
      <c r="ES46" s="299"/>
      <c r="ET46" s="299"/>
      <c r="EU46" s="299"/>
      <c r="EV46" s="299"/>
      <c r="EW46" s="299"/>
      <c r="EX46" s="299"/>
      <c r="EY46" s="299"/>
      <c r="EZ46" s="299"/>
      <c r="FA46" s="299"/>
      <c r="FB46" s="299"/>
      <c r="FC46" s="299"/>
      <c r="FD46" s="299"/>
      <c r="FE46" s="299"/>
      <c r="FF46" s="299"/>
      <c r="FG46" s="299"/>
      <c r="FH46" s="299"/>
      <c r="FI46" s="299"/>
      <c r="FJ46" s="299"/>
      <c r="FK46" s="299"/>
      <c r="FL46" s="299"/>
      <c r="FM46" s="299"/>
      <c r="FN46" s="299"/>
      <c r="FO46" s="299"/>
      <c r="FP46" s="299"/>
      <c r="FQ46" s="300" t="e">
        <f t="shared" ref="FQ46:FQ77" ca="1" si="56">SUMIF($AC$11:$FP$11,FQ$12,$AC46:$FP46)</f>
        <v>#VALUE!</v>
      </c>
      <c r="FR46" s="300" t="e">
        <f t="shared" ca="1" si="45"/>
        <v>#VALUE!</v>
      </c>
      <c r="FS46" s="300" t="e">
        <f t="shared" ca="1" si="45"/>
        <v>#VALUE!</v>
      </c>
      <c r="FT46" s="300" t="e">
        <f t="shared" ca="1" si="45"/>
        <v>#VALUE!</v>
      </c>
      <c r="FU46" s="300" t="e">
        <f t="shared" ca="1" si="45"/>
        <v>#VALUE!</v>
      </c>
      <c r="FV46" s="300" t="e">
        <f t="shared" ca="1" si="45"/>
        <v>#VALUE!</v>
      </c>
      <c r="FW46" s="300" t="e">
        <f t="shared" ca="1" si="45"/>
        <v>#VALUE!</v>
      </c>
      <c r="FX46" s="300" t="e">
        <f t="shared" ca="1" si="45"/>
        <v>#VALUE!</v>
      </c>
      <c r="FY46" s="300" t="e">
        <f t="shared" ca="1" si="45"/>
        <v>#VALUE!</v>
      </c>
      <c r="FZ46" s="300" t="e">
        <f t="shared" ca="1" si="45"/>
        <v>#VALUE!</v>
      </c>
      <c r="GA46" s="301" t="e">
        <f t="shared" ca="1" si="45"/>
        <v>#VALUE!</v>
      </c>
      <c r="GB46" s="301" t="e">
        <f t="shared" ca="1" si="46"/>
        <v>#VALUE!</v>
      </c>
      <c r="GC46" s="301" t="e">
        <f t="shared" ca="1" si="46"/>
        <v>#VALUE!</v>
      </c>
      <c r="GD46" s="301" t="e">
        <f t="shared" ca="1" si="46"/>
        <v>#VALUE!</v>
      </c>
      <c r="GE46" s="301" t="e">
        <f t="shared" ca="1" si="46"/>
        <v>#VALUE!</v>
      </c>
      <c r="GF46" s="301" t="e">
        <f t="shared" ca="1" si="46"/>
        <v>#VALUE!</v>
      </c>
      <c r="GG46" s="301" t="e">
        <f t="shared" ca="1" si="46"/>
        <v>#VALUE!</v>
      </c>
      <c r="GH46" s="301" t="e">
        <f t="shared" ca="1" si="46"/>
        <v>#VALUE!</v>
      </c>
      <c r="GI46" s="301" t="e">
        <f t="shared" ca="1" si="46"/>
        <v>#VALUE!</v>
      </c>
      <c r="GJ46" s="301" t="e">
        <f t="shared" ca="1" si="46"/>
        <v>#VALUE!</v>
      </c>
      <c r="GK46" s="301" t="e">
        <f t="shared" ca="1" si="46"/>
        <v>#VALUE!</v>
      </c>
      <c r="GL46" s="301" t="e">
        <f t="shared" ca="1" si="46"/>
        <v>#VALUE!</v>
      </c>
      <c r="GM46" s="301" t="e">
        <f t="shared" ca="1" si="46"/>
        <v>#VALUE!</v>
      </c>
      <c r="GN46" s="302" t="e">
        <f t="shared" ca="1" si="46"/>
        <v>#VALUE!</v>
      </c>
      <c r="GO46" s="302" t="e">
        <f t="shared" ca="1" si="46"/>
        <v>#VALUE!</v>
      </c>
      <c r="GP46" s="310">
        <f t="shared" si="55"/>
        <v>90</v>
      </c>
      <c r="GQ46" s="310">
        <f t="shared" si="55"/>
        <v>180</v>
      </c>
      <c r="GR46" s="310">
        <f t="shared" si="55"/>
        <v>180</v>
      </c>
      <c r="GS46" s="310">
        <f t="shared" si="55"/>
        <v>180</v>
      </c>
      <c r="GT46" s="310">
        <f t="shared" si="55"/>
        <v>180</v>
      </c>
      <c r="GU46" s="311">
        <f t="shared" si="55"/>
        <v>180</v>
      </c>
      <c r="GV46" s="310">
        <f t="shared" si="55"/>
        <v>180</v>
      </c>
      <c r="GW46" s="310">
        <f t="shared" si="55"/>
        <v>45</v>
      </c>
      <c r="GX46" s="310">
        <f t="shared" si="55"/>
        <v>0</v>
      </c>
      <c r="GY46" s="310">
        <f t="shared" si="55"/>
        <v>0</v>
      </c>
      <c r="GZ46" s="310">
        <f t="shared" si="55"/>
        <v>0</v>
      </c>
      <c r="HA46" s="310">
        <f t="shared" si="55"/>
        <v>0</v>
      </c>
      <c r="HB46" s="310">
        <f t="shared" si="55"/>
        <v>0</v>
      </c>
      <c r="HC46" s="310">
        <f t="shared" si="55"/>
        <v>0</v>
      </c>
      <c r="HD46" s="310">
        <f t="shared" si="55"/>
        <v>0</v>
      </c>
      <c r="HE46" s="310">
        <f t="shared" si="55"/>
        <v>0</v>
      </c>
      <c r="HF46" s="304"/>
      <c r="HG46" s="305"/>
    </row>
    <row r="47" spans="1:215" s="306" customFormat="1" ht="15.75" customHeight="1">
      <c r="A47" s="309"/>
      <c r="B47" s="292" t="s">
        <v>85</v>
      </c>
      <c r="C47" s="292" t="s">
        <v>194</v>
      </c>
      <c r="D47" s="292" t="s">
        <v>217</v>
      </c>
      <c r="E47" s="292" t="s">
        <v>404</v>
      </c>
      <c r="F47" s="292" t="s">
        <v>184</v>
      </c>
      <c r="G47" s="292" t="s">
        <v>350</v>
      </c>
      <c r="H47" s="292" t="s">
        <v>351</v>
      </c>
      <c r="I47" s="292" t="s">
        <v>352</v>
      </c>
      <c r="J47" s="292" t="s">
        <v>184</v>
      </c>
      <c r="K47" s="292" t="s">
        <v>353</v>
      </c>
      <c r="L47" s="292" t="s">
        <v>359</v>
      </c>
      <c r="M47" s="292" t="s">
        <v>374</v>
      </c>
      <c r="N47" s="292" t="str">
        <f t="shared" si="47"/>
        <v>OTC-Order Management</v>
      </c>
      <c r="O47" s="292" t="str">
        <f t="shared" si="48"/>
        <v>Technology-Senior Consultant-India-Consulting</v>
      </c>
      <c r="P47" s="292" t="str">
        <f t="shared" si="49"/>
        <v>OTC - Technology</v>
      </c>
      <c r="Q47" s="293">
        <f t="shared" si="42"/>
        <v>255600</v>
      </c>
      <c r="R47" s="294">
        <f t="shared" si="43"/>
        <v>0</v>
      </c>
      <c r="S47" s="295">
        <f t="shared" si="50"/>
        <v>1305</v>
      </c>
      <c r="T47" s="295">
        <f t="shared" si="44"/>
        <v>3600</v>
      </c>
      <c r="U47" s="296" t="str">
        <f t="shared" si="51"/>
        <v>Technology - Senior Consultant</v>
      </c>
      <c r="V47" s="295" t="str">
        <f t="shared" si="52"/>
        <v>3-5 years</v>
      </c>
      <c r="W47" s="292" t="str">
        <f t="shared" si="53"/>
        <v>Offshore</v>
      </c>
      <c r="X47" s="292" t="s">
        <v>261</v>
      </c>
      <c r="Y47" s="292" t="s">
        <v>259</v>
      </c>
      <c r="Z47" s="292" t="s">
        <v>364</v>
      </c>
      <c r="AA47" s="297">
        <f>[1]Resourcing!QD51</f>
        <v>358.79277777777799</v>
      </c>
      <c r="AB47" s="298">
        <f t="shared" si="54"/>
        <v>71</v>
      </c>
      <c r="AC47" s="299"/>
      <c r="AD47" s="299"/>
      <c r="AE47" s="299"/>
      <c r="AF47" s="299"/>
      <c r="AG47" s="299"/>
      <c r="AH47" s="299"/>
      <c r="AI47" s="299"/>
      <c r="AJ47" s="299"/>
      <c r="AK47" s="299"/>
      <c r="AL47" s="299"/>
      <c r="AM47" s="299"/>
      <c r="AN47" s="299"/>
      <c r="AO47" s="299"/>
      <c r="AP47" s="299"/>
      <c r="AQ47" s="299"/>
      <c r="AR47" s="299"/>
      <c r="AS47" s="299"/>
      <c r="AT47" s="299"/>
      <c r="AU47" s="299"/>
      <c r="AV47" s="299"/>
      <c r="AW47" s="299"/>
      <c r="AX47" s="299"/>
      <c r="AY47" s="299"/>
      <c r="AZ47" s="299"/>
      <c r="BA47" s="299"/>
      <c r="BB47" s="299"/>
      <c r="BC47" s="299"/>
      <c r="BD47" s="299"/>
      <c r="BE47" s="299"/>
      <c r="BF47" s="299"/>
      <c r="BG47" s="299"/>
      <c r="BH47" s="299"/>
      <c r="BI47" s="299"/>
      <c r="BJ47" s="299"/>
      <c r="BK47" s="299"/>
      <c r="BL47" s="299"/>
      <c r="BM47" s="299"/>
      <c r="BN47" s="299"/>
      <c r="BO47" s="299">
        <v>45</v>
      </c>
      <c r="BP47" s="299">
        <v>45</v>
      </c>
      <c r="BQ47" s="299">
        <v>45</v>
      </c>
      <c r="BR47" s="299"/>
      <c r="BS47" s="299"/>
      <c r="BT47" s="299">
        <v>45</v>
      </c>
      <c r="BU47" s="299">
        <v>45</v>
      </c>
      <c r="BV47" s="299">
        <v>45</v>
      </c>
      <c r="BW47" s="299">
        <v>45</v>
      </c>
      <c r="BX47" s="299">
        <v>45</v>
      </c>
      <c r="BY47" s="299">
        <v>45</v>
      </c>
      <c r="BZ47" s="299">
        <v>45</v>
      </c>
      <c r="CA47" s="299">
        <v>45</v>
      </c>
      <c r="CB47" s="299">
        <v>45</v>
      </c>
      <c r="CC47" s="299">
        <v>45</v>
      </c>
      <c r="CD47" s="299">
        <v>45</v>
      </c>
      <c r="CE47" s="299">
        <v>45</v>
      </c>
      <c r="CF47" s="299">
        <v>45</v>
      </c>
      <c r="CG47" s="299">
        <v>45</v>
      </c>
      <c r="CH47" s="299">
        <v>45</v>
      </c>
      <c r="CI47" s="299">
        <v>45</v>
      </c>
      <c r="CJ47" s="299">
        <v>45</v>
      </c>
      <c r="CK47" s="299">
        <v>45</v>
      </c>
      <c r="CL47" s="299">
        <v>45</v>
      </c>
      <c r="CM47" s="299">
        <v>45</v>
      </c>
      <c r="CN47" s="299">
        <v>45</v>
      </c>
      <c r="CO47" s="299">
        <v>45</v>
      </c>
      <c r="CP47" s="299">
        <v>45</v>
      </c>
      <c r="CQ47" s="299">
        <v>45</v>
      </c>
      <c r="CR47" s="299">
        <v>45</v>
      </c>
      <c r="CS47" s="299">
        <v>45</v>
      </c>
      <c r="CT47" s="299">
        <v>45</v>
      </c>
      <c r="CU47" s="299">
        <v>45</v>
      </c>
      <c r="CV47" s="299">
        <v>45</v>
      </c>
      <c r="CW47" s="299">
        <v>45</v>
      </c>
      <c r="CX47" s="299">
        <v>45</v>
      </c>
      <c r="CY47" s="299">
        <v>45</v>
      </c>
      <c r="CZ47" s="299">
        <v>45</v>
      </c>
      <c r="DA47" s="299">
        <v>45</v>
      </c>
      <c r="DB47" s="299">
        <v>45</v>
      </c>
      <c r="DC47" s="299">
        <v>45</v>
      </c>
      <c r="DD47" s="299">
        <v>45</v>
      </c>
      <c r="DE47" s="299">
        <v>45</v>
      </c>
      <c r="DF47" s="299">
        <v>45</v>
      </c>
      <c r="DG47" s="299">
        <v>45</v>
      </c>
      <c r="DH47" s="299">
        <v>45</v>
      </c>
      <c r="DI47" s="299">
        <v>45</v>
      </c>
      <c r="DJ47" s="299">
        <v>45</v>
      </c>
      <c r="DK47" s="299">
        <v>45</v>
      </c>
      <c r="DL47" s="299">
        <v>45</v>
      </c>
      <c r="DM47" s="299">
        <v>45</v>
      </c>
      <c r="DN47" s="299">
        <v>45</v>
      </c>
      <c r="DO47" s="299">
        <v>45</v>
      </c>
      <c r="DP47" s="299">
        <v>45</v>
      </c>
      <c r="DQ47" s="299">
        <v>45</v>
      </c>
      <c r="DR47" s="299"/>
      <c r="DS47" s="299"/>
      <c r="DT47" s="299">
        <v>45</v>
      </c>
      <c r="DU47" s="299">
        <v>45</v>
      </c>
      <c r="DV47" s="299">
        <v>45</v>
      </c>
      <c r="DW47" s="299">
        <v>45</v>
      </c>
      <c r="DX47" s="299">
        <v>45</v>
      </c>
      <c r="DY47" s="299">
        <v>45</v>
      </c>
      <c r="DZ47" s="299">
        <v>45</v>
      </c>
      <c r="EA47" s="299">
        <v>45</v>
      </c>
      <c r="EB47" s="299">
        <v>45</v>
      </c>
      <c r="EC47" s="299">
        <v>45</v>
      </c>
      <c r="ED47" s="299">
        <v>45</v>
      </c>
      <c r="EE47" s="299">
        <v>45</v>
      </c>
      <c r="EF47" s="299">
        <v>45</v>
      </c>
      <c r="EG47" s="299">
        <v>45</v>
      </c>
      <c r="EH47" s="299">
        <v>45</v>
      </c>
      <c r="EI47" s="299">
        <v>45</v>
      </c>
      <c r="EJ47" s="299">
        <v>45</v>
      </c>
      <c r="EK47" s="299">
        <v>45</v>
      </c>
      <c r="EL47" s="299">
        <v>45</v>
      </c>
      <c r="EM47" s="299">
        <v>45</v>
      </c>
      <c r="EN47" s="299">
        <v>45</v>
      </c>
      <c r="EO47" s="299">
        <v>45</v>
      </c>
      <c r="EP47" s="299">
        <v>45</v>
      </c>
      <c r="EQ47" s="299">
        <v>45</v>
      </c>
      <c r="ER47" s="299">
        <v>45</v>
      </c>
      <c r="ES47" s="299">
        <v>45</v>
      </c>
      <c r="ET47" s="299">
        <v>45</v>
      </c>
      <c r="EU47" s="299"/>
      <c r="EV47" s="299"/>
      <c r="EW47" s="299"/>
      <c r="EX47" s="299"/>
      <c r="EY47" s="299"/>
      <c r="EZ47" s="299"/>
      <c r="FA47" s="299"/>
      <c r="FB47" s="299"/>
      <c r="FC47" s="299"/>
      <c r="FD47" s="299"/>
      <c r="FE47" s="299"/>
      <c r="FF47" s="299"/>
      <c r="FG47" s="299"/>
      <c r="FH47" s="299"/>
      <c r="FI47" s="299"/>
      <c r="FJ47" s="299"/>
      <c r="FK47" s="299"/>
      <c r="FL47" s="299"/>
      <c r="FM47" s="299"/>
      <c r="FN47" s="299"/>
      <c r="FO47" s="299"/>
      <c r="FP47" s="299"/>
      <c r="FQ47" s="300" t="e">
        <f t="shared" ca="1" si="56"/>
        <v>#VALUE!</v>
      </c>
      <c r="FR47" s="300" t="e">
        <f t="shared" ca="1" si="45"/>
        <v>#VALUE!</v>
      </c>
      <c r="FS47" s="300" t="e">
        <f t="shared" ca="1" si="45"/>
        <v>#VALUE!</v>
      </c>
      <c r="FT47" s="300" t="e">
        <f t="shared" ca="1" si="45"/>
        <v>#VALUE!</v>
      </c>
      <c r="FU47" s="300" t="e">
        <f t="shared" ca="1" si="45"/>
        <v>#VALUE!</v>
      </c>
      <c r="FV47" s="300" t="e">
        <f t="shared" ca="1" si="45"/>
        <v>#VALUE!</v>
      </c>
      <c r="FW47" s="300" t="e">
        <f t="shared" ca="1" si="45"/>
        <v>#VALUE!</v>
      </c>
      <c r="FX47" s="300" t="e">
        <f t="shared" ca="1" si="45"/>
        <v>#VALUE!</v>
      </c>
      <c r="FY47" s="300" t="e">
        <f t="shared" ca="1" si="45"/>
        <v>#VALUE!</v>
      </c>
      <c r="FZ47" s="300" t="e">
        <f t="shared" ca="1" si="45"/>
        <v>#VALUE!</v>
      </c>
      <c r="GA47" s="301" t="e">
        <f t="shared" ca="1" si="45"/>
        <v>#VALUE!</v>
      </c>
      <c r="GB47" s="301" t="e">
        <f t="shared" ca="1" si="46"/>
        <v>#VALUE!</v>
      </c>
      <c r="GC47" s="301" t="e">
        <f t="shared" ca="1" si="46"/>
        <v>#VALUE!</v>
      </c>
      <c r="GD47" s="301" t="e">
        <f t="shared" ca="1" si="46"/>
        <v>#VALUE!</v>
      </c>
      <c r="GE47" s="301" t="e">
        <f t="shared" ca="1" si="46"/>
        <v>#VALUE!</v>
      </c>
      <c r="GF47" s="301" t="e">
        <f t="shared" ca="1" si="46"/>
        <v>#VALUE!</v>
      </c>
      <c r="GG47" s="301" t="e">
        <f t="shared" ca="1" si="46"/>
        <v>#VALUE!</v>
      </c>
      <c r="GH47" s="301" t="e">
        <f t="shared" ca="1" si="46"/>
        <v>#VALUE!</v>
      </c>
      <c r="GI47" s="301" t="e">
        <f t="shared" ca="1" si="46"/>
        <v>#VALUE!</v>
      </c>
      <c r="GJ47" s="301" t="e">
        <f t="shared" ca="1" si="46"/>
        <v>#VALUE!</v>
      </c>
      <c r="GK47" s="301" t="e">
        <f t="shared" ca="1" si="46"/>
        <v>#VALUE!</v>
      </c>
      <c r="GL47" s="301" t="e">
        <f t="shared" ca="1" si="46"/>
        <v>#VALUE!</v>
      </c>
      <c r="GM47" s="301" t="e">
        <f t="shared" ca="1" si="46"/>
        <v>#VALUE!</v>
      </c>
      <c r="GN47" s="302" t="e">
        <f t="shared" ca="1" si="46"/>
        <v>#VALUE!</v>
      </c>
      <c r="GO47" s="302" t="e">
        <f t="shared" ca="1" si="46"/>
        <v>#VALUE!</v>
      </c>
      <c r="GP47" s="310">
        <f t="shared" si="55"/>
        <v>90</v>
      </c>
      <c r="GQ47" s="310">
        <f t="shared" si="55"/>
        <v>180</v>
      </c>
      <c r="GR47" s="310">
        <f t="shared" si="55"/>
        <v>180</v>
      </c>
      <c r="GS47" s="310">
        <f t="shared" si="55"/>
        <v>180</v>
      </c>
      <c r="GT47" s="310">
        <f t="shared" si="55"/>
        <v>180</v>
      </c>
      <c r="GU47" s="311">
        <f t="shared" si="55"/>
        <v>180</v>
      </c>
      <c r="GV47" s="310">
        <f t="shared" si="55"/>
        <v>180</v>
      </c>
      <c r="GW47" s="310">
        <f t="shared" si="55"/>
        <v>135</v>
      </c>
      <c r="GX47" s="310">
        <f t="shared" si="55"/>
        <v>0</v>
      </c>
      <c r="GY47" s="310">
        <f t="shared" si="55"/>
        <v>0</v>
      </c>
      <c r="GZ47" s="310">
        <f t="shared" si="55"/>
        <v>0</v>
      </c>
      <c r="HA47" s="310">
        <f t="shared" si="55"/>
        <v>0</v>
      </c>
      <c r="HB47" s="310">
        <f t="shared" si="55"/>
        <v>0</v>
      </c>
      <c r="HC47" s="310">
        <f t="shared" si="55"/>
        <v>0</v>
      </c>
      <c r="HD47" s="310">
        <f t="shared" si="55"/>
        <v>0</v>
      </c>
      <c r="HE47" s="310">
        <f t="shared" si="55"/>
        <v>0</v>
      </c>
      <c r="HF47" s="304"/>
      <c r="HG47" s="305"/>
    </row>
    <row r="48" spans="1:215" s="306" customFormat="1" ht="15.75" customHeight="1">
      <c r="A48" s="309"/>
      <c r="B48" s="292" t="s">
        <v>85</v>
      </c>
      <c r="C48" s="292" t="s">
        <v>194</v>
      </c>
      <c r="D48" s="292" t="s">
        <v>217</v>
      </c>
      <c r="E48" s="292" t="s">
        <v>405</v>
      </c>
      <c r="F48" s="292" t="s">
        <v>184</v>
      </c>
      <c r="G48" s="292" t="s">
        <v>350</v>
      </c>
      <c r="H48" s="292" t="s">
        <v>351</v>
      </c>
      <c r="I48" s="292" t="s">
        <v>352</v>
      </c>
      <c r="J48" s="292" t="s">
        <v>184</v>
      </c>
      <c r="K48" s="292" t="s">
        <v>353</v>
      </c>
      <c r="L48" s="292" t="s">
        <v>359</v>
      </c>
      <c r="M48" s="292" t="s">
        <v>367</v>
      </c>
      <c r="N48" s="292" t="str">
        <f t="shared" si="47"/>
        <v>OTC-Order Management</v>
      </c>
      <c r="O48" s="292" t="str">
        <f t="shared" si="48"/>
        <v>Technology-Consultant-India-Consulting</v>
      </c>
      <c r="P48" s="292" t="str">
        <f t="shared" si="49"/>
        <v>OTC - Technology</v>
      </c>
      <c r="Q48" s="293">
        <f t="shared" si="42"/>
        <v>191700</v>
      </c>
      <c r="R48" s="294">
        <f t="shared" si="43"/>
        <v>0</v>
      </c>
      <c r="S48" s="295">
        <f t="shared" si="50"/>
        <v>1215</v>
      </c>
      <c r="T48" s="295">
        <f t="shared" si="44"/>
        <v>3195</v>
      </c>
      <c r="U48" s="296" t="str">
        <f t="shared" si="51"/>
        <v>Technology - Consultant</v>
      </c>
      <c r="V48" s="295" t="str">
        <f t="shared" si="52"/>
        <v>1-3 years</v>
      </c>
      <c r="W48" s="292" t="str">
        <f t="shared" si="53"/>
        <v>Offshore</v>
      </c>
      <c r="X48" s="292" t="s">
        <v>261</v>
      </c>
      <c r="Y48" s="292" t="s">
        <v>259</v>
      </c>
      <c r="Z48" s="292" t="s">
        <v>368</v>
      </c>
      <c r="AA48" s="297">
        <f>[1]Resourcing!QD52</f>
        <v>285.11764705882399</v>
      </c>
      <c r="AB48" s="298">
        <f t="shared" si="54"/>
        <v>60</v>
      </c>
      <c r="AC48" s="299"/>
      <c r="AD48" s="299"/>
      <c r="AE48" s="299"/>
      <c r="AF48" s="299"/>
      <c r="AG48" s="299"/>
      <c r="AH48" s="299"/>
      <c r="AI48" s="299"/>
      <c r="AJ48" s="299"/>
      <c r="AK48" s="299"/>
      <c r="AL48" s="299"/>
      <c r="AM48" s="299"/>
      <c r="AN48" s="299"/>
      <c r="AO48" s="299"/>
      <c r="AP48" s="299"/>
      <c r="AQ48" s="299"/>
      <c r="AR48" s="299"/>
      <c r="AS48" s="299"/>
      <c r="AT48" s="299"/>
      <c r="AU48" s="299"/>
      <c r="AV48" s="299"/>
      <c r="AW48" s="299"/>
      <c r="AX48" s="299"/>
      <c r="AY48" s="299"/>
      <c r="AZ48" s="299"/>
      <c r="BA48" s="299"/>
      <c r="BB48" s="299"/>
      <c r="BC48" s="299"/>
      <c r="BD48" s="299"/>
      <c r="BE48" s="299"/>
      <c r="BF48" s="299"/>
      <c r="BG48" s="299"/>
      <c r="BH48" s="299"/>
      <c r="BI48" s="299"/>
      <c r="BJ48" s="299"/>
      <c r="BK48" s="299"/>
      <c r="BL48" s="299"/>
      <c r="BM48" s="299"/>
      <c r="BN48" s="299"/>
      <c r="BO48" s="299"/>
      <c r="BP48" s="299"/>
      <c r="BQ48" s="299"/>
      <c r="BR48" s="299"/>
      <c r="BS48" s="299"/>
      <c r="BT48" s="299"/>
      <c r="BU48" s="299"/>
      <c r="BV48" s="299"/>
      <c r="BW48" s="299"/>
      <c r="BX48" s="299">
        <v>45</v>
      </c>
      <c r="BY48" s="299">
        <v>45</v>
      </c>
      <c r="BZ48" s="299">
        <v>45</v>
      </c>
      <c r="CA48" s="299">
        <v>45</v>
      </c>
      <c r="CB48" s="299">
        <v>45</v>
      </c>
      <c r="CC48" s="299">
        <v>45</v>
      </c>
      <c r="CD48" s="299">
        <v>45</v>
      </c>
      <c r="CE48" s="299">
        <v>45</v>
      </c>
      <c r="CF48" s="299">
        <v>45</v>
      </c>
      <c r="CG48" s="299">
        <v>45</v>
      </c>
      <c r="CH48" s="299">
        <v>45</v>
      </c>
      <c r="CI48" s="299">
        <v>45</v>
      </c>
      <c r="CJ48" s="299">
        <v>45</v>
      </c>
      <c r="CK48" s="299">
        <v>45</v>
      </c>
      <c r="CL48" s="299">
        <v>45</v>
      </c>
      <c r="CM48" s="299">
        <v>45</v>
      </c>
      <c r="CN48" s="299">
        <v>45</v>
      </c>
      <c r="CO48" s="299">
        <v>45</v>
      </c>
      <c r="CP48" s="299">
        <v>45</v>
      </c>
      <c r="CQ48" s="299">
        <v>45</v>
      </c>
      <c r="CR48" s="299">
        <v>45</v>
      </c>
      <c r="CS48" s="299">
        <v>45</v>
      </c>
      <c r="CT48" s="299">
        <v>45</v>
      </c>
      <c r="CU48" s="299">
        <v>45</v>
      </c>
      <c r="CV48" s="299">
        <v>45</v>
      </c>
      <c r="CW48" s="299">
        <v>45</v>
      </c>
      <c r="CX48" s="299">
        <v>45</v>
      </c>
      <c r="CY48" s="299">
        <v>45</v>
      </c>
      <c r="CZ48" s="299">
        <v>45</v>
      </c>
      <c r="DA48" s="299">
        <v>45</v>
      </c>
      <c r="DB48" s="299">
        <v>45</v>
      </c>
      <c r="DC48" s="299">
        <v>45</v>
      </c>
      <c r="DD48" s="299">
        <v>45</v>
      </c>
      <c r="DE48" s="299">
        <v>45</v>
      </c>
      <c r="DF48" s="299">
        <v>45</v>
      </c>
      <c r="DG48" s="299">
        <v>45</v>
      </c>
      <c r="DH48" s="299">
        <v>45</v>
      </c>
      <c r="DI48" s="299">
        <v>45</v>
      </c>
      <c r="DJ48" s="299">
        <v>45</v>
      </c>
      <c r="DK48" s="299">
        <v>45</v>
      </c>
      <c r="DL48" s="299">
        <v>45</v>
      </c>
      <c r="DM48" s="299">
        <v>45</v>
      </c>
      <c r="DN48" s="299">
        <v>45</v>
      </c>
      <c r="DO48" s="299">
        <v>45</v>
      </c>
      <c r="DP48" s="299">
        <v>45</v>
      </c>
      <c r="DQ48" s="299">
        <v>45</v>
      </c>
      <c r="DR48" s="299"/>
      <c r="DS48" s="299"/>
      <c r="DT48" s="299">
        <v>45</v>
      </c>
      <c r="DU48" s="299">
        <v>45</v>
      </c>
      <c r="DV48" s="299">
        <v>45</v>
      </c>
      <c r="DW48" s="299">
        <v>45</v>
      </c>
      <c r="DX48" s="299">
        <v>45</v>
      </c>
      <c r="DY48" s="299">
        <v>45</v>
      </c>
      <c r="DZ48" s="299">
        <v>45</v>
      </c>
      <c r="EA48" s="299">
        <v>45</v>
      </c>
      <c r="EB48" s="299">
        <v>45</v>
      </c>
      <c r="EC48" s="299">
        <v>45</v>
      </c>
      <c r="ED48" s="299">
        <v>45</v>
      </c>
      <c r="EE48" s="299">
        <v>45</v>
      </c>
      <c r="EF48" s="299">
        <v>45</v>
      </c>
      <c r="EG48" s="299">
        <v>45</v>
      </c>
      <c r="EH48" s="299">
        <v>45</v>
      </c>
      <c r="EI48" s="299">
        <v>45</v>
      </c>
      <c r="EJ48" s="299">
        <v>45</v>
      </c>
      <c r="EK48" s="299">
        <v>45</v>
      </c>
      <c r="EL48" s="299">
        <v>45</v>
      </c>
      <c r="EM48" s="299">
        <v>45</v>
      </c>
      <c r="EN48" s="299">
        <v>45</v>
      </c>
      <c r="EO48" s="299">
        <v>45</v>
      </c>
      <c r="EP48" s="299">
        <v>45</v>
      </c>
      <c r="EQ48" s="299">
        <v>45</v>
      </c>
      <c r="ER48" s="299">
        <v>45</v>
      </c>
      <c r="ES48" s="299"/>
      <c r="ET48" s="299"/>
      <c r="EU48" s="299"/>
      <c r="EV48" s="299"/>
      <c r="EW48" s="299"/>
      <c r="EX48" s="299"/>
      <c r="EY48" s="299"/>
      <c r="EZ48" s="299"/>
      <c r="FA48" s="299"/>
      <c r="FB48" s="299"/>
      <c r="FC48" s="299"/>
      <c r="FD48" s="299"/>
      <c r="FE48" s="299"/>
      <c r="FF48" s="299"/>
      <c r="FG48" s="299"/>
      <c r="FH48" s="299"/>
      <c r="FI48" s="299"/>
      <c r="FJ48" s="299"/>
      <c r="FK48" s="299"/>
      <c r="FL48" s="299"/>
      <c r="FM48" s="299"/>
      <c r="FN48" s="299"/>
      <c r="FO48" s="299"/>
      <c r="FP48" s="299"/>
      <c r="FQ48" s="300" t="e">
        <f t="shared" ca="1" si="56"/>
        <v>#VALUE!</v>
      </c>
      <c r="FR48" s="300" t="e">
        <f t="shared" ca="1" si="45"/>
        <v>#VALUE!</v>
      </c>
      <c r="FS48" s="300" t="e">
        <f t="shared" ca="1" si="45"/>
        <v>#VALUE!</v>
      </c>
      <c r="FT48" s="300" t="e">
        <f t="shared" ca="1" si="45"/>
        <v>#VALUE!</v>
      </c>
      <c r="FU48" s="300" t="e">
        <f t="shared" ca="1" si="45"/>
        <v>#VALUE!</v>
      </c>
      <c r="FV48" s="300" t="e">
        <f t="shared" ca="1" si="45"/>
        <v>#VALUE!</v>
      </c>
      <c r="FW48" s="300" t="e">
        <f t="shared" ca="1" si="45"/>
        <v>#VALUE!</v>
      </c>
      <c r="FX48" s="300" t="e">
        <f t="shared" ca="1" si="45"/>
        <v>#VALUE!</v>
      </c>
      <c r="FY48" s="300" t="e">
        <f t="shared" ca="1" si="45"/>
        <v>#VALUE!</v>
      </c>
      <c r="FZ48" s="300" t="e">
        <f t="shared" ca="1" si="45"/>
        <v>#VALUE!</v>
      </c>
      <c r="GA48" s="301" t="e">
        <f t="shared" ca="1" si="45"/>
        <v>#VALUE!</v>
      </c>
      <c r="GB48" s="301" t="e">
        <f t="shared" ca="1" si="46"/>
        <v>#VALUE!</v>
      </c>
      <c r="GC48" s="301" t="e">
        <f t="shared" ca="1" si="46"/>
        <v>#VALUE!</v>
      </c>
      <c r="GD48" s="301" t="e">
        <f t="shared" ca="1" si="46"/>
        <v>#VALUE!</v>
      </c>
      <c r="GE48" s="301" t="e">
        <f t="shared" ca="1" si="46"/>
        <v>#VALUE!</v>
      </c>
      <c r="GF48" s="301" t="e">
        <f t="shared" ca="1" si="46"/>
        <v>#VALUE!</v>
      </c>
      <c r="GG48" s="301" t="e">
        <f t="shared" ca="1" si="46"/>
        <v>#VALUE!</v>
      </c>
      <c r="GH48" s="301" t="e">
        <f t="shared" ca="1" si="46"/>
        <v>#VALUE!</v>
      </c>
      <c r="GI48" s="301" t="e">
        <f t="shared" ca="1" si="46"/>
        <v>#VALUE!</v>
      </c>
      <c r="GJ48" s="301" t="e">
        <f t="shared" ca="1" si="46"/>
        <v>#VALUE!</v>
      </c>
      <c r="GK48" s="301" t="e">
        <f t="shared" ca="1" si="46"/>
        <v>#VALUE!</v>
      </c>
      <c r="GL48" s="301" t="e">
        <f t="shared" ca="1" si="46"/>
        <v>#VALUE!</v>
      </c>
      <c r="GM48" s="301" t="e">
        <f t="shared" ca="1" si="46"/>
        <v>#VALUE!</v>
      </c>
      <c r="GN48" s="302" t="e">
        <f t="shared" ca="1" si="46"/>
        <v>#VALUE!</v>
      </c>
      <c r="GO48" s="302" t="e">
        <f t="shared" ca="1" si="46"/>
        <v>#VALUE!</v>
      </c>
      <c r="GP48" s="310">
        <f t="shared" si="55"/>
        <v>90</v>
      </c>
      <c r="GQ48" s="310">
        <f t="shared" si="55"/>
        <v>180</v>
      </c>
      <c r="GR48" s="310">
        <f t="shared" si="55"/>
        <v>180</v>
      </c>
      <c r="GS48" s="310">
        <f t="shared" si="55"/>
        <v>180</v>
      </c>
      <c r="GT48" s="310">
        <f t="shared" si="55"/>
        <v>180</v>
      </c>
      <c r="GU48" s="311">
        <f t="shared" si="55"/>
        <v>180</v>
      </c>
      <c r="GV48" s="310">
        <f t="shared" si="55"/>
        <v>180</v>
      </c>
      <c r="GW48" s="310">
        <f t="shared" si="55"/>
        <v>45</v>
      </c>
      <c r="GX48" s="310">
        <f t="shared" si="55"/>
        <v>0</v>
      </c>
      <c r="GY48" s="310">
        <f t="shared" si="55"/>
        <v>0</v>
      </c>
      <c r="GZ48" s="310">
        <f t="shared" si="55"/>
        <v>0</v>
      </c>
      <c r="HA48" s="310">
        <f t="shared" si="55"/>
        <v>0</v>
      </c>
      <c r="HB48" s="310">
        <f t="shared" si="55"/>
        <v>0</v>
      </c>
      <c r="HC48" s="310">
        <f t="shared" si="55"/>
        <v>0</v>
      </c>
      <c r="HD48" s="310">
        <f t="shared" si="55"/>
        <v>0</v>
      </c>
      <c r="HE48" s="310">
        <f t="shared" si="55"/>
        <v>0</v>
      </c>
      <c r="HF48" s="304"/>
      <c r="HG48" s="305"/>
    </row>
    <row r="49" spans="1:215" s="306" customFormat="1" ht="15.75" customHeight="1">
      <c r="A49" s="309"/>
      <c r="B49" s="292" t="s">
        <v>85</v>
      </c>
      <c r="C49" s="292" t="s">
        <v>194</v>
      </c>
      <c r="D49" s="292" t="s">
        <v>217</v>
      </c>
      <c r="E49" s="292" t="s">
        <v>406</v>
      </c>
      <c r="F49" s="292" t="s">
        <v>184</v>
      </c>
      <c r="G49" s="292" t="s">
        <v>350</v>
      </c>
      <c r="H49" s="292" t="s">
        <v>351</v>
      </c>
      <c r="I49" s="292" t="s">
        <v>352</v>
      </c>
      <c r="J49" s="292" t="s">
        <v>184</v>
      </c>
      <c r="K49" s="292" t="s">
        <v>353</v>
      </c>
      <c r="L49" s="292" t="s">
        <v>359</v>
      </c>
      <c r="M49" s="292" t="s">
        <v>363</v>
      </c>
      <c r="N49" s="292" t="str">
        <f t="shared" si="47"/>
        <v>OTC-Order Management</v>
      </c>
      <c r="O49" s="292" t="str">
        <f t="shared" si="48"/>
        <v>Technology-Analyst-India-Consulting</v>
      </c>
      <c r="P49" s="292" t="str">
        <f t="shared" si="49"/>
        <v>OTC - Technology</v>
      </c>
      <c r="Q49" s="293">
        <f t="shared" si="42"/>
        <v>157680</v>
      </c>
      <c r="R49" s="294">
        <f t="shared" si="43"/>
        <v>0</v>
      </c>
      <c r="S49" s="295">
        <f t="shared" si="50"/>
        <v>1305</v>
      </c>
      <c r="T49" s="295">
        <f t="shared" si="44"/>
        <v>3285</v>
      </c>
      <c r="U49" s="296" t="str">
        <f t="shared" si="51"/>
        <v>Technology - Analyst</v>
      </c>
      <c r="V49" s="295" t="str">
        <f t="shared" si="52"/>
        <v>0-1 years</v>
      </c>
      <c r="W49" s="292" t="str">
        <f t="shared" si="53"/>
        <v>Offshore</v>
      </c>
      <c r="X49" s="292" t="s">
        <v>261</v>
      </c>
      <c r="Y49" s="292" t="s">
        <v>259</v>
      </c>
      <c r="Z49" s="292" t="s">
        <v>384</v>
      </c>
      <c r="AA49" s="297">
        <f>[1]Resourcing!QD53</f>
        <v>85.256363636363602</v>
      </c>
      <c r="AB49" s="298">
        <f t="shared" si="54"/>
        <v>48</v>
      </c>
      <c r="AC49" s="299"/>
      <c r="AD49" s="299"/>
      <c r="AE49" s="299"/>
      <c r="AF49" s="299"/>
      <c r="AG49" s="299"/>
      <c r="AH49" s="299"/>
      <c r="AI49" s="299"/>
      <c r="AJ49" s="299"/>
      <c r="AK49" s="299"/>
      <c r="AL49" s="299"/>
      <c r="AM49" s="299"/>
      <c r="AN49" s="299"/>
      <c r="AO49" s="299"/>
      <c r="AP49" s="299"/>
      <c r="AQ49" s="299"/>
      <c r="AR49" s="299"/>
      <c r="AS49" s="299"/>
      <c r="AT49" s="299"/>
      <c r="AU49" s="299"/>
      <c r="AV49" s="299"/>
      <c r="AW49" s="299"/>
      <c r="AX49" s="299"/>
      <c r="AY49" s="299"/>
      <c r="AZ49" s="299"/>
      <c r="BA49" s="299"/>
      <c r="BB49" s="299"/>
      <c r="BC49" s="299"/>
      <c r="BD49" s="299"/>
      <c r="BE49" s="299"/>
      <c r="BF49" s="299"/>
      <c r="BG49" s="299"/>
      <c r="BH49" s="299"/>
      <c r="BI49" s="299"/>
      <c r="BJ49" s="299"/>
      <c r="BK49" s="299"/>
      <c r="BL49" s="299"/>
      <c r="BM49" s="299"/>
      <c r="BN49" s="299"/>
      <c r="BO49" s="299"/>
      <c r="BP49" s="299"/>
      <c r="BQ49" s="299"/>
      <c r="BR49" s="299"/>
      <c r="BS49" s="299"/>
      <c r="BT49" s="299"/>
      <c r="BU49" s="299"/>
      <c r="BV49" s="299"/>
      <c r="BW49" s="299"/>
      <c r="BX49" s="299">
        <v>45</v>
      </c>
      <c r="BY49" s="299">
        <v>45</v>
      </c>
      <c r="BZ49" s="299">
        <v>45</v>
      </c>
      <c r="CA49" s="299">
        <v>45</v>
      </c>
      <c r="CB49" s="299">
        <v>45</v>
      </c>
      <c r="CC49" s="299">
        <v>45</v>
      </c>
      <c r="CD49" s="299">
        <v>45</v>
      </c>
      <c r="CE49" s="299">
        <v>45</v>
      </c>
      <c r="CF49" s="299">
        <v>45</v>
      </c>
      <c r="CG49" s="299">
        <v>45</v>
      </c>
      <c r="CH49" s="299">
        <v>45</v>
      </c>
      <c r="CI49" s="299">
        <v>45</v>
      </c>
      <c r="CJ49" s="299">
        <v>45</v>
      </c>
      <c r="CK49" s="299">
        <v>45</v>
      </c>
      <c r="CL49" s="299">
        <v>45</v>
      </c>
      <c r="CM49" s="299">
        <v>45</v>
      </c>
      <c r="CN49" s="299">
        <v>45</v>
      </c>
      <c r="CO49" s="299">
        <v>45</v>
      </c>
      <c r="CP49" s="299">
        <v>45</v>
      </c>
      <c r="CQ49" s="299">
        <v>45</v>
      </c>
      <c r="CR49" s="299">
        <v>45</v>
      </c>
      <c r="CS49" s="299">
        <v>45</v>
      </c>
      <c r="CT49" s="299">
        <v>45</v>
      </c>
      <c r="CU49" s="299">
        <v>45</v>
      </c>
      <c r="CV49" s="299">
        <v>45</v>
      </c>
      <c r="CW49" s="299">
        <v>45</v>
      </c>
      <c r="CX49" s="299">
        <v>45</v>
      </c>
      <c r="CY49" s="299">
        <v>45</v>
      </c>
      <c r="CZ49" s="299">
        <v>45</v>
      </c>
      <c r="DA49" s="299">
        <v>45</v>
      </c>
      <c r="DB49" s="299">
        <v>45</v>
      </c>
      <c r="DC49" s="299">
        <v>45</v>
      </c>
      <c r="DD49" s="299">
        <v>45</v>
      </c>
      <c r="DE49" s="299">
        <v>45</v>
      </c>
      <c r="DF49" s="299">
        <v>45</v>
      </c>
      <c r="DG49" s="299">
        <v>45</v>
      </c>
      <c r="DH49" s="299">
        <v>45</v>
      </c>
      <c r="DI49" s="299">
        <v>45</v>
      </c>
      <c r="DJ49" s="299">
        <v>45</v>
      </c>
      <c r="DK49" s="299">
        <v>45</v>
      </c>
      <c r="DL49" s="299">
        <v>45</v>
      </c>
      <c r="DM49" s="299">
        <v>45</v>
      </c>
      <c r="DN49" s="299">
        <v>45</v>
      </c>
      <c r="DO49" s="299">
        <v>45</v>
      </c>
      <c r="DP49" s="299">
        <v>45</v>
      </c>
      <c r="DQ49" s="299">
        <v>45</v>
      </c>
      <c r="DR49" s="299"/>
      <c r="DS49" s="299"/>
      <c r="DT49" s="299">
        <v>45</v>
      </c>
      <c r="DU49" s="299">
        <v>45</v>
      </c>
      <c r="DV49" s="299">
        <v>45</v>
      </c>
      <c r="DW49" s="299">
        <v>45</v>
      </c>
      <c r="DX49" s="299">
        <v>45</v>
      </c>
      <c r="DY49" s="299">
        <v>45</v>
      </c>
      <c r="DZ49" s="299">
        <v>45</v>
      </c>
      <c r="EA49" s="299">
        <v>45</v>
      </c>
      <c r="EB49" s="299">
        <v>45</v>
      </c>
      <c r="EC49" s="299">
        <v>45</v>
      </c>
      <c r="ED49" s="299">
        <v>45</v>
      </c>
      <c r="EE49" s="299">
        <v>45</v>
      </c>
      <c r="EF49" s="299">
        <v>45</v>
      </c>
      <c r="EG49" s="299">
        <v>45</v>
      </c>
      <c r="EH49" s="299">
        <v>45</v>
      </c>
      <c r="EI49" s="299">
        <v>45</v>
      </c>
      <c r="EJ49" s="299">
        <v>45</v>
      </c>
      <c r="EK49" s="299">
        <v>45</v>
      </c>
      <c r="EL49" s="299">
        <v>45</v>
      </c>
      <c r="EM49" s="299">
        <v>45</v>
      </c>
      <c r="EN49" s="299">
        <v>45</v>
      </c>
      <c r="EO49" s="299">
        <v>45</v>
      </c>
      <c r="EP49" s="299">
        <v>45</v>
      </c>
      <c r="EQ49" s="299">
        <v>45</v>
      </c>
      <c r="ER49" s="299">
        <v>45</v>
      </c>
      <c r="ES49" s="299">
        <v>45</v>
      </c>
      <c r="ET49" s="299">
        <v>45</v>
      </c>
      <c r="EU49" s="299"/>
      <c r="EV49" s="299"/>
      <c r="EW49" s="299"/>
      <c r="EX49" s="299"/>
      <c r="EY49" s="299"/>
      <c r="EZ49" s="299"/>
      <c r="FA49" s="299"/>
      <c r="FB49" s="299"/>
      <c r="FC49" s="299"/>
      <c r="FD49" s="299"/>
      <c r="FE49" s="299"/>
      <c r="FF49" s="299"/>
      <c r="FG49" s="299"/>
      <c r="FH49" s="299"/>
      <c r="FI49" s="299"/>
      <c r="FJ49" s="299"/>
      <c r="FK49" s="299"/>
      <c r="FL49" s="299"/>
      <c r="FM49" s="299"/>
      <c r="FN49" s="299"/>
      <c r="FO49" s="299"/>
      <c r="FP49" s="299"/>
      <c r="FQ49" s="300" t="e">
        <f t="shared" ca="1" si="56"/>
        <v>#VALUE!</v>
      </c>
      <c r="FR49" s="300" t="e">
        <f t="shared" ca="1" si="45"/>
        <v>#VALUE!</v>
      </c>
      <c r="FS49" s="300" t="e">
        <f t="shared" ca="1" si="45"/>
        <v>#VALUE!</v>
      </c>
      <c r="FT49" s="300" t="e">
        <f t="shared" ca="1" si="45"/>
        <v>#VALUE!</v>
      </c>
      <c r="FU49" s="300" t="e">
        <f t="shared" ca="1" si="45"/>
        <v>#VALUE!</v>
      </c>
      <c r="FV49" s="300" t="e">
        <f t="shared" ca="1" si="45"/>
        <v>#VALUE!</v>
      </c>
      <c r="FW49" s="300" t="e">
        <f t="shared" ca="1" si="45"/>
        <v>#VALUE!</v>
      </c>
      <c r="FX49" s="300" t="e">
        <f t="shared" ca="1" si="45"/>
        <v>#VALUE!</v>
      </c>
      <c r="FY49" s="300" t="e">
        <f t="shared" ca="1" si="45"/>
        <v>#VALUE!</v>
      </c>
      <c r="FZ49" s="300" t="e">
        <f t="shared" ca="1" si="45"/>
        <v>#VALUE!</v>
      </c>
      <c r="GA49" s="301" t="e">
        <f t="shared" ca="1" si="45"/>
        <v>#VALUE!</v>
      </c>
      <c r="GB49" s="301" t="e">
        <f t="shared" ca="1" si="46"/>
        <v>#VALUE!</v>
      </c>
      <c r="GC49" s="301" t="e">
        <f t="shared" ca="1" si="46"/>
        <v>#VALUE!</v>
      </c>
      <c r="GD49" s="301" t="e">
        <f t="shared" ca="1" si="46"/>
        <v>#VALUE!</v>
      </c>
      <c r="GE49" s="301" t="e">
        <f t="shared" ca="1" si="46"/>
        <v>#VALUE!</v>
      </c>
      <c r="GF49" s="301" t="e">
        <f t="shared" ca="1" si="46"/>
        <v>#VALUE!</v>
      </c>
      <c r="GG49" s="301" t="e">
        <f t="shared" ca="1" si="46"/>
        <v>#VALUE!</v>
      </c>
      <c r="GH49" s="301" t="e">
        <f t="shared" ca="1" si="46"/>
        <v>#VALUE!</v>
      </c>
      <c r="GI49" s="301" t="e">
        <f t="shared" ca="1" si="46"/>
        <v>#VALUE!</v>
      </c>
      <c r="GJ49" s="301" t="e">
        <f t="shared" ca="1" si="46"/>
        <v>#VALUE!</v>
      </c>
      <c r="GK49" s="301" t="e">
        <f t="shared" ca="1" si="46"/>
        <v>#VALUE!</v>
      </c>
      <c r="GL49" s="301" t="e">
        <f t="shared" ca="1" si="46"/>
        <v>#VALUE!</v>
      </c>
      <c r="GM49" s="301" t="e">
        <f t="shared" ca="1" si="46"/>
        <v>#VALUE!</v>
      </c>
      <c r="GN49" s="302" t="e">
        <f t="shared" ca="1" si="46"/>
        <v>#VALUE!</v>
      </c>
      <c r="GO49" s="302" t="e">
        <f t="shared" ca="1" si="46"/>
        <v>#VALUE!</v>
      </c>
      <c r="GP49" s="310">
        <f t="shared" si="55"/>
        <v>90</v>
      </c>
      <c r="GQ49" s="310">
        <f t="shared" si="55"/>
        <v>180</v>
      </c>
      <c r="GR49" s="310">
        <f t="shared" si="55"/>
        <v>180</v>
      </c>
      <c r="GS49" s="310">
        <f t="shared" si="55"/>
        <v>180</v>
      </c>
      <c r="GT49" s="310">
        <f t="shared" si="55"/>
        <v>180</v>
      </c>
      <c r="GU49" s="311">
        <f t="shared" si="55"/>
        <v>180</v>
      </c>
      <c r="GV49" s="310">
        <f t="shared" si="55"/>
        <v>180</v>
      </c>
      <c r="GW49" s="310">
        <f t="shared" si="55"/>
        <v>135</v>
      </c>
      <c r="GX49" s="310">
        <f t="shared" si="55"/>
        <v>0</v>
      </c>
      <c r="GY49" s="310">
        <f t="shared" si="55"/>
        <v>0</v>
      </c>
      <c r="GZ49" s="310">
        <f t="shared" si="55"/>
        <v>0</v>
      </c>
      <c r="HA49" s="310">
        <f t="shared" si="55"/>
        <v>0</v>
      </c>
      <c r="HB49" s="310">
        <f t="shared" si="55"/>
        <v>0</v>
      </c>
      <c r="HC49" s="310">
        <f t="shared" si="55"/>
        <v>0</v>
      </c>
      <c r="HD49" s="310">
        <f t="shared" si="55"/>
        <v>0</v>
      </c>
      <c r="HE49" s="310">
        <f t="shared" si="55"/>
        <v>0</v>
      </c>
      <c r="HF49" s="304"/>
      <c r="HG49" s="305"/>
    </row>
    <row r="50" spans="1:215" s="306" customFormat="1" ht="15.75" customHeight="1">
      <c r="A50" s="309"/>
      <c r="B50" s="292" t="s">
        <v>85</v>
      </c>
      <c r="C50" s="292" t="s">
        <v>194</v>
      </c>
      <c r="D50" s="292" t="s">
        <v>217</v>
      </c>
      <c r="E50" s="292" t="s">
        <v>407</v>
      </c>
      <c r="F50" s="292" t="s">
        <v>184</v>
      </c>
      <c r="G50" s="292" t="s">
        <v>350</v>
      </c>
      <c r="H50" s="292" t="s">
        <v>351</v>
      </c>
      <c r="I50" s="292" t="s">
        <v>352</v>
      </c>
      <c r="J50" s="292" t="s">
        <v>184</v>
      </c>
      <c r="K50" s="292" t="s">
        <v>353</v>
      </c>
      <c r="L50" s="292" t="s">
        <v>359</v>
      </c>
      <c r="M50" s="292" t="s">
        <v>367</v>
      </c>
      <c r="N50" s="292" t="str">
        <f t="shared" si="47"/>
        <v>OTC-Order Management</v>
      </c>
      <c r="O50" s="292" t="str">
        <f t="shared" si="48"/>
        <v>Technology-Consultant-India-Consulting</v>
      </c>
      <c r="P50" s="292" t="str">
        <f t="shared" si="49"/>
        <v>OTC - Technology</v>
      </c>
      <c r="Q50" s="293">
        <f t="shared" si="42"/>
        <v>167400</v>
      </c>
      <c r="R50" s="294">
        <f t="shared" si="43"/>
        <v>0</v>
      </c>
      <c r="S50" s="295">
        <f t="shared" si="50"/>
        <v>810</v>
      </c>
      <c r="T50" s="295">
        <f t="shared" si="44"/>
        <v>2790</v>
      </c>
      <c r="U50" s="296" t="str">
        <f t="shared" si="51"/>
        <v>Technology - Consultant</v>
      </c>
      <c r="V50" s="295" t="str">
        <f t="shared" si="52"/>
        <v>1-3 years</v>
      </c>
      <c r="W50" s="292" t="str">
        <f t="shared" si="53"/>
        <v>Offshore</v>
      </c>
      <c r="X50" s="292" t="s">
        <v>261</v>
      </c>
      <c r="Y50" s="292" t="s">
        <v>259</v>
      </c>
      <c r="Z50" s="292" t="s">
        <v>368</v>
      </c>
      <c r="AA50" s="297">
        <f>[1]Resourcing!QD54</f>
        <v>62.8065</v>
      </c>
      <c r="AB50" s="298">
        <f t="shared" si="54"/>
        <v>60</v>
      </c>
      <c r="AC50" s="299"/>
      <c r="AD50" s="299"/>
      <c r="AE50" s="299"/>
      <c r="AF50" s="299"/>
      <c r="AG50" s="299"/>
      <c r="AH50" s="299"/>
      <c r="AI50" s="299"/>
      <c r="AJ50" s="299"/>
      <c r="AK50" s="299"/>
      <c r="AL50" s="299"/>
      <c r="AM50" s="299"/>
      <c r="AN50" s="299"/>
      <c r="AO50" s="299"/>
      <c r="AP50" s="299"/>
      <c r="AQ50" s="299"/>
      <c r="AR50" s="299"/>
      <c r="AS50" s="299"/>
      <c r="AT50" s="299"/>
      <c r="AU50" s="299"/>
      <c r="AV50" s="299"/>
      <c r="AW50" s="299"/>
      <c r="AX50" s="299"/>
      <c r="AY50" s="299"/>
      <c r="AZ50" s="299"/>
      <c r="BA50" s="299"/>
      <c r="BB50" s="299"/>
      <c r="BC50" s="299"/>
      <c r="BD50" s="299"/>
      <c r="BE50" s="299"/>
      <c r="BF50" s="299"/>
      <c r="BG50" s="299"/>
      <c r="BH50" s="299"/>
      <c r="BI50" s="299"/>
      <c r="BJ50" s="299"/>
      <c r="BK50" s="299"/>
      <c r="BL50" s="299"/>
      <c r="BM50" s="299"/>
      <c r="BN50" s="299"/>
      <c r="BO50" s="299"/>
      <c r="BP50" s="299"/>
      <c r="BQ50" s="299"/>
      <c r="BR50" s="299"/>
      <c r="BS50" s="299"/>
      <c r="BT50" s="299"/>
      <c r="BU50" s="299"/>
      <c r="BV50" s="299"/>
      <c r="BW50" s="299"/>
      <c r="BX50" s="299">
        <v>45</v>
      </c>
      <c r="BY50" s="299">
        <v>45</v>
      </c>
      <c r="BZ50" s="299">
        <v>45</v>
      </c>
      <c r="CA50" s="299">
        <v>45</v>
      </c>
      <c r="CB50" s="299">
        <v>45</v>
      </c>
      <c r="CC50" s="299">
        <v>45</v>
      </c>
      <c r="CD50" s="299">
        <v>45</v>
      </c>
      <c r="CE50" s="299">
        <v>45</v>
      </c>
      <c r="CF50" s="299">
        <v>45</v>
      </c>
      <c r="CG50" s="299">
        <v>45</v>
      </c>
      <c r="CH50" s="299">
        <v>45</v>
      </c>
      <c r="CI50" s="299">
        <v>45</v>
      </c>
      <c r="CJ50" s="299">
        <v>45</v>
      </c>
      <c r="CK50" s="299">
        <v>45</v>
      </c>
      <c r="CL50" s="299">
        <v>45</v>
      </c>
      <c r="CM50" s="299">
        <v>45</v>
      </c>
      <c r="CN50" s="299">
        <v>45</v>
      </c>
      <c r="CO50" s="299">
        <v>45</v>
      </c>
      <c r="CP50" s="299">
        <v>45</v>
      </c>
      <c r="CQ50" s="299">
        <v>45</v>
      </c>
      <c r="CR50" s="299">
        <v>45</v>
      </c>
      <c r="CS50" s="299">
        <v>45</v>
      </c>
      <c r="CT50" s="299">
        <v>45</v>
      </c>
      <c r="CU50" s="299">
        <v>45</v>
      </c>
      <c r="CV50" s="299">
        <v>45</v>
      </c>
      <c r="CW50" s="299">
        <v>45</v>
      </c>
      <c r="CX50" s="299">
        <v>45</v>
      </c>
      <c r="CY50" s="299">
        <v>45</v>
      </c>
      <c r="CZ50" s="299">
        <v>45</v>
      </c>
      <c r="DA50" s="299">
        <v>45</v>
      </c>
      <c r="DB50" s="299">
        <v>45</v>
      </c>
      <c r="DC50" s="299">
        <v>45</v>
      </c>
      <c r="DD50" s="299">
        <v>45</v>
      </c>
      <c r="DE50" s="299">
        <v>45</v>
      </c>
      <c r="DF50" s="299">
        <v>45</v>
      </c>
      <c r="DG50" s="299">
        <v>45</v>
      </c>
      <c r="DH50" s="299">
        <v>45</v>
      </c>
      <c r="DI50" s="299">
        <v>45</v>
      </c>
      <c r="DJ50" s="299">
        <v>45</v>
      </c>
      <c r="DK50" s="299">
        <v>45</v>
      </c>
      <c r="DL50" s="299">
        <v>45</v>
      </c>
      <c r="DM50" s="299">
        <v>45</v>
      </c>
      <c r="DN50" s="299">
        <v>45</v>
      </c>
      <c r="DO50" s="299">
        <v>45</v>
      </c>
      <c r="DP50" s="299">
        <v>45</v>
      </c>
      <c r="DQ50" s="299">
        <v>45</v>
      </c>
      <c r="DR50" s="299"/>
      <c r="DS50" s="299"/>
      <c r="DT50" s="299">
        <v>45</v>
      </c>
      <c r="DU50" s="299">
        <v>45</v>
      </c>
      <c r="DV50" s="299">
        <v>45</v>
      </c>
      <c r="DW50" s="299">
        <v>45</v>
      </c>
      <c r="DX50" s="299">
        <v>45</v>
      </c>
      <c r="DY50" s="299">
        <v>45</v>
      </c>
      <c r="DZ50" s="299">
        <v>45</v>
      </c>
      <c r="EA50" s="299">
        <v>45</v>
      </c>
      <c r="EB50" s="299">
        <v>45</v>
      </c>
      <c r="EC50" s="299">
        <v>45</v>
      </c>
      <c r="ED50" s="299">
        <v>45</v>
      </c>
      <c r="EE50" s="299">
        <v>45</v>
      </c>
      <c r="EF50" s="299">
        <v>45</v>
      </c>
      <c r="EG50" s="299">
        <v>45</v>
      </c>
      <c r="EH50" s="299">
        <v>45</v>
      </c>
      <c r="EI50" s="299">
        <v>45</v>
      </c>
      <c r="EJ50" s="299"/>
      <c r="EK50" s="299"/>
      <c r="EL50" s="299"/>
      <c r="EM50" s="299"/>
      <c r="EN50" s="299"/>
      <c r="EO50" s="299"/>
      <c r="EP50" s="299"/>
      <c r="EQ50" s="299"/>
      <c r="ER50" s="299"/>
      <c r="ES50" s="299"/>
      <c r="ET50" s="299"/>
      <c r="EU50" s="299"/>
      <c r="EV50" s="299"/>
      <c r="EW50" s="299"/>
      <c r="EX50" s="299"/>
      <c r="EY50" s="299"/>
      <c r="EZ50" s="299"/>
      <c r="FA50" s="299"/>
      <c r="FB50" s="299"/>
      <c r="FC50" s="299"/>
      <c r="FD50" s="299"/>
      <c r="FE50" s="299"/>
      <c r="FF50" s="299"/>
      <c r="FG50" s="299"/>
      <c r="FH50" s="299"/>
      <c r="FI50" s="299"/>
      <c r="FJ50" s="299"/>
      <c r="FK50" s="299"/>
      <c r="FL50" s="299"/>
      <c r="FM50" s="299"/>
      <c r="FN50" s="299"/>
      <c r="FO50" s="299"/>
      <c r="FP50" s="299"/>
      <c r="FQ50" s="300" t="e">
        <f t="shared" ca="1" si="56"/>
        <v>#VALUE!</v>
      </c>
      <c r="FR50" s="300" t="e">
        <f t="shared" ca="1" si="45"/>
        <v>#VALUE!</v>
      </c>
      <c r="FS50" s="300" t="e">
        <f t="shared" ca="1" si="45"/>
        <v>#VALUE!</v>
      </c>
      <c r="FT50" s="300" t="e">
        <f t="shared" ca="1" si="45"/>
        <v>#VALUE!</v>
      </c>
      <c r="FU50" s="300" t="e">
        <f t="shared" ca="1" si="45"/>
        <v>#VALUE!</v>
      </c>
      <c r="FV50" s="300" t="e">
        <f t="shared" ca="1" si="45"/>
        <v>#VALUE!</v>
      </c>
      <c r="FW50" s="300" t="e">
        <f t="shared" ca="1" si="45"/>
        <v>#VALUE!</v>
      </c>
      <c r="FX50" s="300" t="e">
        <f t="shared" ca="1" si="45"/>
        <v>#VALUE!</v>
      </c>
      <c r="FY50" s="300" t="e">
        <f t="shared" ca="1" si="45"/>
        <v>#VALUE!</v>
      </c>
      <c r="FZ50" s="300" t="e">
        <f t="shared" ca="1" si="45"/>
        <v>#VALUE!</v>
      </c>
      <c r="GA50" s="301" t="e">
        <f t="shared" ca="1" si="45"/>
        <v>#VALUE!</v>
      </c>
      <c r="GB50" s="301" t="e">
        <f t="shared" ca="1" si="46"/>
        <v>#VALUE!</v>
      </c>
      <c r="GC50" s="301" t="e">
        <f t="shared" ca="1" si="46"/>
        <v>#VALUE!</v>
      </c>
      <c r="GD50" s="301" t="e">
        <f t="shared" ca="1" si="46"/>
        <v>#VALUE!</v>
      </c>
      <c r="GE50" s="301" t="e">
        <f t="shared" ca="1" si="46"/>
        <v>#VALUE!</v>
      </c>
      <c r="GF50" s="301" t="e">
        <f t="shared" ca="1" si="46"/>
        <v>#VALUE!</v>
      </c>
      <c r="GG50" s="301" t="e">
        <f t="shared" ca="1" si="46"/>
        <v>#VALUE!</v>
      </c>
      <c r="GH50" s="301" t="e">
        <f t="shared" ca="1" si="46"/>
        <v>#VALUE!</v>
      </c>
      <c r="GI50" s="301" t="e">
        <f t="shared" ca="1" si="46"/>
        <v>#VALUE!</v>
      </c>
      <c r="GJ50" s="301" t="e">
        <f t="shared" ca="1" si="46"/>
        <v>#VALUE!</v>
      </c>
      <c r="GK50" s="301" t="e">
        <f t="shared" ca="1" si="46"/>
        <v>#VALUE!</v>
      </c>
      <c r="GL50" s="301" t="e">
        <f t="shared" ca="1" si="46"/>
        <v>#VALUE!</v>
      </c>
      <c r="GM50" s="301" t="e">
        <f t="shared" ca="1" si="46"/>
        <v>#VALUE!</v>
      </c>
      <c r="GN50" s="302" t="e">
        <f t="shared" ca="1" si="46"/>
        <v>#VALUE!</v>
      </c>
      <c r="GO50" s="302" t="e">
        <f t="shared" ca="1" si="46"/>
        <v>#VALUE!</v>
      </c>
      <c r="GP50" s="310">
        <f t="shared" si="55"/>
        <v>90</v>
      </c>
      <c r="GQ50" s="310">
        <f t="shared" si="55"/>
        <v>180</v>
      </c>
      <c r="GR50" s="310">
        <f t="shared" si="55"/>
        <v>180</v>
      </c>
      <c r="GS50" s="310">
        <f t="shared" si="55"/>
        <v>180</v>
      </c>
      <c r="GT50" s="310">
        <f t="shared" si="55"/>
        <v>180</v>
      </c>
      <c r="GU50" s="311">
        <f t="shared" si="55"/>
        <v>0</v>
      </c>
      <c r="GV50" s="310">
        <f t="shared" si="55"/>
        <v>0</v>
      </c>
      <c r="GW50" s="310">
        <f t="shared" si="55"/>
        <v>0</v>
      </c>
      <c r="GX50" s="310">
        <f t="shared" si="55"/>
        <v>0</v>
      </c>
      <c r="GY50" s="310">
        <f t="shared" si="55"/>
        <v>0</v>
      </c>
      <c r="GZ50" s="310">
        <f t="shared" si="55"/>
        <v>0</v>
      </c>
      <c r="HA50" s="310">
        <f t="shared" si="55"/>
        <v>0</v>
      </c>
      <c r="HB50" s="310">
        <f t="shared" si="55"/>
        <v>0</v>
      </c>
      <c r="HC50" s="310">
        <f t="shared" si="55"/>
        <v>0</v>
      </c>
      <c r="HD50" s="310">
        <f t="shared" si="55"/>
        <v>0</v>
      </c>
      <c r="HE50" s="310">
        <f t="shared" si="55"/>
        <v>0</v>
      </c>
      <c r="HF50" s="304"/>
      <c r="HG50" s="305"/>
    </row>
    <row r="51" spans="1:215" s="306" customFormat="1" ht="15.75" customHeight="1">
      <c r="A51" s="309"/>
      <c r="B51" s="292" t="s">
        <v>85</v>
      </c>
      <c r="C51" s="292" t="s">
        <v>199</v>
      </c>
      <c r="D51" s="292" t="s">
        <v>252</v>
      </c>
      <c r="E51" s="292" t="s">
        <v>408</v>
      </c>
      <c r="F51" s="292" t="s">
        <v>186</v>
      </c>
      <c r="G51" s="292" t="s">
        <v>350</v>
      </c>
      <c r="H51" s="292" t="s">
        <v>351</v>
      </c>
      <c r="I51" s="292" t="s">
        <v>352</v>
      </c>
      <c r="J51" s="292" t="s">
        <v>186</v>
      </c>
      <c r="K51" s="292" t="s">
        <v>353</v>
      </c>
      <c r="L51" s="292" t="s">
        <v>359</v>
      </c>
      <c r="M51" s="292" t="s">
        <v>374</v>
      </c>
      <c r="N51" s="292" t="str">
        <f t="shared" si="47"/>
        <v>S&amp;R-Service Management</v>
      </c>
      <c r="O51" s="292" t="str">
        <f t="shared" si="48"/>
        <v>Technology-Senior Consultant-US-Consulting</v>
      </c>
      <c r="P51" s="292" t="str">
        <f t="shared" si="49"/>
        <v>S&amp;R - Technology</v>
      </c>
      <c r="Q51" s="293">
        <f t="shared" si="42"/>
        <v>889200</v>
      </c>
      <c r="R51" s="294">
        <f t="shared" si="43"/>
        <v>117000</v>
      </c>
      <c r="S51" s="295">
        <f t="shared" si="50"/>
        <v>0</v>
      </c>
      <c r="T51" s="295">
        <f t="shared" si="44"/>
        <v>3420</v>
      </c>
      <c r="U51" s="296" t="str">
        <f t="shared" si="51"/>
        <v>Technology - Senior Consultant</v>
      </c>
      <c r="V51" s="295" t="str">
        <f t="shared" si="52"/>
        <v>3-5 years</v>
      </c>
      <c r="W51" s="292" t="str">
        <f t="shared" si="53"/>
        <v>Onshore</v>
      </c>
      <c r="X51" s="292" t="s">
        <v>261</v>
      </c>
      <c r="Y51" s="292" t="s">
        <v>259</v>
      </c>
      <c r="Z51" s="292" t="s">
        <v>364</v>
      </c>
      <c r="AA51" s="297">
        <f>[1]Resourcing!QD55</f>
        <v>53.5098591549296</v>
      </c>
      <c r="AB51" s="298">
        <f t="shared" si="54"/>
        <v>260</v>
      </c>
      <c r="AC51" s="299"/>
      <c r="AD51" s="299"/>
      <c r="AE51" s="299"/>
      <c r="AF51" s="299"/>
      <c r="AG51" s="299"/>
      <c r="AH51" s="299"/>
      <c r="AI51" s="299"/>
      <c r="AJ51" s="299"/>
      <c r="AK51" s="299"/>
      <c r="AL51" s="299"/>
      <c r="AM51" s="299"/>
      <c r="AN51" s="299"/>
      <c r="AO51" s="299"/>
      <c r="AP51" s="299"/>
      <c r="AQ51" s="299"/>
      <c r="AR51" s="299"/>
      <c r="AS51" s="299"/>
      <c r="AT51" s="299"/>
      <c r="AU51" s="299"/>
      <c r="AV51" s="299"/>
      <c r="AW51" s="299"/>
      <c r="AX51" s="299"/>
      <c r="AY51" s="299"/>
      <c r="AZ51" s="299"/>
      <c r="BA51" s="299"/>
      <c r="BB51" s="299"/>
      <c r="BC51" s="299"/>
      <c r="BD51" s="299"/>
      <c r="BE51" s="299">
        <v>45</v>
      </c>
      <c r="BF51" s="299">
        <v>45</v>
      </c>
      <c r="BG51" s="299">
        <v>45</v>
      </c>
      <c r="BH51" s="299">
        <v>45</v>
      </c>
      <c r="BI51" s="299">
        <v>45</v>
      </c>
      <c r="BJ51" s="299">
        <v>45</v>
      </c>
      <c r="BK51" s="299">
        <v>45</v>
      </c>
      <c r="BL51" s="299">
        <v>45</v>
      </c>
      <c r="BM51" s="299">
        <v>45</v>
      </c>
      <c r="BN51" s="299">
        <v>45</v>
      </c>
      <c r="BO51" s="299">
        <v>45</v>
      </c>
      <c r="BP51" s="299">
        <v>45</v>
      </c>
      <c r="BQ51" s="299">
        <v>45</v>
      </c>
      <c r="BR51" s="299"/>
      <c r="BS51" s="299"/>
      <c r="BT51" s="299">
        <v>45</v>
      </c>
      <c r="BU51" s="299">
        <v>45</v>
      </c>
      <c r="BV51" s="299">
        <v>45</v>
      </c>
      <c r="BW51" s="299">
        <v>45</v>
      </c>
      <c r="BX51" s="299">
        <v>45</v>
      </c>
      <c r="BY51" s="299">
        <v>45</v>
      </c>
      <c r="BZ51" s="299">
        <v>45</v>
      </c>
      <c r="CA51" s="299">
        <v>45</v>
      </c>
      <c r="CB51" s="299">
        <v>45</v>
      </c>
      <c r="CC51" s="299">
        <v>45</v>
      </c>
      <c r="CD51" s="299">
        <v>45</v>
      </c>
      <c r="CE51" s="299">
        <v>45</v>
      </c>
      <c r="CF51" s="299">
        <v>45</v>
      </c>
      <c r="CG51" s="299">
        <v>45</v>
      </c>
      <c r="CH51" s="299">
        <v>45</v>
      </c>
      <c r="CI51" s="299">
        <v>45</v>
      </c>
      <c r="CJ51" s="299">
        <v>45</v>
      </c>
      <c r="CK51" s="299">
        <v>45</v>
      </c>
      <c r="CL51" s="299">
        <v>45</v>
      </c>
      <c r="CM51" s="299">
        <v>45</v>
      </c>
      <c r="CN51" s="299">
        <v>45</v>
      </c>
      <c r="CO51" s="299">
        <v>45</v>
      </c>
      <c r="CP51" s="299">
        <v>45</v>
      </c>
      <c r="CQ51" s="299">
        <v>45</v>
      </c>
      <c r="CR51" s="299">
        <v>45</v>
      </c>
      <c r="CS51" s="299">
        <v>45</v>
      </c>
      <c r="CT51" s="299">
        <v>45</v>
      </c>
      <c r="CU51" s="299">
        <v>45</v>
      </c>
      <c r="CV51" s="299">
        <v>45</v>
      </c>
      <c r="CW51" s="299">
        <v>45</v>
      </c>
      <c r="CX51" s="299">
        <v>45</v>
      </c>
      <c r="CY51" s="299">
        <v>45</v>
      </c>
      <c r="CZ51" s="299">
        <v>45</v>
      </c>
      <c r="DA51" s="299">
        <v>45</v>
      </c>
      <c r="DB51" s="299">
        <v>45</v>
      </c>
      <c r="DC51" s="299">
        <v>45</v>
      </c>
      <c r="DD51" s="299">
        <v>45</v>
      </c>
      <c r="DE51" s="299">
        <v>45</v>
      </c>
      <c r="DF51" s="299">
        <v>45</v>
      </c>
      <c r="DG51" s="299">
        <v>45</v>
      </c>
      <c r="DH51" s="299">
        <v>45</v>
      </c>
      <c r="DI51" s="299">
        <v>45</v>
      </c>
      <c r="DJ51" s="299">
        <v>45</v>
      </c>
      <c r="DK51" s="299">
        <v>45</v>
      </c>
      <c r="DL51" s="299">
        <v>45</v>
      </c>
      <c r="DM51" s="299">
        <v>45</v>
      </c>
      <c r="DN51" s="299">
        <v>45</v>
      </c>
      <c r="DO51" s="299">
        <v>45</v>
      </c>
      <c r="DP51" s="299">
        <v>45</v>
      </c>
      <c r="DQ51" s="299">
        <v>45</v>
      </c>
      <c r="DR51" s="299"/>
      <c r="DS51" s="299"/>
      <c r="DT51" s="299">
        <v>45</v>
      </c>
      <c r="DU51" s="299">
        <v>45</v>
      </c>
      <c r="DV51" s="299">
        <v>45</v>
      </c>
      <c r="DW51" s="299">
        <v>45</v>
      </c>
      <c r="DX51" s="299">
        <v>45</v>
      </c>
      <c r="DY51" s="299">
        <v>45</v>
      </c>
      <c r="DZ51" s="299">
        <v>45</v>
      </c>
      <c r="EA51" s="299">
        <v>45</v>
      </c>
      <c r="EB51" s="299">
        <v>45</v>
      </c>
      <c r="EC51" s="299">
        <v>45</v>
      </c>
      <c r="ED51" s="299">
        <v>45</v>
      </c>
      <c r="EE51" s="299">
        <v>45</v>
      </c>
      <c r="EF51" s="299">
        <v>45</v>
      </c>
      <c r="EG51" s="299"/>
      <c r="EH51" s="299"/>
      <c r="EI51" s="299"/>
      <c r="EJ51" s="299"/>
      <c r="EK51" s="299"/>
      <c r="EL51" s="299"/>
      <c r="EM51" s="299"/>
      <c r="EN51" s="299"/>
      <c r="EO51" s="299"/>
      <c r="EP51" s="299"/>
      <c r="EQ51" s="299"/>
      <c r="ER51" s="299"/>
      <c r="ES51" s="299"/>
      <c r="ET51" s="299"/>
      <c r="EU51" s="299"/>
      <c r="EV51" s="299"/>
      <c r="EW51" s="299"/>
      <c r="EX51" s="299"/>
      <c r="EY51" s="299"/>
      <c r="EZ51" s="299"/>
      <c r="FA51" s="299"/>
      <c r="FB51" s="299"/>
      <c r="FC51" s="299"/>
      <c r="FD51" s="299"/>
      <c r="FE51" s="299"/>
      <c r="FF51" s="299"/>
      <c r="FG51" s="299"/>
      <c r="FH51" s="299"/>
      <c r="FI51" s="299"/>
      <c r="FJ51" s="299"/>
      <c r="FK51" s="299"/>
      <c r="FL51" s="299"/>
      <c r="FM51" s="299"/>
      <c r="FN51" s="299"/>
      <c r="FO51" s="299"/>
      <c r="FP51" s="299"/>
      <c r="FQ51" s="300" t="e">
        <f t="shared" ca="1" si="56"/>
        <v>#VALUE!</v>
      </c>
      <c r="FR51" s="300" t="e">
        <f t="shared" ca="1" si="45"/>
        <v>#VALUE!</v>
      </c>
      <c r="FS51" s="300" t="e">
        <f t="shared" ca="1" si="45"/>
        <v>#VALUE!</v>
      </c>
      <c r="FT51" s="300" t="e">
        <f t="shared" ca="1" si="45"/>
        <v>#VALUE!</v>
      </c>
      <c r="FU51" s="300" t="e">
        <f t="shared" ca="1" si="45"/>
        <v>#VALUE!</v>
      </c>
      <c r="FV51" s="300" t="e">
        <f t="shared" ca="1" si="45"/>
        <v>#VALUE!</v>
      </c>
      <c r="FW51" s="300" t="e">
        <f t="shared" ca="1" si="45"/>
        <v>#VALUE!</v>
      </c>
      <c r="FX51" s="300" t="e">
        <f t="shared" ca="1" si="45"/>
        <v>#VALUE!</v>
      </c>
      <c r="FY51" s="300" t="e">
        <f t="shared" ca="1" si="45"/>
        <v>#VALUE!</v>
      </c>
      <c r="FZ51" s="300" t="e">
        <f t="shared" ca="1" si="45"/>
        <v>#VALUE!</v>
      </c>
      <c r="GA51" s="301" t="e">
        <f t="shared" ca="1" si="45"/>
        <v>#VALUE!</v>
      </c>
      <c r="GB51" s="301" t="e">
        <f t="shared" ca="1" si="46"/>
        <v>#VALUE!</v>
      </c>
      <c r="GC51" s="301" t="e">
        <f t="shared" ca="1" si="46"/>
        <v>#VALUE!</v>
      </c>
      <c r="GD51" s="301" t="e">
        <f t="shared" ca="1" si="46"/>
        <v>#VALUE!</v>
      </c>
      <c r="GE51" s="301" t="e">
        <f t="shared" ca="1" si="46"/>
        <v>#VALUE!</v>
      </c>
      <c r="GF51" s="301" t="e">
        <f t="shared" ca="1" si="46"/>
        <v>#VALUE!</v>
      </c>
      <c r="GG51" s="301" t="e">
        <f t="shared" ca="1" si="46"/>
        <v>#VALUE!</v>
      </c>
      <c r="GH51" s="301" t="e">
        <f t="shared" ca="1" si="46"/>
        <v>#VALUE!</v>
      </c>
      <c r="GI51" s="301" t="e">
        <f t="shared" ca="1" si="46"/>
        <v>#VALUE!</v>
      </c>
      <c r="GJ51" s="301" t="e">
        <f t="shared" ca="1" si="46"/>
        <v>#VALUE!</v>
      </c>
      <c r="GK51" s="301" t="e">
        <f t="shared" ca="1" si="46"/>
        <v>#VALUE!</v>
      </c>
      <c r="GL51" s="301" t="e">
        <f t="shared" ca="1" si="46"/>
        <v>#VALUE!</v>
      </c>
      <c r="GM51" s="301" t="e">
        <f t="shared" ca="1" si="46"/>
        <v>#VALUE!</v>
      </c>
      <c r="GN51" s="302" t="e">
        <f t="shared" ca="1" si="46"/>
        <v>#VALUE!</v>
      </c>
      <c r="GO51" s="302" t="e">
        <f t="shared" ca="1" si="46"/>
        <v>#VALUE!</v>
      </c>
      <c r="GP51" s="310"/>
      <c r="GQ51" s="310"/>
      <c r="GR51" s="310"/>
      <c r="GS51" s="310"/>
      <c r="GT51" s="310"/>
      <c r="GU51" s="311"/>
      <c r="GV51" s="310"/>
      <c r="GW51" s="310"/>
      <c r="GX51" s="310"/>
      <c r="GY51" s="310"/>
      <c r="GZ51" s="310"/>
      <c r="HA51" s="310"/>
      <c r="HB51" s="310"/>
      <c r="HC51" s="310"/>
      <c r="HD51" s="310"/>
      <c r="HE51" s="310"/>
      <c r="HF51" s="304"/>
      <c r="HG51" s="305"/>
    </row>
    <row r="52" spans="1:215" s="306" customFormat="1" ht="15.75" customHeight="1">
      <c r="A52" s="309"/>
      <c r="B52" s="292" t="s">
        <v>85</v>
      </c>
      <c r="C52" s="292" t="s">
        <v>199</v>
      </c>
      <c r="D52" s="292" t="s">
        <v>252</v>
      </c>
      <c r="E52" s="292" t="s">
        <v>409</v>
      </c>
      <c r="F52" s="292" t="s">
        <v>184</v>
      </c>
      <c r="G52" s="292" t="s">
        <v>350</v>
      </c>
      <c r="H52" s="292" t="s">
        <v>351</v>
      </c>
      <c r="I52" s="292" t="s">
        <v>352</v>
      </c>
      <c r="J52" s="292" t="s">
        <v>184</v>
      </c>
      <c r="K52" s="292" t="s">
        <v>353</v>
      </c>
      <c r="L52" s="292" t="s">
        <v>359</v>
      </c>
      <c r="M52" s="292" t="s">
        <v>374</v>
      </c>
      <c r="N52" s="292" t="str">
        <f t="shared" si="47"/>
        <v>S&amp;R-Service Management</v>
      </c>
      <c r="O52" s="292" t="str">
        <f t="shared" si="48"/>
        <v>Technology-Consultant-India-Consulting</v>
      </c>
      <c r="P52" s="292" t="str">
        <f t="shared" si="49"/>
        <v>S&amp;R - Technology</v>
      </c>
      <c r="Q52" s="293">
        <f t="shared" si="42"/>
        <v>237600</v>
      </c>
      <c r="R52" s="294">
        <f t="shared" si="43"/>
        <v>21600</v>
      </c>
      <c r="S52" s="295">
        <f t="shared" si="50"/>
        <v>1305</v>
      </c>
      <c r="T52" s="295">
        <f t="shared" si="44"/>
        <v>3960</v>
      </c>
      <c r="U52" s="296" t="str">
        <f t="shared" si="51"/>
        <v>Technology - Consultant</v>
      </c>
      <c r="V52" s="295" t="str">
        <f t="shared" si="52"/>
        <v>1-3 years</v>
      </c>
      <c r="W52" s="292" t="str">
        <f t="shared" si="53"/>
        <v>Offshore</v>
      </c>
      <c r="X52" s="292" t="s">
        <v>261</v>
      </c>
      <c r="Y52" s="292" t="s">
        <v>259</v>
      </c>
      <c r="Z52" s="292" t="s">
        <v>368</v>
      </c>
      <c r="AA52" s="297">
        <f>[1]Resourcing!QD56</f>
        <v>43.1016438356164</v>
      </c>
      <c r="AB52" s="298">
        <f t="shared" si="54"/>
        <v>60</v>
      </c>
      <c r="AC52" s="299"/>
      <c r="AD52" s="299"/>
      <c r="AE52" s="299"/>
      <c r="AF52" s="299"/>
      <c r="AG52" s="299"/>
      <c r="AH52" s="299"/>
      <c r="AI52" s="299"/>
      <c r="AJ52" s="299"/>
      <c r="AK52" s="299"/>
      <c r="AL52" s="299"/>
      <c r="AM52" s="299"/>
      <c r="AN52" s="299"/>
      <c r="AO52" s="299"/>
      <c r="AP52" s="299"/>
      <c r="AQ52" s="299"/>
      <c r="AR52" s="299"/>
      <c r="AS52" s="299"/>
      <c r="AT52" s="299"/>
      <c r="AU52" s="299"/>
      <c r="AV52" s="299"/>
      <c r="AW52" s="299"/>
      <c r="AX52" s="299"/>
      <c r="AY52" s="299"/>
      <c r="AZ52" s="299"/>
      <c r="BA52" s="299"/>
      <c r="BB52" s="299"/>
      <c r="BC52" s="299"/>
      <c r="BD52" s="299"/>
      <c r="BE52" s="299"/>
      <c r="BF52" s="299"/>
      <c r="BG52" s="299">
        <v>45</v>
      </c>
      <c r="BH52" s="299">
        <v>45</v>
      </c>
      <c r="BI52" s="299">
        <v>45</v>
      </c>
      <c r="BJ52" s="299">
        <v>45</v>
      </c>
      <c r="BK52" s="299">
        <v>45</v>
      </c>
      <c r="BL52" s="299">
        <v>45</v>
      </c>
      <c r="BM52" s="299">
        <v>45</v>
      </c>
      <c r="BN52" s="299">
        <v>45</v>
      </c>
      <c r="BO52" s="299">
        <v>45</v>
      </c>
      <c r="BP52" s="299">
        <v>45</v>
      </c>
      <c r="BQ52" s="299">
        <v>45</v>
      </c>
      <c r="BR52" s="299"/>
      <c r="BS52" s="299"/>
      <c r="BT52" s="299">
        <v>45</v>
      </c>
      <c r="BU52" s="299">
        <v>45</v>
      </c>
      <c r="BV52" s="299">
        <v>45</v>
      </c>
      <c r="BW52" s="299">
        <v>45</v>
      </c>
      <c r="BX52" s="299">
        <v>45</v>
      </c>
      <c r="BY52" s="299">
        <v>45</v>
      </c>
      <c r="BZ52" s="299">
        <v>45</v>
      </c>
      <c r="CA52" s="299">
        <v>45</v>
      </c>
      <c r="CB52" s="299">
        <v>45</v>
      </c>
      <c r="CC52" s="299">
        <v>45</v>
      </c>
      <c r="CD52" s="299">
        <v>45</v>
      </c>
      <c r="CE52" s="299">
        <v>45</v>
      </c>
      <c r="CF52" s="299">
        <v>45</v>
      </c>
      <c r="CG52" s="299">
        <v>45</v>
      </c>
      <c r="CH52" s="299">
        <v>45</v>
      </c>
      <c r="CI52" s="299">
        <v>45</v>
      </c>
      <c r="CJ52" s="299">
        <v>45</v>
      </c>
      <c r="CK52" s="299">
        <v>45</v>
      </c>
      <c r="CL52" s="299">
        <v>45</v>
      </c>
      <c r="CM52" s="299">
        <v>45</v>
      </c>
      <c r="CN52" s="299">
        <v>45</v>
      </c>
      <c r="CO52" s="299">
        <v>45</v>
      </c>
      <c r="CP52" s="299">
        <v>45</v>
      </c>
      <c r="CQ52" s="299">
        <v>45</v>
      </c>
      <c r="CR52" s="299">
        <v>45</v>
      </c>
      <c r="CS52" s="299">
        <v>45</v>
      </c>
      <c r="CT52" s="299">
        <v>45</v>
      </c>
      <c r="CU52" s="299">
        <v>45</v>
      </c>
      <c r="CV52" s="299">
        <v>45</v>
      </c>
      <c r="CW52" s="299">
        <v>45</v>
      </c>
      <c r="CX52" s="299">
        <v>45</v>
      </c>
      <c r="CY52" s="299">
        <v>45</v>
      </c>
      <c r="CZ52" s="299">
        <v>45</v>
      </c>
      <c r="DA52" s="299">
        <v>45</v>
      </c>
      <c r="DB52" s="299">
        <v>45</v>
      </c>
      <c r="DC52" s="299">
        <v>45</v>
      </c>
      <c r="DD52" s="299">
        <v>45</v>
      </c>
      <c r="DE52" s="299">
        <v>45</v>
      </c>
      <c r="DF52" s="299">
        <v>45</v>
      </c>
      <c r="DG52" s="299">
        <v>45</v>
      </c>
      <c r="DH52" s="299">
        <v>45</v>
      </c>
      <c r="DI52" s="299">
        <v>45</v>
      </c>
      <c r="DJ52" s="299">
        <v>45</v>
      </c>
      <c r="DK52" s="299">
        <v>45</v>
      </c>
      <c r="DL52" s="299">
        <v>45</v>
      </c>
      <c r="DM52" s="299">
        <v>45</v>
      </c>
      <c r="DN52" s="299">
        <v>45</v>
      </c>
      <c r="DO52" s="299">
        <v>45</v>
      </c>
      <c r="DP52" s="299">
        <v>45</v>
      </c>
      <c r="DQ52" s="299">
        <v>45</v>
      </c>
      <c r="DR52" s="299"/>
      <c r="DS52" s="299"/>
      <c r="DT52" s="299">
        <v>45</v>
      </c>
      <c r="DU52" s="299">
        <v>45</v>
      </c>
      <c r="DV52" s="299">
        <v>45</v>
      </c>
      <c r="DW52" s="299">
        <v>45</v>
      </c>
      <c r="DX52" s="299">
        <v>45</v>
      </c>
      <c r="DY52" s="299">
        <v>45</v>
      </c>
      <c r="DZ52" s="299">
        <v>45</v>
      </c>
      <c r="EA52" s="299">
        <v>45</v>
      </c>
      <c r="EB52" s="299">
        <v>45</v>
      </c>
      <c r="EC52" s="299">
        <v>45</v>
      </c>
      <c r="ED52" s="299">
        <v>45</v>
      </c>
      <c r="EE52" s="299">
        <v>45</v>
      </c>
      <c r="EF52" s="299">
        <v>45</v>
      </c>
      <c r="EG52" s="299">
        <v>45</v>
      </c>
      <c r="EH52" s="299">
        <v>45</v>
      </c>
      <c r="EI52" s="299">
        <v>45</v>
      </c>
      <c r="EJ52" s="299">
        <v>45</v>
      </c>
      <c r="EK52" s="299">
        <v>45</v>
      </c>
      <c r="EL52" s="299">
        <v>45</v>
      </c>
      <c r="EM52" s="299">
        <v>45</v>
      </c>
      <c r="EN52" s="299">
        <v>45</v>
      </c>
      <c r="EO52" s="299">
        <v>45</v>
      </c>
      <c r="EP52" s="299">
        <v>45</v>
      </c>
      <c r="EQ52" s="299">
        <v>45</v>
      </c>
      <c r="ER52" s="299">
        <v>45</v>
      </c>
      <c r="ES52" s="299">
        <v>45</v>
      </c>
      <c r="ET52" s="299">
        <v>45</v>
      </c>
      <c r="EU52" s="299"/>
      <c r="EV52" s="299"/>
      <c r="EW52" s="299"/>
      <c r="EX52" s="299"/>
      <c r="EY52" s="299"/>
      <c r="EZ52" s="299"/>
      <c r="FA52" s="299"/>
      <c r="FB52" s="299"/>
      <c r="FC52" s="299"/>
      <c r="FD52" s="299"/>
      <c r="FE52" s="299"/>
      <c r="FF52" s="299"/>
      <c r="FG52" s="299"/>
      <c r="FH52" s="299"/>
      <c r="FI52" s="299"/>
      <c r="FJ52" s="299"/>
      <c r="FK52" s="299"/>
      <c r="FL52" s="299"/>
      <c r="FM52" s="299"/>
      <c r="FN52" s="299"/>
      <c r="FO52" s="299"/>
      <c r="FP52" s="299"/>
      <c r="FQ52" s="300" t="e">
        <f t="shared" ca="1" si="56"/>
        <v>#VALUE!</v>
      </c>
      <c r="FR52" s="300" t="e">
        <f t="shared" ca="1" si="45"/>
        <v>#VALUE!</v>
      </c>
      <c r="FS52" s="300" t="e">
        <f t="shared" ca="1" si="45"/>
        <v>#VALUE!</v>
      </c>
      <c r="FT52" s="300" t="e">
        <f t="shared" ca="1" si="45"/>
        <v>#VALUE!</v>
      </c>
      <c r="FU52" s="300" t="e">
        <f t="shared" ca="1" si="45"/>
        <v>#VALUE!</v>
      </c>
      <c r="FV52" s="300" t="e">
        <f t="shared" ca="1" si="45"/>
        <v>#VALUE!</v>
      </c>
      <c r="FW52" s="300" t="e">
        <f t="shared" ca="1" si="45"/>
        <v>#VALUE!</v>
      </c>
      <c r="FX52" s="300" t="e">
        <f t="shared" ca="1" si="45"/>
        <v>#VALUE!</v>
      </c>
      <c r="FY52" s="300" t="e">
        <f t="shared" ca="1" si="45"/>
        <v>#VALUE!</v>
      </c>
      <c r="FZ52" s="300" t="e">
        <f t="shared" ca="1" si="45"/>
        <v>#VALUE!</v>
      </c>
      <c r="GA52" s="301" t="e">
        <f t="shared" ca="1" si="45"/>
        <v>#VALUE!</v>
      </c>
      <c r="GB52" s="301" t="e">
        <f t="shared" ca="1" si="46"/>
        <v>#VALUE!</v>
      </c>
      <c r="GC52" s="301" t="e">
        <f t="shared" ca="1" si="46"/>
        <v>#VALUE!</v>
      </c>
      <c r="GD52" s="301" t="e">
        <f t="shared" ca="1" si="46"/>
        <v>#VALUE!</v>
      </c>
      <c r="GE52" s="301" t="e">
        <f t="shared" ca="1" si="46"/>
        <v>#VALUE!</v>
      </c>
      <c r="GF52" s="301" t="e">
        <f t="shared" ca="1" si="46"/>
        <v>#VALUE!</v>
      </c>
      <c r="GG52" s="301" t="e">
        <f t="shared" ca="1" si="46"/>
        <v>#VALUE!</v>
      </c>
      <c r="GH52" s="301" t="e">
        <f t="shared" ca="1" si="46"/>
        <v>#VALUE!</v>
      </c>
      <c r="GI52" s="301" t="e">
        <f t="shared" ca="1" si="46"/>
        <v>#VALUE!</v>
      </c>
      <c r="GJ52" s="301" t="e">
        <f t="shared" ca="1" si="46"/>
        <v>#VALUE!</v>
      </c>
      <c r="GK52" s="301" t="e">
        <f t="shared" ca="1" si="46"/>
        <v>#VALUE!</v>
      </c>
      <c r="GL52" s="301" t="e">
        <f t="shared" ca="1" si="46"/>
        <v>#VALUE!</v>
      </c>
      <c r="GM52" s="301" t="e">
        <f t="shared" ca="1" si="46"/>
        <v>#VALUE!</v>
      </c>
      <c r="GN52" s="302" t="e">
        <f t="shared" ca="1" si="46"/>
        <v>#VALUE!</v>
      </c>
      <c r="GO52" s="302" t="e">
        <f t="shared" ca="1" si="46"/>
        <v>#VALUE!</v>
      </c>
      <c r="GP52" s="310">
        <f t="shared" ref="GP52:HE55" si="57">SUMIF($AB$8:$FO$8,GP$9,$AB52:$FO52)</f>
        <v>90</v>
      </c>
      <c r="GQ52" s="310">
        <f t="shared" si="57"/>
        <v>180</v>
      </c>
      <c r="GR52" s="310">
        <f t="shared" si="57"/>
        <v>180</v>
      </c>
      <c r="GS52" s="310">
        <f t="shared" si="57"/>
        <v>180</v>
      </c>
      <c r="GT52" s="310">
        <f t="shared" si="57"/>
        <v>180</v>
      </c>
      <c r="GU52" s="311">
        <f t="shared" si="57"/>
        <v>180</v>
      </c>
      <c r="GV52" s="310">
        <f t="shared" si="57"/>
        <v>180</v>
      </c>
      <c r="GW52" s="310">
        <f t="shared" si="57"/>
        <v>135</v>
      </c>
      <c r="GX52" s="310">
        <f t="shared" si="57"/>
        <v>0</v>
      </c>
      <c r="GY52" s="310">
        <f t="shared" si="57"/>
        <v>0</v>
      </c>
      <c r="GZ52" s="310">
        <f t="shared" si="57"/>
        <v>0</v>
      </c>
      <c r="HA52" s="310">
        <f t="shared" si="57"/>
        <v>0</v>
      </c>
      <c r="HB52" s="310">
        <f t="shared" si="57"/>
        <v>0</v>
      </c>
      <c r="HC52" s="310">
        <f t="shared" si="57"/>
        <v>0</v>
      </c>
      <c r="HD52" s="310">
        <f t="shared" si="57"/>
        <v>0</v>
      </c>
      <c r="HE52" s="310">
        <f t="shared" si="57"/>
        <v>0</v>
      </c>
      <c r="HF52" s="304"/>
      <c r="HG52" s="305"/>
    </row>
    <row r="53" spans="1:215" s="306" customFormat="1" ht="15.75" customHeight="1">
      <c r="A53" s="309"/>
      <c r="B53" s="292" t="s">
        <v>85</v>
      </c>
      <c r="C53" s="292" t="s">
        <v>199</v>
      </c>
      <c r="D53" s="292" t="s">
        <v>252</v>
      </c>
      <c r="E53" s="292" t="s">
        <v>410</v>
      </c>
      <c r="F53" s="292" t="s">
        <v>184</v>
      </c>
      <c r="G53" s="292" t="s">
        <v>350</v>
      </c>
      <c r="H53" s="292" t="s">
        <v>351</v>
      </c>
      <c r="I53" s="292" t="s">
        <v>352</v>
      </c>
      <c r="J53" s="292" t="s">
        <v>184</v>
      </c>
      <c r="K53" s="292" t="s">
        <v>353</v>
      </c>
      <c r="L53" s="292" t="s">
        <v>359</v>
      </c>
      <c r="M53" s="292" t="s">
        <v>363</v>
      </c>
      <c r="N53" s="292" t="str">
        <f t="shared" si="47"/>
        <v>S&amp;R-Service Management</v>
      </c>
      <c r="O53" s="292" t="str">
        <f t="shared" si="48"/>
        <v>Technology-Consultant-India-Consulting</v>
      </c>
      <c r="P53" s="292" t="str">
        <f t="shared" si="49"/>
        <v>S&amp;R - Technology</v>
      </c>
      <c r="Q53" s="293">
        <f t="shared" si="42"/>
        <v>191700</v>
      </c>
      <c r="R53" s="294">
        <f t="shared" si="43"/>
        <v>0</v>
      </c>
      <c r="S53" s="295">
        <f t="shared" si="50"/>
        <v>1215</v>
      </c>
      <c r="T53" s="295">
        <f t="shared" si="44"/>
        <v>3195</v>
      </c>
      <c r="U53" s="296" t="str">
        <f t="shared" si="51"/>
        <v>Technology - Consultant</v>
      </c>
      <c r="V53" s="295" t="str">
        <f t="shared" si="52"/>
        <v>1-3 years</v>
      </c>
      <c r="W53" s="292" t="str">
        <f t="shared" si="53"/>
        <v>Offshore</v>
      </c>
      <c r="X53" s="292" t="s">
        <v>261</v>
      </c>
      <c r="Y53" s="292" t="s">
        <v>259</v>
      </c>
      <c r="Z53" s="292" t="s">
        <v>368</v>
      </c>
      <c r="AA53" s="297">
        <f>[1]Resourcing!QD57</f>
        <v>53.220967741935503</v>
      </c>
      <c r="AB53" s="298">
        <f t="shared" si="54"/>
        <v>60</v>
      </c>
      <c r="AC53" s="299"/>
      <c r="AD53" s="299"/>
      <c r="AE53" s="299"/>
      <c r="AF53" s="299"/>
      <c r="AG53" s="299"/>
      <c r="AH53" s="299"/>
      <c r="AI53" s="299"/>
      <c r="AJ53" s="299"/>
      <c r="AK53" s="299"/>
      <c r="AL53" s="299"/>
      <c r="AM53" s="299"/>
      <c r="AN53" s="299"/>
      <c r="AO53" s="299"/>
      <c r="AP53" s="299"/>
      <c r="AQ53" s="299"/>
      <c r="AR53" s="299"/>
      <c r="AS53" s="299"/>
      <c r="AT53" s="299"/>
      <c r="AU53" s="299"/>
      <c r="AV53" s="299"/>
      <c r="AW53" s="299"/>
      <c r="AX53" s="299"/>
      <c r="AY53" s="299"/>
      <c r="AZ53" s="299"/>
      <c r="BA53" s="299"/>
      <c r="BB53" s="299"/>
      <c r="BC53" s="299"/>
      <c r="BD53" s="299"/>
      <c r="BE53" s="299"/>
      <c r="BF53" s="299"/>
      <c r="BG53" s="299"/>
      <c r="BH53" s="299"/>
      <c r="BI53" s="299"/>
      <c r="BJ53" s="299"/>
      <c r="BK53" s="299"/>
      <c r="BL53" s="299"/>
      <c r="BM53" s="299"/>
      <c r="BN53" s="299"/>
      <c r="BO53" s="299"/>
      <c r="BP53" s="299"/>
      <c r="BQ53" s="299"/>
      <c r="BR53" s="299"/>
      <c r="BS53" s="299"/>
      <c r="BT53" s="299"/>
      <c r="BU53" s="299"/>
      <c r="BV53" s="299"/>
      <c r="BW53" s="299"/>
      <c r="BX53" s="299">
        <v>45</v>
      </c>
      <c r="BY53" s="299">
        <v>45</v>
      </c>
      <c r="BZ53" s="299">
        <v>45</v>
      </c>
      <c r="CA53" s="299">
        <v>45</v>
      </c>
      <c r="CB53" s="299">
        <v>45</v>
      </c>
      <c r="CC53" s="299">
        <v>45</v>
      </c>
      <c r="CD53" s="299">
        <v>45</v>
      </c>
      <c r="CE53" s="299">
        <v>45</v>
      </c>
      <c r="CF53" s="299">
        <v>45</v>
      </c>
      <c r="CG53" s="299">
        <v>45</v>
      </c>
      <c r="CH53" s="299">
        <v>45</v>
      </c>
      <c r="CI53" s="299">
        <v>45</v>
      </c>
      <c r="CJ53" s="299">
        <v>45</v>
      </c>
      <c r="CK53" s="299">
        <v>45</v>
      </c>
      <c r="CL53" s="299">
        <v>45</v>
      </c>
      <c r="CM53" s="299">
        <v>45</v>
      </c>
      <c r="CN53" s="299">
        <v>45</v>
      </c>
      <c r="CO53" s="299">
        <v>45</v>
      </c>
      <c r="CP53" s="299">
        <v>45</v>
      </c>
      <c r="CQ53" s="299">
        <v>45</v>
      </c>
      <c r="CR53" s="299">
        <v>45</v>
      </c>
      <c r="CS53" s="299">
        <v>45</v>
      </c>
      <c r="CT53" s="299">
        <v>45</v>
      </c>
      <c r="CU53" s="299">
        <v>45</v>
      </c>
      <c r="CV53" s="299">
        <v>45</v>
      </c>
      <c r="CW53" s="299">
        <v>45</v>
      </c>
      <c r="CX53" s="299">
        <v>45</v>
      </c>
      <c r="CY53" s="299">
        <v>45</v>
      </c>
      <c r="CZ53" s="299">
        <v>45</v>
      </c>
      <c r="DA53" s="299">
        <v>45</v>
      </c>
      <c r="DB53" s="299">
        <v>45</v>
      </c>
      <c r="DC53" s="299">
        <v>45</v>
      </c>
      <c r="DD53" s="299">
        <v>45</v>
      </c>
      <c r="DE53" s="299">
        <v>45</v>
      </c>
      <c r="DF53" s="299">
        <v>45</v>
      </c>
      <c r="DG53" s="299">
        <v>45</v>
      </c>
      <c r="DH53" s="299">
        <v>45</v>
      </c>
      <c r="DI53" s="299">
        <v>45</v>
      </c>
      <c r="DJ53" s="299">
        <v>45</v>
      </c>
      <c r="DK53" s="299">
        <v>45</v>
      </c>
      <c r="DL53" s="299">
        <v>45</v>
      </c>
      <c r="DM53" s="299">
        <v>45</v>
      </c>
      <c r="DN53" s="299">
        <v>45</v>
      </c>
      <c r="DO53" s="299">
        <v>45</v>
      </c>
      <c r="DP53" s="299">
        <v>45</v>
      </c>
      <c r="DQ53" s="299">
        <v>45</v>
      </c>
      <c r="DR53" s="299"/>
      <c r="DS53" s="299"/>
      <c r="DT53" s="299">
        <v>45</v>
      </c>
      <c r="DU53" s="299">
        <v>45</v>
      </c>
      <c r="DV53" s="299">
        <v>45</v>
      </c>
      <c r="DW53" s="299">
        <v>45</v>
      </c>
      <c r="DX53" s="299">
        <v>45</v>
      </c>
      <c r="DY53" s="299">
        <v>45</v>
      </c>
      <c r="DZ53" s="299">
        <v>45</v>
      </c>
      <c r="EA53" s="299">
        <v>45</v>
      </c>
      <c r="EB53" s="299">
        <v>45</v>
      </c>
      <c r="EC53" s="299">
        <v>45</v>
      </c>
      <c r="ED53" s="299">
        <v>45</v>
      </c>
      <c r="EE53" s="299">
        <v>45</v>
      </c>
      <c r="EF53" s="299">
        <v>45</v>
      </c>
      <c r="EG53" s="299">
        <v>45</v>
      </c>
      <c r="EH53" s="299">
        <v>45</v>
      </c>
      <c r="EI53" s="299">
        <v>45</v>
      </c>
      <c r="EJ53" s="299">
        <v>45</v>
      </c>
      <c r="EK53" s="299">
        <v>45</v>
      </c>
      <c r="EL53" s="299">
        <v>45</v>
      </c>
      <c r="EM53" s="299">
        <v>45</v>
      </c>
      <c r="EN53" s="299">
        <v>45</v>
      </c>
      <c r="EO53" s="299">
        <v>45</v>
      </c>
      <c r="EP53" s="299">
        <v>45</v>
      </c>
      <c r="EQ53" s="299">
        <v>45</v>
      </c>
      <c r="ER53" s="299">
        <v>45</v>
      </c>
      <c r="ES53" s="299"/>
      <c r="ET53" s="299"/>
      <c r="EU53" s="299"/>
      <c r="EV53" s="299"/>
      <c r="EW53" s="299"/>
      <c r="EX53" s="299"/>
      <c r="EY53" s="299"/>
      <c r="EZ53" s="299"/>
      <c r="FA53" s="299"/>
      <c r="FB53" s="299"/>
      <c r="FC53" s="299"/>
      <c r="FD53" s="299"/>
      <c r="FE53" s="299"/>
      <c r="FF53" s="299"/>
      <c r="FG53" s="299"/>
      <c r="FH53" s="299"/>
      <c r="FI53" s="299"/>
      <c r="FJ53" s="299"/>
      <c r="FK53" s="299"/>
      <c r="FL53" s="299"/>
      <c r="FM53" s="299"/>
      <c r="FN53" s="299"/>
      <c r="FO53" s="299"/>
      <c r="FP53" s="299"/>
      <c r="FQ53" s="300" t="e">
        <f t="shared" ca="1" si="56"/>
        <v>#VALUE!</v>
      </c>
      <c r="FR53" s="300" t="e">
        <f t="shared" ref="FR53:GA62" ca="1" si="58">SUMIF($AC$11:$FP$11,FR$12,$AC53:$FP53)</f>
        <v>#VALUE!</v>
      </c>
      <c r="FS53" s="300" t="e">
        <f t="shared" ca="1" si="58"/>
        <v>#VALUE!</v>
      </c>
      <c r="FT53" s="300" t="e">
        <f t="shared" ca="1" si="58"/>
        <v>#VALUE!</v>
      </c>
      <c r="FU53" s="300" t="e">
        <f t="shared" ca="1" si="58"/>
        <v>#VALUE!</v>
      </c>
      <c r="FV53" s="300" t="e">
        <f t="shared" ca="1" si="58"/>
        <v>#VALUE!</v>
      </c>
      <c r="FW53" s="300" t="e">
        <f t="shared" ca="1" si="58"/>
        <v>#VALUE!</v>
      </c>
      <c r="FX53" s="300" t="e">
        <f t="shared" ca="1" si="58"/>
        <v>#VALUE!</v>
      </c>
      <c r="FY53" s="300" t="e">
        <f t="shared" ca="1" si="58"/>
        <v>#VALUE!</v>
      </c>
      <c r="FZ53" s="300" t="e">
        <f t="shared" ca="1" si="58"/>
        <v>#VALUE!</v>
      </c>
      <c r="GA53" s="301" t="e">
        <f t="shared" ca="1" si="58"/>
        <v>#VALUE!</v>
      </c>
      <c r="GB53" s="301" t="e">
        <f t="shared" ref="GB53:GO62" ca="1" si="59">SUMIF($AC$11:$FP$11,GB$12,$AC53:$FP53)</f>
        <v>#VALUE!</v>
      </c>
      <c r="GC53" s="301" t="e">
        <f t="shared" ca="1" si="59"/>
        <v>#VALUE!</v>
      </c>
      <c r="GD53" s="301" t="e">
        <f t="shared" ca="1" si="59"/>
        <v>#VALUE!</v>
      </c>
      <c r="GE53" s="301" t="e">
        <f t="shared" ca="1" si="59"/>
        <v>#VALUE!</v>
      </c>
      <c r="GF53" s="301" t="e">
        <f t="shared" ca="1" si="59"/>
        <v>#VALUE!</v>
      </c>
      <c r="GG53" s="301" t="e">
        <f t="shared" ca="1" si="59"/>
        <v>#VALUE!</v>
      </c>
      <c r="GH53" s="301" t="e">
        <f t="shared" ca="1" si="59"/>
        <v>#VALUE!</v>
      </c>
      <c r="GI53" s="301" t="e">
        <f t="shared" ca="1" si="59"/>
        <v>#VALUE!</v>
      </c>
      <c r="GJ53" s="301" t="e">
        <f t="shared" ca="1" si="59"/>
        <v>#VALUE!</v>
      </c>
      <c r="GK53" s="301" t="e">
        <f t="shared" ca="1" si="59"/>
        <v>#VALUE!</v>
      </c>
      <c r="GL53" s="301" t="e">
        <f t="shared" ca="1" si="59"/>
        <v>#VALUE!</v>
      </c>
      <c r="GM53" s="301" t="e">
        <f t="shared" ca="1" si="59"/>
        <v>#VALUE!</v>
      </c>
      <c r="GN53" s="302" t="e">
        <f t="shared" ca="1" si="59"/>
        <v>#VALUE!</v>
      </c>
      <c r="GO53" s="302" t="e">
        <f t="shared" ca="1" si="59"/>
        <v>#VALUE!</v>
      </c>
      <c r="GP53" s="310">
        <f t="shared" si="57"/>
        <v>90</v>
      </c>
      <c r="GQ53" s="310">
        <f t="shared" si="57"/>
        <v>180</v>
      </c>
      <c r="GR53" s="310">
        <f t="shared" si="57"/>
        <v>180</v>
      </c>
      <c r="GS53" s="310">
        <f t="shared" si="57"/>
        <v>180</v>
      </c>
      <c r="GT53" s="310">
        <f t="shared" si="57"/>
        <v>180</v>
      </c>
      <c r="GU53" s="311">
        <f t="shared" si="57"/>
        <v>180</v>
      </c>
      <c r="GV53" s="310">
        <f t="shared" si="57"/>
        <v>180</v>
      </c>
      <c r="GW53" s="310">
        <f t="shared" si="57"/>
        <v>45</v>
      </c>
      <c r="GX53" s="310">
        <f t="shared" si="57"/>
        <v>0</v>
      </c>
      <c r="GY53" s="310">
        <f t="shared" si="57"/>
        <v>0</v>
      </c>
      <c r="GZ53" s="310">
        <f t="shared" si="57"/>
        <v>0</v>
      </c>
      <c r="HA53" s="310">
        <f t="shared" si="57"/>
        <v>0</v>
      </c>
      <c r="HB53" s="310">
        <f t="shared" si="57"/>
        <v>0</v>
      </c>
      <c r="HC53" s="310">
        <f t="shared" si="57"/>
        <v>0</v>
      </c>
      <c r="HD53" s="310">
        <f t="shared" si="57"/>
        <v>0</v>
      </c>
      <c r="HE53" s="310">
        <f t="shared" si="57"/>
        <v>0</v>
      </c>
      <c r="HF53" s="304"/>
      <c r="HG53" s="305"/>
    </row>
    <row r="54" spans="1:215" s="306" customFormat="1" ht="15.75" customHeight="1">
      <c r="A54" s="309"/>
      <c r="B54" s="292" t="s">
        <v>85</v>
      </c>
      <c r="C54" s="292" t="s">
        <v>199</v>
      </c>
      <c r="D54" s="292" t="s">
        <v>252</v>
      </c>
      <c r="E54" s="292" t="s">
        <v>411</v>
      </c>
      <c r="F54" s="292" t="s">
        <v>184</v>
      </c>
      <c r="G54" s="292" t="s">
        <v>350</v>
      </c>
      <c r="H54" s="292" t="s">
        <v>351</v>
      </c>
      <c r="I54" s="292" t="s">
        <v>352</v>
      </c>
      <c r="J54" s="292" t="s">
        <v>184</v>
      </c>
      <c r="K54" s="292" t="s">
        <v>353</v>
      </c>
      <c r="L54" s="292" t="s">
        <v>359</v>
      </c>
      <c r="M54" s="292" t="s">
        <v>367</v>
      </c>
      <c r="N54" s="292" t="str">
        <f t="shared" si="47"/>
        <v>S&amp;R-Service Management</v>
      </c>
      <c r="O54" s="292" t="str">
        <f t="shared" si="48"/>
        <v>Technology-Consultant-India-Consulting</v>
      </c>
      <c r="P54" s="292" t="str">
        <f t="shared" si="49"/>
        <v>S&amp;R - Technology</v>
      </c>
      <c r="Q54" s="293">
        <f t="shared" si="42"/>
        <v>197100</v>
      </c>
      <c r="R54" s="294">
        <f t="shared" si="43"/>
        <v>0</v>
      </c>
      <c r="S54" s="295">
        <f t="shared" si="50"/>
        <v>1305</v>
      </c>
      <c r="T54" s="295">
        <f t="shared" si="44"/>
        <v>3285</v>
      </c>
      <c r="U54" s="296" t="str">
        <f t="shared" si="51"/>
        <v>Technology - Consultant</v>
      </c>
      <c r="V54" s="295" t="str">
        <f t="shared" si="52"/>
        <v>1-3 years</v>
      </c>
      <c r="W54" s="292" t="str">
        <f t="shared" si="53"/>
        <v>Offshore</v>
      </c>
      <c r="X54" s="292" t="s">
        <v>261</v>
      </c>
      <c r="Y54" s="292" t="s">
        <v>259</v>
      </c>
      <c r="Z54" s="292" t="s">
        <v>368</v>
      </c>
      <c r="AA54" s="297">
        <f>[1]Resourcing!QD58</f>
        <v>320.32894736842098</v>
      </c>
      <c r="AB54" s="298">
        <f t="shared" si="54"/>
        <v>60</v>
      </c>
      <c r="AC54" s="299"/>
      <c r="AD54" s="299"/>
      <c r="AE54" s="299"/>
      <c r="AF54" s="299"/>
      <c r="AG54" s="299"/>
      <c r="AH54" s="299"/>
      <c r="AI54" s="299"/>
      <c r="AJ54" s="299"/>
      <c r="AK54" s="299"/>
      <c r="AL54" s="299"/>
      <c r="AM54" s="299"/>
      <c r="AN54" s="299"/>
      <c r="AO54" s="299"/>
      <c r="AP54" s="299"/>
      <c r="AQ54" s="299"/>
      <c r="AR54" s="299"/>
      <c r="AS54" s="299"/>
      <c r="AT54" s="299"/>
      <c r="AU54" s="299"/>
      <c r="AV54" s="299"/>
      <c r="AW54" s="299"/>
      <c r="AX54" s="299"/>
      <c r="AY54" s="299"/>
      <c r="AZ54" s="299"/>
      <c r="BA54" s="299"/>
      <c r="BB54" s="299"/>
      <c r="BC54" s="299"/>
      <c r="BD54" s="299"/>
      <c r="BE54" s="299"/>
      <c r="BF54" s="299"/>
      <c r="BG54" s="299"/>
      <c r="BH54" s="299"/>
      <c r="BI54" s="299"/>
      <c r="BJ54" s="299"/>
      <c r="BK54" s="299"/>
      <c r="BL54" s="299"/>
      <c r="BM54" s="299"/>
      <c r="BN54" s="299"/>
      <c r="BO54" s="299"/>
      <c r="BP54" s="299"/>
      <c r="BQ54" s="299"/>
      <c r="BR54" s="299"/>
      <c r="BS54" s="299"/>
      <c r="BT54" s="299"/>
      <c r="BU54" s="299"/>
      <c r="BV54" s="299"/>
      <c r="BW54" s="299"/>
      <c r="BX54" s="299">
        <v>45</v>
      </c>
      <c r="BY54" s="299">
        <v>45</v>
      </c>
      <c r="BZ54" s="299">
        <v>45</v>
      </c>
      <c r="CA54" s="299">
        <v>45</v>
      </c>
      <c r="CB54" s="299">
        <v>45</v>
      </c>
      <c r="CC54" s="299">
        <v>45</v>
      </c>
      <c r="CD54" s="299">
        <v>45</v>
      </c>
      <c r="CE54" s="299">
        <v>45</v>
      </c>
      <c r="CF54" s="299">
        <v>45</v>
      </c>
      <c r="CG54" s="299">
        <v>45</v>
      </c>
      <c r="CH54" s="299">
        <v>45</v>
      </c>
      <c r="CI54" s="299">
        <v>45</v>
      </c>
      <c r="CJ54" s="299">
        <v>45</v>
      </c>
      <c r="CK54" s="299">
        <v>45</v>
      </c>
      <c r="CL54" s="299">
        <v>45</v>
      </c>
      <c r="CM54" s="299">
        <v>45</v>
      </c>
      <c r="CN54" s="299">
        <v>45</v>
      </c>
      <c r="CO54" s="299">
        <v>45</v>
      </c>
      <c r="CP54" s="299">
        <v>45</v>
      </c>
      <c r="CQ54" s="299">
        <v>45</v>
      </c>
      <c r="CR54" s="299">
        <v>45</v>
      </c>
      <c r="CS54" s="299">
        <v>45</v>
      </c>
      <c r="CT54" s="299">
        <v>45</v>
      </c>
      <c r="CU54" s="299">
        <v>45</v>
      </c>
      <c r="CV54" s="299">
        <v>45</v>
      </c>
      <c r="CW54" s="299">
        <v>45</v>
      </c>
      <c r="CX54" s="299">
        <v>45</v>
      </c>
      <c r="CY54" s="299">
        <v>45</v>
      </c>
      <c r="CZ54" s="299">
        <v>45</v>
      </c>
      <c r="DA54" s="299">
        <v>45</v>
      </c>
      <c r="DB54" s="299">
        <v>45</v>
      </c>
      <c r="DC54" s="299">
        <v>45</v>
      </c>
      <c r="DD54" s="299">
        <v>45</v>
      </c>
      <c r="DE54" s="299">
        <v>45</v>
      </c>
      <c r="DF54" s="299">
        <v>45</v>
      </c>
      <c r="DG54" s="299">
        <v>45</v>
      </c>
      <c r="DH54" s="299">
        <v>45</v>
      </c>
      <c r="DI54" s="299">
        <v>45</v>
      </c>
      <c r="DJ54" s="299">
        <v>45</v>
      </c>
      <c r="DK54" s="299">
        <v>45</v>
      </c>
      <c r="DL54" s="299">
        <v>45</v>
      </c>
      <c r="DM54" s="299">
        <v>45</v>
      </c>
      <c r="DN54" s="299">
        <v>45</v>
      </c>
      <c r="DO54" s="299">
        <v>45</v>
      </c>
      <c r="DP54" s="299">
        <v>45</v>
      </c>
      <c r="DQ54" s="299">
        <v>45</v>
      </c>
      <c r="DR54" s="299"/>
      <c r="DS54" s="299"/>
      <c r="DT54" s="299">
        <v>45</v>
      </c>
      <c r="DU54" s="299">
        <v>45</v>
      </c>
      <c r="DV54" s="299">
        <v>45</v>
      </c>
      <c r="DW54" s="299">
        <v>45</v>
      </c>
      <c r="DX54" s="299">
        <v>45</v>
      </c>
      <c r="DY54" s="299">
        <v>45</v>
      </c>
      <c r="DZ54" s="299">
        <v>45</v>
      </c>
      <c r="EA54" s="299">
        <v>45</v>
      </c>
      <c r="EB54" s="299">
        <v>45</v>
      </c>
      <c r="EC54" s="299">
        <v>45</v>
      </c>
      <c r="ED54" s="299">
        <v>45</v>
      </c>
      <c r="EE54" s="299">
        <v>45</v>
      </c>
      <c r="EF54" s="299">
        <v>45</v>
      </c>
      <c r="EG54" s="299">
        <v>45</v>
      </c>
      <c r="EH54" s="299">
        <v>45</v>
      </c>
      <c r="EI54" s="299">
        <v>45</v>
      </c>
      <c r="EJ54" s="299">
        <v>45</v>
      </c>
      <c r="EK54" s="299">
        <v>45</v>
      </c>
      <c r="EL54" s="299">
        <v>45</v>
      </c>
      <c r="EM54" s="299">
        <v>45</v>
      </c>
      <c r="EN54" s="299">
        <v>45</v>
      </c>
      <c r="EO54" s="299">
        <v>45</v>
      </c>
      <c r="EP54" s="299">
        <v>45</v>
      </c>
      <c r="EQ54" s="299">
        <v>45</v>
      </c>
      <c r="ER54" s="299">
        <v>45</v>
      </c>
      <c r="ES54" s="299">
        <v>45</v>
      </c>
      <c r="ET54" s="299">
        <v>45</v>
      </c>
      <c r="EU54" s="299"/>
      <c r="EV54" s="299"/>
      <c r="EW54" s="299"/>
      <c r="EX54" s="299"/>
      <c r="EY54" s="299"/>
      <c r="EZ54" s="299"/>
      <c r="FA54" s="299"/>
      <c r="FB54" s="299"/>
      <c r="FC54" s="299"/>
      <c r="FD54" s="299"/>
      <c r="FE54" s="299"/>
      <c r="FF54" s="299"/>
      <c r="FG54" s="299"/>
      <c r="FH54" s="299"/>
      <c r="FI54" s="299"/>
      <c r="FJ54" s="299"/>
      <c r="FK54" s="299"/>
      <c r="FL54" s="299"/>
      <c r="FM54" s="299"/>
      <c r="FN54" s="299"/>
      <c r="FO54" s="299"/>
      <c r="FP54" s="299"/>
      <c r="FQ54" s="300" t="e">
        <f t="shared" ca="1" si="56"/>
        <v>#VALUE!</v>
      </c>
      <c r="FR54" s="300" t="e">
        <f t="shared" ca="1" si="58"/>
        <v>#VALUE!</v>
      </c>
      <c r="FS54" s="300" t="e">
        <f t="shared" ca="1" si="58"/>
        <v>#VALUE!</v>
      </c>
      <c r="FT54" s="300" t="e">
        <f t="shared" ca="1" si="58"/>
        <v>#VALUE!</v>
      </c>
      <c r="FU54" s="300" t="e">
        <f t="shared" ca="1" si="58"/>
        <v>#VALUE!</v>
      </c>
      <c r="FV54" s="300" t="e">
        <f t="shared" ca="1" si="58"/>
        <v>#VALUE!</v>
      </c>
      <c r="FW54" s="300" t="e">
        <f t="shared" ca="1" si="58"/>
        <v>#VALUE!</v>
      </c>
      <c r="FX54" s="300" t="e">
        <f t="shared" ca="1" si="58"/>
        <v>#VALUE!</v>
      </c>
      <c r="FY54" s="300" t="e">
        <f t="shared" ca="1" si="58"/>
        <v>#VALUE!</v>
      </c>
      <c r="FZ54" s="300" t="e">
        <f t="shared" ca="1" si="58"/>
        <v>#VALUE!</v>
      </c>
      <c r="GA54" s="301" t="e">
        <f t="shared" ca="1" si="58"/>
        <v>#VALUE!</v>
      </c>
      <c r="GB54" s="301" t="e">
        <f t="shared" ca="1" si="59"/>
        <v>#VALUE!</v>
      </c>
      <c r="GC54" s="301" t="e">
        <f t="shared" ca="1" si="59"/>
        <v>#VALUE!</v>
      </c>
      <c r="GD54" s="301" t="e">
        <f t="shared" ca="1" si="59"/>
        <v>#VALUE!</v>
      </c>
      <c r="GE54" s="301" t="e">
        <f t="shared" ca="1" si="59"/>
        <v>#VALUE!</v>
      </c>
      <c r="GF54" s="301" t="e">
        <f t="shared" ca="1" si="59"/>
        <v>#VALUE!</v>
      </c>
      <c r="GG54" s="301" t="e">
        <f t="shared" ca="1" si="59"/>
        <v>#VALUE!</v>
      </c>
      <c r="GH54" s="301" t="e">
        <f t="shared" ca="1" si="59"/>
        <v>#VALUE!</v>
      </c>
      <c r="GI54" s="301" t="e">
        <f t="shared" ca="1" si="59"/>
        <v>#VALUE!</v>
      </c>
      <c r="GJ54" s="301" t="e">
        <f t="shared" ca="1" si="59"/>
        <v>#VALUE!</v>
      </c>
      <c r="GK54" s="301" t="e">
        <f t="shared" ca="1" si="59"/>
        <v>#VALUE!</v>
      </c>
      <c r="GL54" s="301" t="e">
        <f t="shared" ca="1" si="59"/>
        <v>#VALUE!</v>
      </c>
      <c r="GM54" s="301" t="e">
        <f t="shared" ca="1" si="59"/>
        <v>#VALUE!</v>
      </c>
      <c r="GN54" s="302" t="e">
        <f t="shared" ca="1" si="59"/>
        <v>#VALUE!</v>
      </c>
      <c r="GO54" s="302" t="e">
        <f t="shared" ca="1" si="59"/>
        <v>#VALUE!</v>
      </c>
      <c r="GP54" s="310">
        <f t="shared" si="57"/>
        <v>90</v>
      </c>
      <c r="GQ54" s="310">
        <f t="shared" si="57"/>
        <v>180</v>
      </c>
      <c r="GR54" s="310">
        <f t="shared" si="57"/>
        <v>180</v>
      </c>
      <c r="GS54" s="310">
        <f t="shared" si="57"/>
        <v>180</v>
      </c>
      <c r="GT54" s="310">
        <f t="shared" si="57"/>
        <v>180</v>
      </c>
      <c r="GU54" s="311">
        <f t="shared" si="57"/>
        <v>180</v>
      </c>
      <c r="GV54" s="310">
        <f t="shared" si="57"/>
        <v>180</v>
      </c>
      <c r="GW54" s="310">
        <f t="shared" si="57"/>
        <v>135</v>
      </c>
      <c r="GX54" s="310">
        <f t="shared" si="57"/>
        <v>0</v>
      </c>
      <c r="GY54" s="310">
        <f t="shared" si="57"/>
        <v>0</v>
      </c>
      <c r="GZ54" s="310">
        <f t="shared" si="57"/>
        <v>0</v>
      </c>
      <c r="HA54" s="310">
        <f t="shared" si="57"/>
        <v>0</v>
      </c>
      <c r="HB54" s="310">
        <f t="shared" si="57"/>
        <v>0</v>
      </c>
      <c r="HC54" s="310">
        <f t="shared" si="57"/>
        <v>0</v>
      </c>
      <c r="HD54" s="310">
        <f t="shared" si="57"/>
        <v>0</v>
      </c>
      <c r="HE54" s="310">
        <f t="shared" si="57"/>
        <v>0</v>
      </c>
      <c r="HF54" s="304"/>
      <c r="HG54" s="305"/>
    </row>
    <row r="55" spans="1:215" s="306" customFormat="1" ht="15.75" customHeight="1">
      <c r="A55" s="309"/>
      <c r="B55" s="292"/>
      <c r="C55" s="292"/>
      <c r="D55" s="292"/>
      <c r="E55" s="292"/>
      <c r="F55" s="292"/>
      <c r="G55" s="292"/>
      <c r="H55" s="292"/>
      <c r="I55" s="292"/>
      <c r="J55" s="292"/>
      <c r="K55" s="292"/>
      <c r="L55" s="292"/>
      <c r="M55" s="292"/>
      <c r="N55" s="292"/>
      <c r="O55" s="292"/>
      <c r="P55" s="292"/>
      <c r="Q55" s="293">
        <f t="shared" si="42"/>
        <v>0</v>
      </c>
      <c r="R55" s="294">
        <f t="shared" si="43"/>
        <v>0</v>
      </c>
      <c r="S55" s="295"/>
      <c r="T55" s="295">
        <f t="shared" si="44"/>
        <v>0</v>
      </c>
      <c r="U55" s="296"/>
      <c r="V55" s="295"/>
      <c r="W55" s="292"/>
      <c r="X55" s="292"/>
      <c r="Y55" s="292"/>
      <c r="Z55" s="292"/>
      <c r="AA55" s="297">
        <f>[1]Resourcing!QD59</f>
        <v>62.551363636363597</v>
      </c>
      <c r="AB55" s="298"/>
      <c r="AC55" s="312"/>
      <c r="AD55" s="312"/>
      <c r="AE55" s="312"/>
      <c r="AF55" s="312"/>
      <c r="AG55" s="312"/>
      <c r="AH55" s="312"/>
      <c r="AI55" s="312"/>
      <c r="AJ55" s="312"/>
      <c r="AK55" s="312"/>
      <c r="AL55" s="312"/>
      <c r="AM55" s="312"/>
      <c r="AN55" s="312"/>
      <c r="AO55" s="312"/>
      <c r="AP55" s="312"/>
      <c r="AQ55" s="312"/>
      <c r="AR55" s="312"/>
      <c r="AS55" s="312"/>
      <c r="AT55" s="312"/>
      <c r="AU55" s="312"/>
      <c r="AV55" s="312"/>
      <c r="AW55" s="312"/>
      <c r="AX55" s="312"/>
      <c r="AY55" s="312"/>
      <c r="AZ55" s="312"/>
      <c r="BA55" s="312"/>
      <c r="BB55" s="312"/>
      <c r="BC55" s="312"/>
      <c r="BD55" s="312"/>
      <c r="BE55" s="312"/>
      <c r="BF55" s="312"/>
      <c r="BG55" s="312"/>
      <c r="BH55" s="312"/>
      <c r="BI55" s="312"/>
      <c r="BJ55" s="312"/>
      <c r="BK55" s="312"/>
      <c r="BL55" s="312"/>
      <c r="BM55" s="312"/>
      <c r="BN55" s="312"/>
      <c r="BO55" s="312"/>
      <c r="BP55" s="312"/>
      <c r="BQ55" s="312"/>
      <c r="BR55" s="312"/>
      <c r="BS55" s="312"/>
      <c r="BT55" s="312"/>
      <c r="BU55" s="312"/>
      <c r="BV55" s="312"/>
      <c r="BW55" s="312"/>
      <c r="BX55" s="312"/>
      <c r="BY55" s="312"/>
      <c r="BZ55" s="312"/>
      <c r="CA55" s="312"/>
      <c r="CB55" s="312"/>
      <c r="CC55" s="312"/>
      <c r="CD55" s="312"/>
      <c r="CE55" s="312"/>
      <c r="CF55" s="312"/>
      <c r="CG55" s="312"/>
      <c r="CH55" s="312"/>
      <c r="CI55" s="312"/>
      <c r="CJ55" s="312"/>
      <c r="CK55" s="312"/>
      <c r="CL55" s="312"/>
      <c r="CM55" s="312"/>
      <c r="CN55" s="312"/>
      <c r="CO55" s="312"/>
      <c r="CP55" s="312"/>
      <c r="CQ55" s="312"/>
      <c r="CR55" s="312"/>
      <c r="CS55" s="312"/>
      <c r="CT55" s="312"/>
      <c r="CU55" s="312"/>
      <c r="CV55" s="312"/>
      <c r="CW55" s="312"/>
      <c r="CX55" s="312"/>
      <c r="CY55" s="312"/>
      <c r="CZ55" s="312"/>
      <c r="DA55" s="312"/>
      <c r="DB55" s="312"/>
      <c r="DC55" s="312"/>
      <c r="DD55" s="312"/>
      <c r="DE55" s="312"/>
      <c r="DF55" s="312"/>
      <c r="DG55" s="312"/>
      <c r="DH55" s="312"/>
      <c r="DI55" s="312"/>
      <c r="DJ55" s="312"/>
      <c r="DK55" s="312"/>
      <c r="DL55" s="312"/>
      <c r="DM55" s="312"/>
      <c r="DN55" s="312"/>
      <c r="DO55" s="312"/>
      <c r="DP55" s="312"/>
      <c r="DQ55" s="312"/>
      <c r="DR55" s="312"/>
      <c r="DS55" s="312"/>
      <c r="DT55" s="312"/>
      <c r="DU55" s="312"/>
      <c r="DV55" s="312"/>
      <c r="DW55" s="312"/>
      <c r="DX55" s="312"/>
      <c r="DY55" s="312"/>
      <c r="DZ55" s="312"/>
      <c r="EA55" s="312"/>
      <c r="EB55" s="312"/>
      <c r="EC55" s="312"/>
      <c r="ED55" s="312"/>
      <c r="EE55" s="312"/>
      <c r="EF55" s="312"/>
      <c r="EG55" s="312"/>
      <c r="EH55" s="312"/>
      <c r="EI55" s="312"/>
      <c r="EJ55" s="312"/>
      <c r="EK55" s="312"/>
      <c r="EL55" s="312"/>
      <c r="EM55" s="312"/>
      <c r="EN55" s="312"/>
      <c r="EO55" s="312"/>
      <c r="EP55" s="312"/>
      <c r="EQ55" s="312"/>
      <c r="ER55" s="312"/>
      <c r="ES55" s="312"/>
      <c r="ET55" s="312"/>
      <c r="EU55" s="312"/>
      <c r="EV55" s="312"/>
      <c r="EW55" s="312"/>
      <c r="EX55" s="312"/>
      <c r="EY55" s="312"/>
      <c r="EZ55" s="312"/>
      <c r="FA55" s="312"/>
      <c r="FB55" s="312"/>
      <c r="FC55" s="312"/>
      <c r="FD55" s="312"/>
      <c r="FE55" s="312"/>
      <c r="FF55" s="312"/>
      <c r="FG55" s="312"/>
      <c r="FH55" s="312"/>
      <c r="FI55" s="312"/>
      <c r="FJ55" s="312"/>
      <c r="FK55" s="312"/>
      <c r="FL55" s="312"/>
      <c r="FM55" s="312"/>
      <c r="FN55" s="312"/>
      <c r="FO55" s="312"/>
      <c r="FP55" s="312"/>
      <c r="FQ55" s="300" t="e">
        <f t="shared" ca="1" si="56"/>
        <v>#VALUE!</v>
      </c>
      <c r="FR55" s="300" t="e">
        <f t="shared" ca="1" si="58"/>
        <v>#VALUE!</v>
      </c>
      <c r="FS55" s="300" t="e">
        <f t="shared" ca="1" si="58"/>
        <v>#VALUE!</v>
      </c>
      <c r="FT55" s="300" t="e">
        <f t="shared" ca="1" si="58"/>
        <v>#VALUE!</v>
      </c>
      <c r="FU55" s="300" t="e">
        <f t="shared" ca="1" si="58"/>
        <v>#VALUE!</v>
      </c>
      <c r="FV55" s="300" t="e">
        <f t="shared" ca="1" si="58"/>
        <v>#VALUE!</v>
      </c>
      <c r="FW55" s="300" t="e">
        <f t="shared" ca="1" si="58"/>
        <v>#VALUE!</v>
      </c>
      <c r="FX55" s="300" t="e">
        <f t="shared" ca="1" si="58"/>
        <v>#VALUE!</v>
      </c>
      <c r="FY55" s="300" t="e">
        <f t="shared" ca="1" si="58"/>
        <v>#VALUE!</v>
      </c>
      <c r="FZ55" s="300" t="e">
        <f t="shared" ca="1" si="58"/>
        <v>#VALUE!</v>
      </c>
      <c r="GA55" s="301" t="e">
        <f t="shared" ca="1" si="58"/>
        <v>#VALUE!</v>
      </c>
      <c r="GB55" s="301" t="e">
        <f t="shared" ca="1" si="59"/>
        <v>#VALUE!</v>
      </c>
      <c r="GC55" s="301" t="e">
        <f t="shared" ca="1" si="59"/>
        <v>#VALUE!</v>
      </c>
      <c r="GD55" s="301" t="e">
        <f t="shared" ca="1" si="59"/>
        <v>#VALUE!</v>
      </c>
      <c r="GE55" s="301" t="e">
        <f t="shared" ca="1" si="59"/>
        <v>#VALUE!</v>
      </c>
      <c r="GF55" s="301" t="e">
        <f t="shared" ca="1" si="59"/>
        <v>#VALUE!</v>
      </c>
      <c r="GG55" s="301" t="e">
        <f t="shared" ca="1" si="59"/>
        <v>#VALUE!</v>
      </c>
      <c r="GH55" s="301" t="e">
        <f t="shared" ca="1" si="59"/>
        <v>#VALUE!</v>
      </c>
      <c r="GI55" s="301" t="e">
        <f t="shared" ca="1" si="59"/>
        <v>#VALUE!</v>
      </c>
      <c r="GJ55" s="301" t="e">
        <f t="shared" ca="1" si="59"/>
        <v>#VALUE!</v>
      </c>
      <c r="GK55" s="301" t="e">
        <f t="shared" ca="1" si="59"/>
        <v>#VALUE!</v>
      </c>
      <c r="GL55" s="301" t="e">
        <f t="shared" ca="1" si="59"/>
        <v>#VALUE!</v>
      </c>
      <c r="GM55" s="301" t="e">
        <f t="shared" ca="1" si="59"/>
        <v>#VALUE!</v>
      </c>
      <c r="GN55" s="302" t="e">
        <f t="shared" ca="1" si="59"/>
        <v>#VALUE!</v>
      </c>
      <c r="GO55" s="302" t="e">
        <f t="shared" ca="1" si="59"/>
        <v>#VALUE!</v>
      </c>
      <c r="GP55" s="310">
        <f t="shared" si="57"/>
        <v>0</v>
      </c>
      <c r="GQ55" s="310">
        <f t="shared" si="57"/>
        <v>0</v>
      </c>
      <c r="GR55" s="310">
        <f t="shared" si="57"/>
        <v>0</v>
      </c>
      <c r="GS55" s="310">
        <f t="shared" si="57"/>
        <v>0</v>
      </c>
      <c r="GT55" s="310">
        <f t="shared" si="57"/>
        <v>0</v>
      </c>
      <c r="GU55" s="311">
        <f t="shared" si="57"/>
        <v>0</v>
      </c>
      <c r="GV55" s="310">
        <f t="shared" si="57"/>
        <v>0</v>
      </c>
      <c r="GW55" s="310">
        <f t="shared" si="57"/>
        <v>0</v>
      </c>
      <c r="GX55" s="310">
        <f t="shared" si="57"/>
        <v>0</v>
      </c>
      <c r="GY55" s="310">
        <f t="shared" si="57"/>
        <v>0</v>
      </c>
      <c r="GZ55" s="310">
        <f t="shared" si="57"/>
        <v>0</v>
      </c>
      <c r="HA55" s="310">
        <f t="shared" si="57"/>
        <v>0</v>
      </c>
      <c r="HB55" s="310">
        <f t="shared" si="57"/>
        <v>0</v>
      </c>
      <c r="HC55" s="310">
        <f t="shared" si="57"/>
        <v>0</v>
      </c>
      <c r="HD55" s="310">
        <f t="shared" si="57"/>
        <v>0</v>
      </c>
      <c r="HE55" s="310">
        <f t="shared" si="57"/>
        <v>0</v>
      </c>
      <c r="HF55" s="304"/>
      <c r="HG55" s="305"/>
    </row>
    <row r="56" spans="1:215" s="316" customFormat="1" ht="15.75" customHeight="1">
      <c r="A56" s="313"/>
      <c r="B56" s="292" t="s">
        <v>85</v>
      </c>
      <c r="C56" s="292" t="s">
        <v>197</v>
      </c>
      <c r="D56" s="292" t="s">
        <v>226</v>
      </c>
      <c r="E56" s="292" t="s">
        <v>412</v>
      </c>
      <c r="F56" s="292" t="s">
        <v>186</v>
      </c>
      <c r="G56" s="292" t="s">
        <v>350</v>
      </c>
      <c r="H56" s="292" t="s">
        <v>351</v>
      </c>
      <c r="I56" s="292" t="s">
        <v>352</v>
      </c>
      <c r="J56" s="292" t="s">
        <v>186</v>
      </c>
      <c r="K56" s="292" t="s">
        <v>353</v>
      </c>
      <c r="L56" s="292" t="s">
        <v>359</v>
      </c>
      <c r="M56" s="292" t="s">
        <v>371</v>
      </c>
      <c r="N56" s="292" t="str">
        <f t="shared" ref="N56:N63" si="60">_xlfn.CONCAT(C56,"-",D56)</f>
        <v>PTP-Procurement</v>
      </c>
      <c r="O56" s="292" t="str">
        <f t="shared" ref="O56:O63" si="61">_xlfn.CONCAT(Y56,"-",Z56,"-",F56,"-",X56)</f>
        <v>Technology-Manager-US-Consulting</v>
      </c>
      <c r="P56" s="292" t="str">
        <f t="shared" ref="P56:P63" si="62">_xlfn.CONCAT(C56," - ",Y56)</f>
        <v>PTP - Technology</v>
      </c>
      <c r="Q56" s="293">
        <f t="shared" si="42"/>
        <v>1101600</v>
      </c>
      <c r="R56" s="294">
        <f t="shared" si="43"/>
        <v>134640</v>
      </c>
      <c r="S56" s="295">
        <f t="shared" ref="S56:S63" si="63">SUM(GP56:HN56)</f>
        <v>0</v>
      </c>
      <c r="T56" s="295">
        <f t="shared" si="44"/>
        <v>3600</v>
      </c>
      <c r="U56" s="296" t="str">
        <f t="shared" ref="U56:U63" si="64">_xlfn.CONCAT(Y56," - ",Z56)</f>
        <v>Technology - Manager</v>
      </c>
      <c r="V56" s="295" t="str">
        <f t="shared" ref="V56:V63" si="65">VLOOKUP(O56,$B$187:$H$848,4,0)</f>
        <v>5-7 years</v>
      </c>
      <c r="W56" s="292" t="str">
        <f t="shared" ref="W56:W63" si="66">IF(F56="US", "Onshore",IF(F56="India","Offshore", "Nearshore"))</f>
        <v>Onshore</v>
      </c>
      <c r="X56" s="292" t="s">
        <v>261</v>
      </c>
      <c r="Y56" s="292" t="s">
        <v>259</v>
      </c>
      <c r="Z56" s="292" t="s">
        <v>376</v>
      </c>
      <c r="AA56" s="297">
        <f>[1]Resourcing!QD60</f>
        <v>43.018028169014102</v>
      </c>
      <c r="AB56" s="298">
        <f t="shared" ref="AB56:AB63" si="67">IFERROR(VLOOKUP(O56,$B$187:$S$848,6,FALSE()),"combination not found")</f>
        <v>306</v>
      </c>
      <c r="AC56" s="299"/>
      <c r="AD56" s="299"/>
      <c r="AE56" s="299"/>
      <c r="AF56" s="299"/>
      <c r="AG56" s="299"/>
      <c r="AH56" s="299"/>
      <c r="AI56" s="299"/>
      <c r="AJ56" s="299"/>
      <c r="AK56" s="299"/>
      <c r="AL56" s="299"/>
      <c r="AM56" s="299"/>
      <c r="AN56" s="299"/>
      <c r="AO56" s="299"/>
      <c r="AP56" s="299"/>
      <c r="AQ56" s="299"/>
      <c r="AR56" s="299"/>
      <c r="AS56" s="299"/>
      <c r="AT56" s="299"/>
      <c r="AU56" s="299"/>
      <c r="AV56" s="299"/>
      <c r="AW56" s="299"/>
      <c r="AX56" s="299"/>
      <c r="AY56" s="299"/>
      <c r="AZ56" s="299"/>
      <c r="BA56" s="299"/>
      <c r="BB56" s="299"/>
      <c r="BC56" s="299"/>
      <c r="BD56" s="299">
        <v>40</v>
      </c>
      <c r="BE56" s="299">
        <v>40</v>
      </c>
      <c r="BF56" s="299">
        <v>40</v>
      </c>
      <c r="BG56" s="299">
        <v>40</v>
      </c>
      <c r="BH56" s="299">
        <v>40</v>
      </c>
      <c r="BI56" s="299">
        <v>40</v>
      </c>
      <c r="BJ56" s="299">
        <v>40</v>
      </c>
      <c r="BK56" s="299">
        <v>40</v>
      </c>
      <c r="BL56" s="299">
        <v>40</v>
      </c>
      <c r="BM56" s="299">
        <v>40</v>
      </c>
      <c r="BN56" s="299">
        <v>40</v>
      </c>
      <c r="BO56" s="299">
        <v>40</v>
      </c>
      <c r="BP56" s="299">
        <v>40</v>
      </c>
      <c r="BQ56" s="299">
        <v>40</v>
      </c>
      <c r="BR56" s="299"/>
      <c r="BS56" s="299"/>
      <c r="BT56" s="299">
        <v>40</v>
      </c>
      <c r="BU56" s="299">
        <v>40</v>
      </c>
      <c r="BV56" s="299">
        <v>40</v>
      </c>
      <c r="BW56" s="299">
        <v>40</v>
      </c>
      <c r="BX56" s="299">
        <v>40</v>
      </c>
      <c r="BY56" s="299">
        <v>40</v>
      </c>
      <c r="BZ56" s="299">
        <v>40</v>
      </c>
      <c r="CA56" s="299">
        <v>40</v>
      </c>
      <c r="CB56" s="299">
        <v>40</v>
      </c>
      <c r="CC56" s="299">
        <v>40</v>
      </c>
      <c r="CD56" s="299">
        <v>40</v>
      </c>
      <c r="CE56" s="299">
        <v>40</v>
      </c>
      <c r="CF56" s="299">
        <v>40</v>
      </c>
      <c r="CG56" s="299">
        <v>40</v>
      </c>
      <c r="CH56" s="299">
        <v>40</v>
      </c>
      <c r="CI56" s="299">
        <v>40</v>
      </c>
      <c r="CJ56" s="299">
        <v>40</v>
      </c>
      <c r="CK56" s="299">
        <v>40</v>
      </c>
      <c r="CL56" s="299">
        <v>40</v>
      </c>
      <c r="CM56" s="299">
        <v>40</v>
      </c>
      <c r="CN56" s="299">
        <v>40</v>
      </c>
      <c r="CO56" s="299">
        <v>40</v>
      </c>
      <c r="CP56" s="299">
        <v>40</v>
      </c>
      <c r="CQ56" s="299">
        <v>40</v>
      </c>
      <c r="CR56" s="299">
        <v>40</v>
      </c>
      <c r="CS56" s="299">
        <v>40</v>
      </c>
      <c r="CT56" s="299">
        <v>40</v>
      </c>
      <c r="CU56" s="299">
        <v>40</v>
      </c>
      <c r="CV56" s="299">
        <v>40</v>
      </c>
      <c r="CW56" s="299">
        <v>40</v>
      </c>
      <c r="CX56" s="299">
        <v>40</v>
      </c>
      <c r="CY56" s="299">
        <v>40</v>
      </c>
      <c r="CZ56" s="299">
        <v>40</v>
      </c>
      <c r="DA56" s="299">
        <v>40</v>
      </c>
      <c r="DB56" s="299">
        <v>40</v>
      </c>
      <c r="DC56" s="299">
        <v>40</v>
      </c>
      <c r="DD56" s="299">
        <v>40</v>
      </c>
      <c r="DE56" s="299">
        <v>40</v>
      </c>
      <c r="DF56" s="299">
        <v>40</v>
      </c>
      <c r="DG56" s="299">
        <v>40</v>
      </c>
      <c r="DH56" s="299">
        <v>40</v>
      </c>
      <c r="DI56" s="299">
        <v>40</v>
      </c>
      <c r="DJ56" s="299">
        <v>40</v>
      </c>
      <c r="DK56" s="299">
        <v>40</v>
      </c>
      <c r="DL56" s="299">
        <v>40</v>
      </c>
      <c r="DM56" s="299">
        <v>40</v>
      </c>
      <c r="DN56" s="299">
        <v>40</v>
      </c>
      <c r="DO56" s="299">
        <v>40</v>
      </c>
      <c r="DP56" s="299">
        <v>40</v>
      </c>
      <c r="DQ56" s="299">
        <v>40</v>
      </c>
      <c r="DR56" s="299"/>
      <c r="DS56" s="299"/>
      <c r="DT56" s="299">
        <v>40</v>
      </c>
      <c r="DU56" s="299">
        <v>40</v>
      </c>
      <c r="DV56" s="299">
        <v>40</v>
      </c>
      <c r="DW56" s="299">
        <v>40</v>
      </c>
      <c r="DX56" s="299">
        <v>40</v>
      </c>
      <c r="DY56" s="299">
        <v>40</v>
      </c>
      <c r="DZ56" s="299">
        <v>40</v>
      </c>
      <c r="EA56" s="299">
        <v>40</v>
      </c>
      <c r="EB56" s="299">
        <v>40</v>
      </c>
      <c r="EC56" s="299">
        <v>40</v>
      </c>
      <c r="ED56" s="299">
        <v>40</v>
      </c>
      <c r="EE56" s="299">
        <v>40</v>
      </c>
      <c r="EF56" s="299">
        <v>40</v>
      </c>
      <c r="EG56" s="299">
        <v>40</v>
      </c>
      <c r="EH56" s="299">
        <v>40</v>
      </c>
      <c r="EI56" s="299">
        <v>40</v>
      </c>
      <c r="EJ56" s="299">
        <v>40</v>
      </c>
      <c r="EK56" s="299">
        <v>40</v>
      </c>
      <c r="EL56" s="299">
        <v>40</v>
      </c>
      <c r="EM56" s="299">
        <v>40</v>
      </c>
      <c r="EN56" s="299">
        <v>40</v>
      </c>
      <c r="EO56" s="299">
        <v>40</v>
      </c>
      <c r="EP56" s="299">
        <v>40</v>
      </c>
      <c r="EQ56" s="299">
        <v>40</v>
      </c>
      <c r="ER56" s="299">
        <v>40</v>
      </c>
      <c r="ES56" s="299">
        <v>40</v>
      </c>
      <c r="ET56" s="299"/>
      <c r="EU56" s="299"/>
      <c r="EV56" s="299"/>
      <c r="EW56" s="299"/>
      <c r="EX56" s="299"/>
      <c r="EY56" s="299"/>
      <c r="EZ56" s="299"/>
      <c r="FA56" s="299"/>
      <c r="FB56" s="299"/>
      <c r="FC56" s="299"/>
      <c r="FD56" s="299"/>
      <c r="FE56" s="299"/>
      <c r="FF56" s="299"/>
      <c r="FG56" s="299"/>
      <c r="FH56" s="299"/>
      <c r="FI56" s="299"/>
      <c r="FJ56" s="299"/>
      <c r="FK56" s="299"/>
      <c r="FL56" s="299"/>
      <c r="FM56" s="299"/>
      <c r="FN56" s="299"/>
      <c r="FO56" s="299"/>
      <c r="FP56" s="299"/>
      <c r="FQ56" s="300" t="e">
        <f t="shared" ca="1" si="56"/>
        <v>#VALUE!</v>
      </c>
      <c r="FR56" s="300" t="e">
        <f t="shared" ca="1" si="58"/>
        <v>#VALUE!</v>
      </c>
      <c r="FS56" s="300" t="e">
        <f t="shared" ca="1" si="58"/>
        <v>#VALUE!</v>
      </c>
      <c r="FT56" s="300" t="e">
        <f t="shared" ca="1" si="58"/>
        <v>#VALUE!</v>
      </c>
      <c r="FU56" s="300" t="e">
        <f t="shared" ca="1" si="58"/>
        <v>#VALUE!</v>
      </c>
      <c r="FV56" s="300" t="e">
        <f t="shared" ca="1" si="58"/>
        <v>#VALUE!</v>
      </c>
      <c r="FW56" s="300" t="e">
        <f t="shared" ca="1" si="58"/>
        <v>#VALUE!</v>
      </c>
      <c r="FX56" s="300" t="e">
        <f t="shared" ca="1" si="58"/>
        <v>#VALUE!</v>
      </c>
      <c r="FY56" s="300" t="e">
        <f t="shared" ca="1" si="58"/>
        <v>#VALUE!</v>
      </c>
      <c r="FZ56" s="300" t="e">
        <f t="shared" ca="1" si="58"/>
        <v>#VALUE!</v>
      </c>
      <c r="GA56" s="301" t="e">
        <f t="shared" ca="1" si="58"/>
        <v>#VALUE!</v>
      </c>
      <c r="GB56" s="301" t="e">
        <f t="shared" ca="1" si="59"/>
        <v>#VALUE!</v>
      </c>
      <c r="GC56" s="301" t="e">
        <f t="shared" ca="1" si="59"/>
        <v>#VALUE!</v>
      </c>
      <c r="GD56" s="301" t="e">
        <f t="shared" ca="1" si="59"/>
        <v>#VALUE!</v>
      </c>
      <c r="GE56" s="301" t="e">
        <f t="shared" ca="1" si="59"/>
        <v>#VALUE!</v>
      </c>
      <c r="GF56" s="301" t="e">
        <f t="shared" ca="1" si="59"/>
        <v>#VALUE!</v>
      </c>
      <c r="GG56" s="301" t="e">
        <f t="shared" ca="1" si="59"/>
        <v>#VALUE!</v>
      </c>
      <c r="GH56" s="301" t="e">
        <f t="shared" ca="1" si="59"/>
        <v>#VALUE!</v>
      </c>
      <c r="GI56" s="301" t="e">
        <f t="shared" ca="1" si="59"/>
        <v>#VALUE!</v>
      </c>
      <c r="GJ56" s="301" t="e">
        <f t="shared" ca="1" si="59"/>
        <v>#VALUE!</v>
      </c>
      <c r="GK56" s="301" t="e">
        <f t="shared" ca="1" si="59"/>
        <v>#VALUE!</v>
      </c>
      <c r="GL56" s="301" t="e">
        <f t="shared" ca="1" si="59"/>
        <v>#VALUE!</v>
      </c>
      <c r="GM56" s="301" t="e">
        <f t="shared" ca="1" si="59"/>
        <v>#VALUE!</v>
      </c>
      <c r="GN56" s="302" t="e">
        <f t="shared" ca="1" si="59"/>
        <v>#VALUE!</v>
      </c>
      <c r="GO56" s="302" t="e">
        <f t="shared" ca="1" si="59"/>
        <v>#VALUE!</v>
      </c>
      <c r="GP56" s="301"/>
      <c r="GQ56" s="301"/>
      <c r="GR56" s="301"/>
      <c r="GS56" s="301"/>
      <c r="GT56" s="301"/>
      <c r="GU56" s="303"/>
      <c r="GV56" s="301"/>
      <c r="GW56" s="301"/>
      <c r="GX56" s="301"/>
      <c r="GY56" s="301"/>
      <c r="GZ56" s="301"/>
      <c r="HA56" s="301"/>
      <c r="HB56" s="301"/>
      <c r="HC56" s="301"/>
      <c r="HD56" s="301"/>
      <c r="HE56" s="301"/>
      <c r="HF56" s="314"/>
      <c r="HG56" s="315"/>
    </row>
    <row r="57" spans="1:215" s="306" customFormat="1" ht="15.75" customHeight="1">
      <c r="A57" s="309"/>
      <c r="B57" s="292" t="s">
        <v>85</v>
      </c>
      <c r="C57" s="292" t="s">
        <v>197</v>
      </c>
      <c r="D57" s="292" t="s">
        <v>226</v>
      </c>
      <c r="E57" s="292" t="s">
        <v>413</v>
      </c>
      <c r="F57" s="292" t="s">
        <v>184</v>
      </c>
      <c r="G57" s="292" t="s">
        <v>350</v>
      </c>
      <c r="H57" s="292" t="s">
        <v>351</v>
      </c>
      <c r="I57" s="292" t="s">
        <v>352</v>
      </c>
      <c r="J57" s="292" t="s">
        <v>184</v>
      </c>
      <c r="K57" s="292" t="s">
        <v>353</v>
      </c>
      <c r="L57" s="292" t="s">
        <v>359</v>
      </c>
      <c r="M57" s="292" t="s">
        <v>374</v>
      </c>
      <c r="N57" s="292" t="str">
        <f t="shared" si="60"/>
        <v>PTP-Procurement</v>
      </c>
      <c r="O57" s="292" t="str">
        <f t="shared" si="61"/>
        <v>Technology-Senior Consultant-India-Consulting</v>
      </c>
      <c r="P57" s="292" t="str">
        <f t="shared" si="62"/>
        <v>PTP - Technology</v>
      </c>
      <c r="Q57" s="293">
        <f t="shared" si="42"/>
        <v>287550</v>
      </c>
      <c r="R57" s="294">
        <f t="shared" si="43"/>
        <v>35145</v>
      </c>
      <c r="S57" s="295" t="e">
        <f t="shared" ca="1" si="63"/>
        <v>#VALUE!</v>
      </c>
      <c r="T57" s="295">
        <f t="shared" si="44"/>
        <v>4050</v>
      </c>
      <c r="U57" s="296" t="str">
        <f t="shared" si="64"/>
        <v>Technology - Senior Consultant</v>
      </c>
      <c r="V57" s="295" t="str">
        <f t="shared" si="65"/>
        <v>3-5 years</v>
      </c>
      <c r="W57" s="292" t="str">
        <f t="shared" si="66"/>
        <v>Offshore</v>
      </c>
      <c r="X57" s="292" t="s">
        <v>261</v>
      </c>
      <c r="Y57" s="292" t="s">
        <v>259</v>
      </c>
      <c r="Z57" s="292" t="s">
        <v>364</v>
      </c>
      <c r="AA57" s="297">
        <f>[1]Resourcing!QD61</f>
        <v>53.613698630137002</v>
      </c>
      <c r="AB57" s="298">
        <f t="shared" si="67"/>
        <v>71</v>
      </c>
      <c r="AC57" s="299"/>
      <c r="AD57" s="299"/>
      <c r="AE57" s="299"/>
      <c r="AF57" s="299"/>
      <c r="AG57" s="299"/>
      <c r="AH57" s="299"/>
      <c r="AI57" s="299"/>
      <c r="AJ57" s="299"/>
      <c r="AK57" s="299"/>
      <c r="AL57" s="299"/>
      <c r="AM57" s="299"/>
      <c r="AN57" s="299"/>
      <c r="AO57" s="299"/>
      <c r="AP57" s="299"/>
      <c r="AQ57" s="299"/>
      <c r="AR57" s="299"/>
      <c r="AS57" s="299"/>
      <c r="AT57" s="299"/>
      <c r="AU57" s="299"/>
      <c r="AV57" s="299"/>
      <c r="AW57" s="299"/>
      <c r="AX57" s="299"/>
      <c r="AY57" s="299"/>
      <c r="AZ57" s="299"/>
      <c r="BA57" s="299"/>
      <c r="BB57" s="299"/>
      <c r="BC57" s="299"/>
      <c r="BD57" s="299">
        <v>45</v>
      </c>
      <c r="BE57" s="299">
        <v>45</v>
      </c>
      <c r="BF57" s="299">
        <v>45</v>
      </c>
      <c r="BG57" s="299">
        <v>45</v>
      </c>
      <c r="BH57" s="299">
        <v>45</v>
      </c>
      <c r="BI57" s="299">
        <v>45</v>
      </c>
      <c r="BJ57" s="299">
        <v>45</v>
      </c>
      <c r="BK57" s="299">
        <v>45</v>
      </c>
      <c r="BL57" s="299">
        <v>45</v>
      </c>
      <c r="BM57" s="299">
        <v>45</v>
      </c>
      <c r="BN57" s="299">
        <v>45</v>
      </c>
      <c r="BO57" s="299">
        <v>45</v>
      </c>
      <c r="BP57" s="299">
        <v>45</v>
      </c>
      <c r="BQ57" s="299">
        <v>45</v>
      </c>
      <c r="BR57" s="299"/>
      <c r="BS57" s="299"/>
      <c r="BT57" s="299">
        <v>45</v>
      </c>
      <c r="BU57" s="299">
        <v>45</v>
      </c>
      <c r="BV57" s="299">
        <v>45</v>
      </c>
      <c r="BW57" s="299">
        <v>45</v>
      </c>
      <c r="BX57" s="299">
        <v>45</v>
      </c>
      <c r="BY57" s="299">
        <v>45</v>
      </c>
      <c r="BZ57" s="299">
        <v>45</v>
      </c>
      <c r="CA57" s="299">
        <v>45</v>
      </c>
      <c r="CB57" s="299">
        <v>45</v>
      </c>
      <c r="CC57" s="299">
        <v>45</v>
      </c>
      <c r="CD57" s="299">
        <v>45</v>
      </c>
      <c r="CE57" s="299">
        <v>45</v>
      </c>
      <c r="CF57" s="299">
        <v>45</v>
      </c>
      <c r="CG57" s="299">
        <v>45</v>
      </c>
      <c r="CH57" s="299">
        <v>45</v>
      </c>
      <c r="CI57" s="299">
        <v>45</v>
      </c>
      <c r="CJ57" s="299">
        <v>45</v>
      </c>
      <c r="CK57" s="299">
        <v>45</v>
      </c>
      <c r="CL57" s="299">
        <v>45</v>
      </c>
      <c r="CM57" s="299">
        <v>45</v>
      </c>
      <c r="CN57" s="299">
        <v>45</v>
      </c>
      <c r="CO57" s="299">
        <v>45</v>
      </c>
      <c r="CP57" s="299">
        <v>45</v>
      </c>
      <c r="CQ57" s="299">
        <v>45</v>
      </c>
      <c r="CR57" s="299">
        <v>45</v>
      </c>
      <c r="CS57" s="299">
        <v>45</v>
      </c>
      <c r="CT57" s="299">
        <v>45</v>
      </c>
      <c r="CU57" s="299">
        <v>45</v>
      </c>
      <c r="CV57" s="299">
        <v>45</v>
      </c>
      <c r="CW57" s="299">
        <v>45</v>
      </c>
      <c r="CX57" s="299">
        <v>45</v>
      </c>
      <c r="CY57" s="299">
        <v>45</v>
      </c>
      <c r="CZ57" s="299">
        <v>45</v>
      </c>
      <c r="DA57" s="299">
        <v>45</v>
      </c>
      <c r="DB57" s="299">
        <v>45</v>
      </c>
      <c r="DC57" s="299">
        <v>45</v>
      </c>
      <c r="DD57" s="299">
        <v>45</v>
      </c>
      <c r="DE57" s="299">
        <v>45</v>
      </c>
      <c r="DF57" s="299">
        <v>45</v>
      </c>
      <c r="DG57" s="299">
        <v>45</v>
      </c>
      <c r="DH57" s="299">
        <v>45</v>
      </c>
      <c r="DI57" s="299">
        <v>45</v>
      </c>
      <c r="DJ57" s="299">
        <v>45</v>
      </c>
      <c r="DK57" s="299">
        <v>45</v>
      </c>
      <c r="DL57" s="299">
        <v>45</v>
      </c>
      <c r="DM57" s="299">
        <v>45</v>
      </c>
      <c r="DN57" s="299">
        <v>45</v>
      </c>
      <c r="DO57" s="299">
        <v>45</v>
      </c>
      <c r="DP57" s="299">
        <v>45</v>
      </c>
      <c r="DQ57" s="299">
        <v>45</v>
      </c>
      <c r="DR57" s="299"/>
      <c r="DS57" s="299"/>
      <c r="DT57" s="299">
        <v>45</v>
      </c>
      <c r="DU57" s="299">
        <v>45</v>
      </c>
      <c r="DV57" s="299">
        <v>45</v>
      </c>
      <c r="DW57" s="299">
        <v>45</v>
      </c>
      <c r="DX57" s="299">
        <v>45</v>
      </c>
      <c r="DY57" s="299">
        <v>45</v>
      </c>
      <c r="DZ57" s="299">
        <v>45</v>
      </c>
      <c r="EA57" s="299">
        <v>45</v>
      </c>
      <c r="EB57" s="299">
        <v>45</v>
      </c>
      <c r="EC57" s="299">
        <v>45</v>
      </c>
      <c r="ED57" s="299">
        <v>45</v>
      </c>
      <c r="EE57" s="299">
        <v>45</v>
      </c>
      <c r="EF57" s="299">
        <v>45</v>
      </c>
      <c r="EG57" s="299">
        <v>45</v>
      </c>
      <c r="EH57" s="299">
        <v>45</v>
      </c>
      <c r="EI57" s="299">
        <v>45</v>
      </c>
      <c r="EJ57" s="299">
        <v>45</v>
      </c>
      <c r="EK57" s="299">
        <v>45</v>
      </c>
      <c r="EL57" s="299">
        <v>45</v>
      </c>
      <c r="EM57" s="299">
        <v>45</v>
      </c>
      <c r="EN57" s="299">
        <v>45</v>
      </c>
      <c r="EO57" s="299">
        <v>45</v>
      </c>
      <c r="EP57" s="299">
        <v>45</v>
      </c>
      <c r="EQ57" s="299">
        <v>45</v>
      </c>
      <c r="ER57" s="299">
        <v>45</v>
      </c>
      <c r="ES57" s="299">
        <v>45</v>
      </c>
      <c r="ET57" s="299"/>
      <c r="EU57" s="299"/>
      <c r="EV57" s="299"/>
      <c r="EW57" s="299"/>
      <c r="EX57" s="299"/>
      <c r="EY57" s="299"/>
      <c r="EZ57" s="299"/>
      <c r="FA57" s="299"/>
      <c r="FB57" s="299"/>
      <c r="FC57" s="299"/>
      <c r="FD57" s="299"/>
      <c r="FE57" s="299"/>
      <c r="FF57" s="299"/>
      <c r="FG57" s="299"/>
      <c r="FH57" s="299"/>
      <c r="FI57" s="299"/>
      <c r="FJ57" s="299"/>
      <c r="FK57" s="299"/>
      <c r="FL57" s="299"/>
      <c r="FM57" s="299"/>
      <c r="FN57" s="299"/>
      <c r="FO57" s="299"/>
      <c r="FP57" s="299"/>
      <c r="FQ57" s="300" t="e">
        <f t="shared" ca="1" si="56"/>
        <v>#VALUE!</v>
      </c>
      <c r="FR57" s="300" t="e">
        <f t="shared" ca="1" si="58"/>
        <v>#VALUE!</v>
      </c>
      <c r="FS57" s="300" t="e">
        <f t="shared" ca="1" si="58"/>
        <v>#VALUE!</v>
      </c>
      <c r="FT57" s="300" t="e">
        <f t="shared" ca="1" si="58"/>
        <v>#VALUE!</v>
      </c>
      <c r="FU57" s="300" t="e">
        <f t="shared" ca="1" si="58"/>
        <v>#VALUE!</v>
      </c>
      <c r="FV57" s="300" t="e">
        <f t="shared" ca="1" si="58"/>
        <v>#VALUE!</v>
      </c>
      <c r="FW57" s="300" t="e">
        <f t="shared" ca="1" si="58"/>
        <v>#VALUE!</v>
      </c>
      <c r="FX57" s="300" t="e">
        <f t="shared" ca="1" si="58"/>
        <v>#VALUE!</v>
      </c>
      <c r="FY57" s="300" t="e">
        <f t="shared" ca="1" si="58"/>
        <v>#VALUE!</v>
      </c>
      <c r="FZ57" s="300" t="e">
        <f t="shared" ca="1" si="58"/>
        <v>#VALUE!</v>
      </c>
      <c r="GA57" s="301" t="e">
        <f t="shared" ca="1" si="58"/>
        <v>#VALUE!</v>
      </c>
      <c r="GB57" s="301" t="e">
        <f t="shared" ca="1" si="59"/>
        <v>#VALUE!</v>
      </c>
      <c r="GC57" s="301" t="e">
        <f t="shared" ca="1" si="59"/>
        <v>#VALUE!</v>
      </c>
      <c r="GD57" s="301" t="e">
        <f t="shared" ca="1" si="59"/>
        <v>#VALUE!</v>
      </c>
      <c r="GE57" s="301" t="e">
        <f t="shared" ca="1" si="59"/>
        <v>#VALUE!</v>
      </c>
      <c r="GF57" s="301" t="e">
        <f t="shared" ca="1" si="59"/>
        <v>#VALUE!</v>
      </c>
      <c r="GG57" s="301" t="e">
        <f t="shared" ca="1" si="59"/>
        <v>#VALUE!</v>
      </c>
      <c r="GH57" s="301" t="e">
        <f t="shared" ca="1" si="59"/>
        <v>#VALUE!</v>
      </c>
      <c r="GI57" s="301" t="e">
        <f t="shared" ca="1" si="59"/>
        <v>#VALUE!</v>
      </c>
      <c r="GJ57" s="301" t="e">
        <f t="shared" ca="1" si="59"/>
        <v>#VALUE!</v>
      </c>
      <c r="GK57" s="301" t="e">
        <f t="shared" ca="1" si="59"/>
        <v>#VALUE!</v>
      </c>
      <c r="GL57" s="301" t="e">
        <f t="shared" ca="1" si="59"/>
        <v>#VALUE!</v>
      </c>
      <c r="GM57" s="301" t="e">
        <f t="shared" ca="1" si="59"/>
        <v>#VALUE!</v>
      </c>
      <c r="GN57" s="302" t="e">
        <f t="shared" ca="1" si="59"/>
        <v>#VALUE!</v>
      </c>
      <c r="GO57" s="302" t="e">
        <f t="shared" ca="1" si="59"/>
        <v>#VALUE!</v>
      </c>
      <c r="GP57" s="310">
        <f t="shared" ref="GP57:HE64" si="68">SUMIF($AB$8:$FO$8,GP$9,$AB57:$FO57)</f>
        <v>90</v>
      </c>
      <c r="GQ57" s="310">
        <f t="shared" si="68"/>
        <v>180</v>
      </c>
      <c r="GR57" s="310">
        <f t="shared" si="68"/>
        <v>180</v>
      </c>
      <c r="GS57" s="310">
        <f t="shared" si="68"/>
        <v>180</v>
      </c>
      <c r="GT57" s="310">
        <f t="shared" si="68"/>
        <v>180</v>
      </c>
      <c r="GU57" s="311">
        <f t="shared" si="68"/>
        <v>180</v>
      </c>
      <c r="GV57" s="310">
        <f t="shared" si="68"/>
        <v>180</v>
      </c>
      <c r="GW57" s="310">
        <f t="shared" si="68"/>
        <v>90</v>
      </c>
      <c r="GX57" s="310">
        <f t="shared" si="68"/>
        <v>0</v>
      </c>
      <c r="GY57" s="310">
        <f t="shared" si="68"/>
        <v>0</v>
      </c>
      <c r="GZ57" s="310">
        <f t="shared" si="68"/>
        <v>0</v>
      </c>
      <c r="HA57" s="310">
        <f t="shared" si="68"/>
        <v>0</v>
      </c>
      <c r="HB57" s="310">
        <f t="shared" si="68"/>
        <v>0</v>
      </c>
      <c r="HC57" s="310">
        <f t="shared" si="68"/>
        <v>0</v>
      </c>
      <c r="HD57" s="310">
        <f t="shared" si="68"/>
        <v>0</v>
      </c>
      <c r="HE57" s="310">
        <f t="shared" si="68"/>
        <v>0</v>
      </c>
      <c r="HF57" s="304" t="e">
        <f t="shared" ref="HF57:HF64" ca="1" si="69">SUM(FQ57:HE57)</f>
        <v>#VALUE!</v>
      </c>
      <c r="HG57" s="305" t="e">
        <f ca="1">HF57-#REF!</f>
        <v>#REF!</v>
      </c>
    </row>
    <row r="58" spans="1:215" s="306" customFormat="1" ht="15.75" customHeight="1">
      <c r="A58" s="309"/>
      <c r="B58" s="292" t="s">
        <v>85</v>
      </c>
      <c r="C58" s="292" t="s">
        <v>197</v>
      </c>
      <c r="D58" s="292" t="s">
        <v>225</v>
      </c>
      <c r="E58" s="292" t="s">
        <v>414</v>
      </c>
      <c r="F58" s="292" t="s">
        <v>184</v>
      </c>
      <c r="G58" s="292" t="s">
        <v>350</v>
      </c>
      <c r="H58" s="292" t="s">
        <v>351</v>
      </c>
      <c r="I58" s="292" t="s">
        <v>352</v>
      </c>
      <c r="J58" s="292" t="s">
        <v>184</v>
      </c>
      <c r="K58" s="292" t="s">
        <v>353</v>
      </c>
      <c r="L58" s="292" t="s">
        <v>359</v>
      </c>
      <c r="M58" s="292" t="s">
        <v>374</v>
      </c>
      <c r="N58" s="292" t="str">
        <f t="shared" si="60"/>
        <v>PTP-Accounts Payable</v>
      </c>
      <c r="O58" s="292" t="str">
        <f t="shared" si="61"/>
        <v>Technology-Senior Consultant-India-Consulting</v>
      </c>
      <c r="P58" s="292" t="str">
        <f t="shared" si="62"/>
        <v>PTP - Technology</v>
      </c>
      <c r="Q58" s="293">
        <f t="shared" si="42"/>
        <v>287550</v>
      </c>
      <c r="R58" s="294">
        <f t="shared" si="43"/>
        <v>35145</v>
      </c>
      <c r="S58" s="295" t="e">
        <f t="shared" ca="1" si="63"/>
        <v>#VALUE!</v>
      </c>
      <c r="T58" s="295">
        <f t="shared" si="44"/>
        <v>4050</v>
      </c>
      <c r="U58" s="296" t="str">
        <f t="shared" si="64"/>
        <v>Technology - Senior Consultant</v>
      </c>
      <c r="V58" s="295" t="str">
        <f t="shared" si="65"/>
        <v>3-5 years</v>
      </c>
      <c r="W58" s="292" t="str">
        <f t="shared" si="66"/>
        <v>Offshore</v>
      </c>
      <c r="X58" s="292" t="s">
        <v>261</v>
      </c>
      <c r="Y58" s="292" t="s">
        <v>259</v>
      </c>
      <c r="Z58" s="292" t="s">
        <v>364</v>
      </c>
      <c r="AA58" s="297">
        <f>[1]Resourcing!QD62</f>
        <v>0</v>
      </c>
      <c r="AB58" s="298">
        <f t="shared" si="67"/>
        <v>71</v>
      </c>
      <c r="AC58" s="299"/>
      <c r="AD58" s="299"/>
      <c r="AE58" s="299"/>
      <c r="AF58" s="299"/>
      <c r="AG58" s="299"/>
      <c r="AH58" s="299"/>
      <c r="AI58" s="299"/>
      <c r="AJ58" s="299"/>
      <c r="AK58" s="299"/>
      <c r="AL58" s="299"/>
      <c r="AM58" s="299"/>
      <c r="AN58" s="299"/>
      <c r="AO58" s="299"/>
      <c r="AP58" s="299"/>
      <c r="AQ58" s="299"/>
      <c r="AR58" s="299"/>
      <c r="AS58" s="299"/>
      <c r="AT58" s="299"/>
      <c r="AU58" s="299"/>
      <c r="AV58" s="299"/>
      <c r="AW58" s="299"/>
      <c r="AX58" s="299"/>
      <c r="AY58" s="299"/>
      <c r="AZ58" s="299"/>
      <c r="BA58" s="299"/>
      <c r="BB58" s="299"/>
      <c r="BC58" s="299"/>
      <c r="BD58" s="299">
        <v>45</v>
      </c>
      <c r="BE58" s="299">
        <v>45</v>
      </c>
      <c r="BF58" s="299">
        <v>45</v>
      </c>
      <c r="BG58" s="299">
        <v>45</v>
      </c>
      <c r="BH58" s="299">
        <v>45</v>
      </c>
      <c r="BI58" s="299">
        <v>45</v>
      </c>
      <c r="BJ58" s="299">
        <v>45</v>
      </c>
      <c r="BK58" s="299">
        <v>45</v>
      </c>
      <c r="BL58" s="299">
        <v>45</v>
      </c>
      <c r="BM58" s="299">
        <v>45</v>
      </c>
      <c r="BN58" s="299">
        <v>45</v>
      </c>
      <c r="BO58" s="299">
        <v>45</v>
      </c>
      <c r="BP58" s="299">
        <v>45</v>
      </c>
      <c r="BQ58" s="299">
        <v>45</v>
      </c>
      <c r="BR58" s="299"/>
      <c r="BS58" s="299"/>
      <c r="BT58" s="299">
        <v>45</v>
      </c>
      <c r="BU58" s="299">
        <v>45</v>
      </c>
      <c r="BV58" s="299">
        <v>45</v>
      </c>
      <c r="BW58" s="299">
        <v>45</v>
      </c>
      <c r="BX58" s="299">
        <v>45</v>
      </c>
      <c r="BY58" s="299">
        <v>45</v>
      </c>
      <c r="BZ58" s="299">
        <v>45</v>
      </c>
      <c r="CA58" s="299">
        <v>45</v>
      </c>
      <c r="CB58" s="299">
        <v>45</v>
      </c>
      <c r="CC58" s="299">
        <v>45</v>
      </c>
      <c r="CD58" s="299">
        <v>45</v>
      </c>
      <c r="CE58" s="299">
        <v>45</v>
      </c>
      <c r="CF58" s="299">
        <v>45</v>
      </c>
      <c r="CG58" s="299">
        <v>45</v>
      </c>
      <c r="CH58" s="299">
        <v>45</v>
      </c>
      <c r="CI58" s="299">
        <v>45</v>
      </c>
      <c r="CJ58" s="299">
        <v>45</v>
      </c>
      <c r="CK58" s="299">
        <v>45</v>
      </c>
      <c r="CL58" s="299">
        <v>45</v>
      </c>
      <c r="CM58" s="299">
        <v>45</v>
      </c>
      <c r="CN58" s="299">
        <v>45</v>
      </c>
      <c r="CO58" s="299">
        <v>45</v>
      </c>
      <c r="CP58" s="299">
        <v>45</v>
      </c>
      <c r="CQ58" s="299">
        <v>45</v>
      </c>
      <c r="CR58" s="299">
        <v>45</v>
      </c>
      <c r="CS58" s="299">
        <v>45</v>
      </c>
      <c r="CT58" s="299">
        <v>45</v>
      </c>
      <c r="CU58" s="299">
        <v>45</v>
      </c>
      <c r="CV58" s="299">
        <v>45</v>
      </c>
      <c r="CW58" s="299">
        <v>45</v>
      </c>
      <c r="CX58" s="299">
        <v>45</v>
      </c>
      <c r="CY58" s="299">
        <v>45</v>
      </c>
      <c r="CZ58" s="299">
        <v>45</v>
      </c>
      <c r="DA58" s="299">
        <v>45</v>
      </c>
      <c r="DB58" s="299">
        <v>45</v>
      </c>
      <c r="DC58" s="299">
        <v>45</v>
      </c>
      <c r="DD58" s="299">
        <v>45</v>
      </c>
      <c r="DE58" s="299">
        <v>45</v>
      </c>
      <c r="DF58" s="299">
        <v>45</v>
      </c>
      <c r="DG58" s="299">
        <v>45</v>
      </c>
      <c r="DH58" s="299">
        <v>45</v>
      </c>
      <c r="DI58" s="299">
        <v>45</v>
      </c>
      <c r="DJ58" s="299">
        <v>45</v>
      </c>
      <c r="DK58" s="299">
        <v>45</v>
      </c>
      <c r="DL58" s="299">
        <v>45</v>
      </c>
      <c r="DM58" s="299">
        <v>45</v>
      </c>
      <c r="DN58" s="299">
        <v>45</v>
      </c>
      <c r="DO58" s="299">
        <v>45</v>
      </c>
      <c r="DP58" s="299">
        <v>45</v>
      </c>
      <c r="DQ58" s="299">
        <v>45</v>
      </c>
      <c r="DR58" s="299"/>
      <c r="DS58" s="299"/>
      <c r="DT58" s="299">
        <v>45</v>
      </c>
      <c r="DU58" s="299">
        <v>45</v>
      </c>
      <c r="DV58" s="299">
        <v>45</v>
      </c>
      <c r="DW58" s="299">
        <v>45</v>
      </c>
      <c r="DX58" s="299">
        <v>45</v>
      </c>
      <c r="DY58" s="299">
        <v>45</v>
      </c>
      <c r="DZ58" s="299">
        <v>45</v>
      </c>
      <c r="EA58" s="299">
        <v>45</v>
      </c>
      <c r="EB58" s="299">
        <v>45</v>
      </c>
      <c r="EC58" s="299">
        <v>45</v>
      </c>
      <c r="ED58" s="299">
        <v>45</v>
      </c>
      <c r="EE58" s="299">
        <v>45</v>
      </c>
      <c r="EF58" s="299">
        <v>45</v>
      </c>
      <c r="EG58" s="299">
        <v>45</v>
      </c>
      <c r="EH58" s="299">
        <v>45</v>
      </c>
      <c r="EI58" s="299">
        <v>45</v>
      </c>
      <c r="EJ58" s="299">
        <v>45</v>
      </c>
      <c r="EK58" s="299">
        <v>45</v>
      </c>
      <c r="EL58" s="299">
        <v>45</v>
      </c>
      <c r="EM58" s="299">
        <v>45</v>
      </c>
      <c r="EN58" s="299">
        <v>45</v>
      </c>
      <c r="EO58" s="299">
        <v>45</v>
      </c>
      <c r="EP58" s="299">
        <v>45</v>
      </c>
      <c r="EQ58" s="299">
        <v>45</v>
      </c>
      <c r="ER58" s="299">
        <v>45</v>
      </c>
      <c r="ES58" s="299">
        <v>45</v>
      </c>
      <c r="ET58" s="299"/>
      <c r="EU58" s="299"/>
      <c r="EV58" s="299"/>
      <c r="EW58" s="299"/>
      <c r="EX58" s="299"/>
      <c r="EY58" s="299"/>
      <c r="EZ58" s="299"/>
      <c r="FA58" s="299"/>
      <c r="FB58" s="299"/>
      <c r="FC58" s="299"/>
      <c r="FD58" s="299"/>
      <c r="FE58" s="299"/>
      <c r="FF58" s="299"/>
      <c r="FG58" s="299"/>
      <c r="FH58" s="299"/>
      <c r="FI58" s="299"/>
      <c r="FJ58" s="299"/>
      <c r="FK58" s="299"/>
      <c r="FL58" s="299"/>
      <c r="FM58" s="299"/>
      <c r="FN58" s="299"/>
      <c r="FO58" s="299"/>
      <c r="FP58" s="299"/>
      <c r="FQ58" s="300" t="e">
        <f t="shared" ca="1" si="56"/>
        <v>#VALUE!</v>
      </c>
      <c r="FR58" s="300" t="e">
        <f t="shared" ca="1" si="58"/>
        <v>#VALUE!</v>
      </c>
      <c r="FS58" s="300" t="e">
        <f t="shared" ca="1" si="58"/>
        <v>#VALUE!</v>
      </c>
      <c r="FT58" s="300" t="e">
        <f t="shared" ca="1" si="58"/>
        <v>#VALUE!</v>
      </c>
      <c r="FU58" s="300" t="e">
        <f t="shared" ca="1" si="58"/>
        <v>#VALUE!</v>
      </c>
      <c r="FV58" s="300" t="e">
        <f t="shared" ca="1" si="58"/>
        <v>#VALUE!</v>
      </c>
      <c r="FW58" s="300" t="e">
        <f t="shared" ca="1" si="58"/>
        <v>#VALUE!</v>
      </c>
      <c r="FX58" s="300" t="e">
        <f t="shared" ca="1" si="58"/>
        <v>#VALUE!</v>
      </c>
      <c r="FY58" s="300" t="e">
        <f t="shared" ca="1" si="58"/>
        <v>#VALUE!</v>
      </c>
      <c r="FZ58" s="300" t="e">
        <f t="shared" ca="1" si="58"/>
        <v>#VALUE!</v>
      </c>
      <c r="GA58" s="301" t="e">
        <f t="shared" ca="1" si="58"/>
        <v>#VALUE!</v>
      </c>
      <c r="GB58" s="301" t="e">
        <f t="shared" ca="1" si="59"/>
        <v>#VALUE!</v>
      </c>
      <c r="GC58" s="301" t="e">
        <f t="shared" ca="1" si="59"/>
        <v>#VALUE!</v>
      </c>
      <c r="GD58" s="301" t="e">
        <f t="shared" ca="1" si="59"/>
        <v>#VALUE!</v>
      </c>
      <c r="GE58" s="301" t="e">
        <f t="shared" ca="1" si="59"/>
        <v>#VALUE!</v>
      </c>
      <c r="GF58" s="301" t="e">
        <f t="shared" ca="1" si="59"/>
        <v>#VALUE!</v>
      </c>
      <c r="GG58" s="301" t="e">
        <f t="shared" ca="1" si="59"/>
        <v>#VALUE!</v>
      </c>
      <c r="GH58" s="301" t="e">
        <f t="shared" ca="1" si="59"/>
        <v>#VALUE!</v>
      </c>
      <c r="GI58" s="301" t="e">
        <f t="shared" ca="1" si="59"/>
        <v>#VALUE!</v>
      </c>
      <c r="GJ58" s="301" t="e">
        <f t="shared" ca="1" si="59"/>
        <v>#VALUE!</v>
      </c>
      <c r="GK58" s="301" t="e">
        <f t="shared" ca="1" si="59"/>
        <v>#VALUE!</v>
      </c>
      <c r="GL58" s="301" t="e">
        <f t="shared" ca="1" si="59"/>
        <v>#VALUE!</v>
      </c>
      <c r="GM58" s="301" t="e">
        <f t="shared" ca="1" si="59"/>
        <v>#VALUE!</v>
      </c>
      <c r="GN58" s="302" t="e">
        <f t="shared" ca="1" si="59"/>
        <v>#VALUE!</v>
      </c>
      <c r="GO58" s="302" t="e">
        <f t="shared" ca="1" si="59"/>
        <v>#VALUE!</v>
      </c>
      <c r="GP58" s="310">
        <f t="shared" si="68"/>
        <v>90</v>
      </c>
      <c r="GQ58" s="310">
        <f t="shared" si="68"/>
        <v>180</v>
      </c>
      <c r="GR58" s="310">
        <f t="shared" si="68"/>
        <v>180</v>
      </c>
      <c r="GS58" s="310">
        <f t="shared" si="68"/>
        <v>180</v>
      </c>
      <c r="GT58" s="310">
        <f t="shared" si="68"/>
        <v>180</v>
      </c>
      <c r="GU58" s="311">
        <f t="shared" si="68"/>
        <v>180</v>
      </c>
      <c r="GV58" s="310">
        <f t="shared" si="68"/>
        <v>180</v>
      </c>
      <c r="GW58" s="310">
        <f t="shared" si="68"/>
        <v>90</v>
      </c>
      <c r="GX58" s="310">
        <f t="shared" si="68"/>
        <v>0</v>
      </c>
      <c r="GY58" s="310">
        <f t="shared" si="68"/>
        <v>0</v>
      </c>
      <c r="GZ58" s="310">
        <f t="shared" si="68"/>
        <v>0</v>
      </c>
      <c r="HA58" s="310">
        <f t="shared" si="68"/>
        <v>0</v>
      </c>
      <c r="HB58" s="310">
        <f t="shared" si="68"/>
        <v>0</v>
      </c>
      <c r="HC58" s="310">
        <f t="shared" si="68"/>
        <v>0</v>
      </c>
      <c r="HD58" s="310">
        <f t="shared" si="68"/>
        <v>0</v>
      </c>
      <c r="HE58" s="310">
        <f t="shared" si="68"/>
        <v>0</v>
      </c>
      <c r="HF58" s="304" t="e">
        <f t="shared" ca="1" si="69"/>
        <v>#VALUE!</v>
      </c>
      <c r="HG58" s="305" t="e">
        <f ca="1">HF58-S111</f>
        <v>#VALUE!</v>
      </c>
    </row>
    <row r="59" spans="1:215" s="306" customFormat="1" ht="15.75" customHeight="1">
      <c r="A59" s="309"/>
      <c r="B59" s="292" t="s">
        <v>85</v>
      </c>
      <c r="C59" s="292" t="s">
        <v>197</v>
      </c>
      <c r="D59" s="292" t="s">
        <v>226</v>
      </c>
      <c r="E59" s="292" t="s">
        <v>415</v>
      </c>
      <c r="F59" s="292" t="s">
        <v>184</v>
      </c>
      <c r="G59" s="292" t="s">
        <v>350</v>
      </c>
      <c r="H59" s="292" t="s">
        <v>351</v>
      </c>
      <c r="I59" s="292" t="s">
        <v>352</v>
      </c>
      <c r="J59" s="292" t="s">
        <v>184</v>
      </c>
      <c r="K59" s="292" t="s">
        <v>353</v>
      </c>
      <c r="L59" s="292" t="s">
        <v>359</v>
      </c>
      <c r="M59" s="292" t="s">
        <v>367</v>
      </c>
      <c r="N59" s="292" t="str">
        <f t="shared" si="60"/>
        <v>PTP-Procurement</v>
      </c>
      <c r="O59" s="292" t="str">
        <f t="shared" si="61"/>
        <v>Technology-Consultant-India-Consulting</v>
      </c>
      <c r="P59" s="292" t="str">
        <f t="shared" si="62"/>
        <v>PTP - Technology</v>
      </c>
      <c r="Q59" s="293">
        <f t="shared" si="42"/>
        <v>243000</v>
      </c>
      <c r="R59" s="294">
        <f t="shared" si="43"/>
        <v>29700</v>
      </c>
      <c r="S59" s="295" t="e">
        <f t="shared" ca="1" si="63"/>
        <v>#VALUE!</v>
      </c>
      <c r="T59" s="295">
        <f t="shared" si="44"/>
        <v>4050</v>
      </c>
      <c r="U59" s="296" t="str">
        <f t="shared" si="64"/>
        <v>Technology - Consultant</v>
      </c>
      <c r="V59" s="295" t="str">
        <f t="shared" si="65"/>
        <v>1-3 years</v>
      </c>
      <c r="W59" s="292" t="str">
        <f t="shared" si="66"/>
        <v>Offshore</v>
      </c>
      <c r="X59" s="292" t="s">
        <v>261</v>
      </c>
      <c r="Y59" s="292" t="s">
        <v>259</v>
      </c>
      <c r="Z59" s="292" t="s">
        <v>368</v>
      </c>
      <c r="AA59" s="297">
        <f>[1]Resourcing!QD63</f>
        <v>358.79277777777799</v>
      </c>
      <c r="AB59" s="298">
        <f t="shared" si="67"/>
        <v>60</v>
      </c>
      <c r="AC59" s="299"/>
      <c r="AD59" s="299"/>
      <c r="AE59" s="299"/>
      <c r="AF59" s="299"/>
      <c r="AG59" s="299"/>
      <c r="AH59" s="299"/>
      <c r="AI59" s="299"/>
      <c r="AJ59" s="299"/>
      <c r="AK59" s="299"/>
      <c r="AL59" s="299"/>
      <c r="AM59" s="299"/>
      <c r="AN59" s="299"/>
      <c r="AO59" s="299"/>
      <c r="AP59" s="299"/>
      <c r="AQ59" s="299"/>
      <c r="AR59" s="299"/>
      <c r="AS59" s="299"/>
      <c r="AT59" s="299"/>
      <c r="AU59" s="299"/>
      <c r="AV59" s="299"/>
      <c r="AW59" s="299"/>
      <c r="AX59" s="299"/>
      <c r="AY59" s="299"/>
      <c r="AZ59" s="299"/>
      <c r="BA59" s="299"/>
      <c r="BB59" s="299"/>
      <c r="BC59" s="299"/>
      <c r="BD59" s="299">
        <v>45</v>
      </c>
      <c r="BE59" s="299">
        <v>45</v>
      </c>
      <c r="BF59" s="299">
        <v>45</v>
      </c>
      <c r="BG59" s="299">
        <v>45</v>
      </c>
      <c r="BH59" s="299">
        <v>45</v>
      </c>
      <c r="BI59" s="299">
        <v>45</v>
      </c>
      <c r="BJ59" s="299">
        <v>45</v>
      </c>
      <c r="BK59" s="299">
        <v>45</v>
      </c>
      <c r="BL59" s="299">
        <v>45</v>
      </c>
      <c r="BM59" s="299">
        <v>45</v>
      </c>
      <c r="BN59" s="299">
        <v>45</v>
      </c>
      <c r="BO59" s="299">
        <v>45</v>
      </c>
      <c r="BP59" s="299">
        <v>45</v>
      </c>
      <c r="BQ59" s="299">
        <v>45</v>
      </c>
      <c r="BR59" s="299"/>
      <c r="BS59" s="299"/>
      <c r="BT59" s="299">
        <v>45</v>
      </c>
      <c r="BU59" s="299">
        <v>45</v>
      </c>
      <c r="BV59" s="299">
        <v>45</v>
      </c>
      <c r="BW59" s="299">
        <v>45</v>
      </c>
      <c r="BX59" s="299">
        <v>45</v>
      </c>
      <c r="BY59" s="299">
        <v>45</v>
      </c>
      <c r="BZ59" s="299">
        <v>45</v>
      </c>
      <c r="CA59" s="299">
        <v>45</v>
      </c>
      <c r="CB59" s="299">
        <v>45</v>
      </c>
      <c r="CC59" s="299">
        <v>45</v>
      </c>
      <c r="CD59" s="299">
        <v>45</v>
      </c>
      <c r="CE59" s="299">
        <v>45</v>
      </c>
      <c r="CF59" s="299">
        <v>45</v>
      </c>
      <c r="CG59" s="299">
        <v>45</v>
      </c>
      <c r="CH59" s="299">
        <v>45</v>
      </c>
      <c r="CI59" s="299">
        <v>45</v>
      </c>
      <c r="CJ59" s="299">
        <v>45</v>
      </c>
      <c r="CK59" s="299">
        <v>45</v>
      </c>
      <c r="CL59" s="299">
        <v>45</v>
      </c>
      <c r="CM59" s="299">
        <v>45</v>
      </c>
      <c r="CN59" s="299">
        <v>45</v>
      </c>
      <c r="CO59" s="299">
        <v>45</v>
      </c>
      <c r="CP59" s="299">
        <v>45</v>
      </c>
      <c r="CQ59" s="299">
        <v>45</v>
      </c>
      <c r="CR59" s="299">
        <v>45</v>
      </c>
      <c r="CS59" s="299">
        <v>45</v>
      </c>
      <c r="CT59" s="299">
        <v>45</v>
      </c>
      <c r="CU59" s="299">
        <v>45</v>
      </c>
      <c r="CV59" s="299">
        <v>45</v>
      </c>
      <c r="CW59" s="299">
        <v>45</v>
      </c>
      <c r="CX59" s="299">
        <v>45</v>
      </c>
      <c r="CY59" s="299">
        <v>45</v>
      </c>
      <c r="CZ59" s="299">
        <v>45</v>
      </c>
      <c r="DA59" s="299">
        <v>45</v>
      </c>
      <c r="DB59" s="299">
        <v>45</v>
      </c>
      <c r="DC59" s="299">
        <v>45</v>
      </c>
      <c r="DD59" s="299">
        <v>45</v>
      </c>
      <c r="DE59" s="299">
        <v>45</v>
      </c>
      <c r="DF59" s="299">
        <v>45</v>
      </c>
      <c r="DG59" s="299">
        <v>45</v>
      </c>
      <c r="DH59" s="299">
        <v>45</v>
      </c>
      <c r="DI59" s="299">
        <v>45</v>
      </c>
      <c r="DJ59" s="299">
        <v>45</v>
      </c>
      <c r="DK59" s="299">
        <v>45</v>
      </c>
      <c r="DL59" s="299">
        <v>45</v>
      </c>
      <c r="DM59" s="299">
        <v>45</v>
      </c>
      <c r="DN59" s="299">
        <v>45</v>
      </c>
      <c r="DO59" s="299">
        <v>45</v>
      </c>
      <c r="DP59" s="299">
        <v>45</v>
      </c>
      <c r="DQ59" s="299">
        <v>45</v>
      </c>
      <c r="DR59" s="299"/>
      <c r="DS59" s="299"/>
      <c r="DT59" s="299">
        <v>45</v>
      </c>
      <c r="DU59" s="299">
        <v>45</v>
      </c>
      <c r="DV59" s="299">
        <v>45</v>
      </c>
      <c r="DW59" s="299">
        <v>45</v>
      </c>
      <c r="DX59" s="299">
        <v>45</v>
      </c>
      <c r="DY59" s="299">
        <v>45</v>
      </c>
      <c r="DZ59" s="299">
        <v>45</v>
      </c>
      <c r="EA59" s="299">
        <v>45</v>
      </c>
      <c r="EB59" s="299">
        <v>45</v>
      </c>
      <c r="EC59" s="299">
        <v>45</v>
      </c>
      <c r="ED59" s="299">
        <v>45</v>
      </c>
      <c r="EE59" s="299">
        <v>45</v>
      </c>
      <c r="EF59" s="299">
        <v>45</v>
      </c>
      <c r="EG59" s="299">
        <v>45</v>
      </c>
      <c r="EH59" s="299">
        <v>45</v>
      </c>
      <c r="EI59" s="299">
        <v>45</v>
      </c>
      <c r="EJ59" s="299">
        <v>45</v>
      </c>
      <c r="EK59" s="299">
        <v>45</v>
      </c>
      <c r="EL59" s="299">
        <v>45</v>
      </c>
      <c r="EM59" s="299">
        <v>45</v>
      </c>
      <c r="EN59" s="299">
        <v>45</v>
      </c>
      <c r="EO59" s="299">
        <v>45</v>
      </c>
      <c r="EP59" s="299">
        <v>45</v>
      </c>
      <c r="EQ59" s="299">
        <v>45</v>
      </c>
      <c r="ER59" s="299">
        <v>45</v>
      </c>
      <c r="ES59" s="299">
        <v>45</v>
      </c>
      <c r="ET59" s="299"/>
      <c r="EU59" s="299"/>
      <c r="EV59" s="299"/>
      <c r="EW59" s="299"/>
      <c r="EX59" s="299"/>
      <c r="EY59" s="299"/>
      <c r="EZ59" s="299"/>
      <c r="FA59" s="299"/>
      <c r="FB59" s="299"/>
      <c r="FC59" s="299"/>
      <c r="FD59" s="299"/>
      <c r="FE59" s="299"/>
      <c r="FF59" s="299"/>
      <c r="FG59" s="299"/>
      <c r="FH59" s="299"/>
      <c r="FI59" s="299"/>
      <c r="FJ59" s="299"/>
      <c r="FK59" s="299"/>
      <c r="FL59" s="299"/>
      <c r="FM59" s="299"/>
      <c r="FN59" s="299"/>
      <c r="FO59" s="299"/>
      <c r="FP59" s="299"/>
      <c r="FQ59" s="300" t="e">
        <f t="shared" ca="1" si="56"/>
        <v>#VALUE!</v>
      </c>
      <c r="FR59" s="300" t="e">
        <f t="shared" ca="1" si="58"/>
        <v>#VALUE!</v>
      </c>
      <c r="FS59" s="300" t="e">
        <f t="shared" ca="1" si="58"/>
        <v>#VALUE!</v>
      </c>
      <c r="FT59" s="300" t="e">
        <f t="shared" ca="1" si="58"/>
        <v>#VALUE!</v>
      </c>
      <c r="FU59" s="300" t="e">
        <f t="shared" ca="1" si="58"/>
        <v>#VALUE!</v>
      </c>
      <c r="FV59" s="300" t="e">
        <f t="shared" ca="1" si="58"/>
        <v>#VALUE!</v>
      </c>
      <c r="FW59" s="300" t="e">
        <f t="shared" ca="1" si="58"/>
        <v>#VALUE!</v>
      </c>
      <c r="FX59" s="300" t="e">
        <f t="shared" ca="1" si="58"/>
        <v>#VALUE!</v>
      </c>
      <c r="FY59" s="300" t="e">
        <f t="shared" ca="1" si="58"/>
        <v>#VALUE!</v>
      </c>
      <c r="FZ59" s="300" t="e">
        <f t="shared" ca="1" si="58"/>
        <v>#VALUE!</v>
      </c>
      <c r="GA59" s="301" t="e">
        <f t="shared" ca="1" si="58"/>
        <v>#VALUE!</v>
      </c>
      <c r="GB59" s="301" t="e">
        <f t="shared" ca="1" si="59"/>
        <v>#VALUE!</v>
      </c>
      <c r="GC59" s="301" t="e">
        <f t="shared" ca="1" si="59"/>
        <v>#VALUE!</v>
      </c>
      <c r="GD59" s="301" t="e">
        <f t="shared" ca="1" si="59"/>
        <v>#VALUE!</v>
      </c>
      <c r="GE59" s="301" t="e">
        <f t="shared" ca="1" si="59"/>
        <v>#VALUE!</v>
      </c>
      <c r="GF59" s="301" t="e">
        <f t="shared" ca="1" si="59"/>
        <v>#VALUE!</v>
      </c>
      <c r="GG59" s="301" t="e">
        <f t="shared" ca="1" si="59"/>
        <v>#VALUE!</v>
      </c>
      <c r="GH59" s="301" t="e">
        <f t="shared" ca="1" si="59"/>
        <v>#VALUE!</v>
      </c>
      <c r="GI59" s="301" t="e">
        <f t="shared" ca="1" si="59"/>
        <v>#VALUE!</v>
      </c>
      <c r="GJ59" s="301" t="e">
        <f t="shared" ca="1" si="59"/>
        <v>#VALUE!</v>
      </c>
      <c r="GK59" s="301" t="e">
        <f t="shared" ca="1" si="59"/>
        <v>#VALUE!</v>
      </c>
      <c r="GL59" s="301" t="e">
        <f t="shared" ca="1" si="59"/>
        <v>#VALUE!</v>
      </c>
      <c r="GM59" s="301" t="e">
        <f t="shared" ca="1" si="59"/>
        <v>#VALUE!</v>
      </c>
      <c r="GN59" s="302" t="e">
        <f t="shared" ca="1" si="59"/>
        <v>#VALUE!</v>
      </c>
      <c r="GO59" s="302" t="e">
        <f t="shared" ca="1" si="59"/>
        <v>#VALUE!</v>
      </c>
      <c r="GP59" s="310">
        <f t="shared" si="68"/>
        <v>90</v>
      </c>
      <c r="GQ59" s="310">
        <f t="shared" si="68"/>
        <v>180</v>
      </c>
      <c r="GR59" s="310">
        <f t="shared" si="68"/>
        <v>180</v>
      </c>
      <c r="GS59" s="310">
        <f t="shared" si="68"/>
        <v>180</v>
      </c>
      <c r="GT59" s="310">
        <f t="shared" si="68"/>
        <v>180</v>
      </c>
      <c r="GU59" s="311">
        <f t="shared" si="68"/>
        <v>180</v>
      </c>
      <c r="GV59" s="310">
        <f t="shared" si="68"/>
        <v>180</v>
      </c>
      <c r="GW59" s="310">
        <f t="shared" si="68"/>
        <v>90</v>
      </c>
      <c r="GX59" s="310">
        <f t="shared" si="68"/>
        <v>0</v>
      </c>
      <c r="GY59" s="310">
        <f t="shared" si="68"/>
        <v>0</v>
      </c>
      <c r="GZ59" s="310">
        <f t="shared" si="68"/>
        <v>0</v>
      </c>
      <c r="HA59" s="310">
        <f t="shared" si="68"/>
        <v>0</v>
      </c>
      <c r="HB59" s="310">
        <f t="shared" si="68"/>
        <v>0</v>
      </c>
      <c r="HC59" s="310">
        <f t="shared" si="68"/>
        <v>0</v>
      </c>
      <c r="HD59" s="310">
        <f t="shared" si="68"/>
        <v>0</v>
      </c>
      <c r="HE59" s="310">
        <f t="shared" si="68"/>
        <v>0</v>
      </c>
      <c r="HF59" s="304" t="e">
        <f t="shared" ca="1" si="69"/>
        <v>#VALUE!</v>
      </c>
      <c r="HG59" s="305" t="e">
        <f ca="1">HF59-S112</f>
        <v>#VALUE!</v>
      </c>
    </row>
    <row r="60" spans="1:215" s="306" customFormat="1" ht="15.75" customHeight="1">
      <c r="A60" s="309"/>
      <c r="B60" s="292" t="s">
        <v>85</v>
      </c>
      <c r="C60" s="292" t="s">
        <v>197</v>
      </c>
      <c r="D60" s="292" t="s">
        <v>226</v>
      </c>
      <c r="E60" s="292" t="s">
        <v>416</v>
      </c>
      <c r="F60" s="292" t="s">
        <v>184</v>
      </c>
      <c r="G60" s="292" t="s">
        <v>350</v>
      </c>
      <c r="H60" s="292" t="s">
        <v>351</v>
      </c>
      <c r="I60" s="292" t="s">
        <v>352</v>
      </c>
      <c r="J60" s="292" t="s">
        <v>184</v>
      </c>
      <c r="K60" s="292" t="s">
        <v>353</v>
      </c>
      <c r="L60" s="292" t="s">
        <v>359</v>
      </c>
      <c r="M60" s="292" t="s">
        <v>374</v>
      </c>
      <c r="N60" s="292" t="str">
        <f t="shared" si="60"/>
        <v>PTP-Procurement</v>
      </c>
      <c r="O60" s="292" t="str">
        <f t="shared" si="61"/>
        <v>Technology-Senior Consultant-India-Consulting</v>
      </c>
      <c r="P60" s="292" t="str">
        <f t="shared" si="62"/>
        <v>PTP - Technology</v>
      </c>
      <c r="Q60" s="293">
        <f t="shared" si="42"/>
        <v>268380</v>
      </c>
      <c r="R60" s="294">
        <f t="shared" si="43"/>
        <v>15975</v>
      </c>
      <c r="S60" s="295" t="e">
        <f t="shared" ca="1" si="63"/>
        <v>#VALUE!</v>
      </c>
      <c r="T60" s="295">
        <f t="shared" si="44"/>
        <v>3780</v>
      </c>
      <c r="U60" s="296" t="str">
        <f t="shared" si="64"/>
        <v>Technology - Senior Consultant</v>
      </c>
      <c r="V60" s="295" t="str">
        <f t="shared" si="65"/>
        <v>3-5 years</v>
      </c>
      <c r="W60" s="292" t="str">
        <f t="shared" si="66"/>
        <v>Offshore</v>
      </c>
      <c r="X60" s="292" t="s">
        <v>261</v>
      </c>
      <c r="Y60" s="292" t="s">
        <v>259</v>
      </c>
      <c r="Z60" s="292" t="s">
        <v>364</v>
      </c>
      <c r="AA60" s="297">
        <f>[1]Resourcing!QD64</f>
        <v>62.412222222222198</v>
      </c>
      <c r="AB60" s="298">
        <f t="shared" si="67"/>
        <v>71</v>
      </c>
      <c r="AC60" s="299"/>
      <c r="AD60" s="299"/>
      <c r="AE60" s="299"/>
      <c r="AF60" s="299"/>
      <c r="AG60" s="299"/>
      <c r="AH60" s="299"/>
      <c r="AI60" s="299"/>
      <c r="AJ60" s="299"/>
      <c r="AK60" s="299"/>
      <c r="AL60" s="299"/>
      <c r="AM60" s="299"/>
      <c r="AN60" s="299"/>
      <c r="AO60" s="299"/>
      <c r="AP60" s="299"/>
      <c r="AQ60" s="299"/>
      <c r="AR60" s="299"/>
      <c r="AS60" s="299"/>
      <c r="AT60" s="299"/>
      <c r="AU60" s="299"/>
      <c r="AV60" s="299"/>
      <c r="AW60" s="299"/>
      <c r="AX60" s="299"/>
      <c r="AY60" s="299"/>
      <c r="AZ60" s="299"/>
      <c r="BA60" s="299"/>
      <c r="BB60" s="299"/>
      <c r="BC60" s="299"/>
      <c r="BD60" s="299"/>
      <c r="BE60" s="299"/>
      <c r="BF60" s="299"/>
      <c r="BG60" s="299"/>
      <c r="BH60" s="299"/>
      <c r="BI60" s="299"/>
      <c r="BJ60" s="299">
        <v>45</v>
      </c>
      <c r="BK60" s="299">
        <v>45</v>
      </c>
      <c r="BL60" s="299">
        <v>45</v>
      </c>
      <c r="BM60" s="299">
        <v>45</v>
      </c>
      <c r="BN60" s="299">
        <v>45</v>
      </c>
      <c r="BO60" s="299">
        <v>45</v>
      </c>
      <c r="BP60" s="299">
        <v>45</v>
      </c>
      <c r="BQ60" s="299">
        <v>45</v>
      </c>
      <c r="BR60" s="299"/>
      <c r="BS60" s="299"/>
      <c r="BT60" s="299">
        <v>45</v>
      </c>
      <c r="BU60" s="299">
        <v>45</v>
      </c>
      <c r="BV60" s="299">
        <v>45</v>
      </c>
      <c r="BW60" s="299">
        <v>45</v>
      </c>
      <c r="BX60" s="299">
        <v>45</v>
      </c>
      <c r="BY60" s="299">
        <v>45</v>
      </c>
      <c r="BZ60" s="299">
        <v>45</v>
      </c>
      <c r="CA60" s="299">
        <v>45</v>
      </c>
      <c r="CB60" s="299">
        <v>45</v>
      </c>
      <c r="CC60" s="299">
        <v>45</v>
      </c>
      <c r="CD60" s="299">
        <v>45</v>
      </c>
      <c r="CE60" s="299">
        <v>45</v>
      </c>
      <c r="CF60" s="299">
        <v>45</v>
      </c>
      <c r="CG60" s="299">
        <v>45</v>
      </c>
      <c r="CH60" s="299">
        <v>45</v>
      </c>
      <c r="CI60" s="299">
        <v>45</v>
      </c>
      <c r="CJ60" s="299">
        <v>45</v>
      </c>
      <c r="CK60" s="299">
        <v>45</v>
      </c>
      <c r="CL60" s="299">
        <v>45</v>
      </c>
      <c r="CM60" s="299">
        <v>45</v>
      </c>
      <c r="CN60" s="299">
        <v>45</v>
      </c>
      <c r="CO60" s="299">
        <v>45</v>
      </c>
      <c r="CP60" s="299">
        <v>45</v>
      </c>
      <c r="CQ60" s="299">
        <v>45</v>
      </c>
      <c r="CR60" s="299">
        <v>45</v>
      </c>
      <c r="CS60" s="299">
        <v>45</v>
      </c>
      <c r="CT60" s="299">
        <v>45</v>
      </c>
      <c r="CU60" s="299">
        <v>45</v>
      </c>
      <c r="CV60" s="299">
        <v>45</v>
      </c>
      <c r="CW60" s="299">
        <v>45</v>
      </c>
      <c r="CX60" s="299">
        <v>45</v>
      </c>
      <c r="CY60" s="299">
        <v>45</v>
      </c>
      <c r="CZ60" s="299">
        <v>45</v>
      </c>
      <c r="DA60" s="299">
        <v>45</v>
      </c>
      <c r="DB60" s="299">
        <v>45</v>
      </c>
      <c r="DC60" s="299">
        <v>45</v>
      </c>
      <c r="DD60" s="299">
        <v>45</v>
      </c>
      <c r="DE60" s="299">
        <v>45</v>
      </c>
      <c r="DF60" s="299">
        <v>45</v>
      </c>
      <c r="DG60" s="299">
        <v>45</v>
      </c>
      <c r="DH60" s="299">
        <v>45</v>
      </c>
      <c r="DI60" s="299">
        <v>45</v>
      </c>
      <c r="DJ60" s="299">
        <v>45</v>
      </c>
      <c r="DK60" s="299">
        <v>45</v>
      </c>
      <c r="DL60" s="299">
        <v>45</v>
      </c>
      <c r="DM60" s="299">
        <v>45</v>
      </c>
      <c r="DN60" s="299">
        <v>45</v>
      </c>
      <c r="DO60" s="299">
        <v>45</v>
      </c>
      <c r="DP60" s="299">
        <v>45</v>
      </c>
      <c r="DQ60" s="299">
        <v>45</v>
      </c>
      <c r="DR60" s="299"/>
      <c r="DS60" s="299"/>
      <c r="DT60" s="299">
        <v>45</v>
      </c>
      <c r="DU60" s="299">
        <v>45</v>
      </c>
      <c r="DV60" s="299">
        <v>45</v>
      </c>
      <c r="DW60" s="299">
        <v>45</v>
      </c>
      <c r="DX60" s="299">
        <v>45</v>
      </c>
      <c r="DY60" s="299">
        <v>45</v>
      </c>
      <c r="DZ60" s="299">
        <v>45</v>
      </c>
      <c r="EA60" s="299">
        <v>45</v>
      </c>
      <c r="EB60" s="299">
        <v>45</v>
      </c>
      <c r="EC60" s="299">
        <v>45</v>
      </c>
      <c r="ED60" s="299">
        <v>45</v>
      </c>
      <c r="EE60" s="299">
        <v>45</v>
      </c>
      <c r="EF60" s="299">
        <v>45</v>
      </c>
      <c r="EG60" s="299">
        <v>45</v>
      </c>
      <c r="EH60" s="299">
        <v>45</v>
      </c>
      <c r="EI60" s="299">
        <v>45</v>
      </c>
      <c r="EJ60" s="299">
        <v>45</v>
      </c>
      <c r="EK60" s="299">
        <v>45</v>
      </c>
      <c r="EL60" s="299">
        <v>45</v>
      </c>
      <c r="EM60" s="299">
        <v>45</v>
      </c>
      <c r="EN60" s="299">
        <v>45</v>
      </c>
      <c r="EO60" s="299">
        <v>45</v>
      </c>
      <c r="EP60" s="299">
        <v>45</v>
      </c>
      <c r="EQ60" s="299">
        <v>45</v>
      </c>
      <c r="ER60" s="299">
        <v>45</v>
      </c>
      <c r="ES60" s="299">
        <v>45</v>
      </c>
      <c r="ET60" s="299"/>
      <c r="EU60" s="299"/>
      <c r="EV60" s="299"/>
      <c r="EW60" s="299"/>
      <c r="EX60" s="299"/>
      <c r="EY60" s="299"/>
      <c r="EZ60" s="299"/>
      <c r="FA60" s="299"/>
      <c r="FB60" s="299"/>
      <c r="FC60" s="299"/>
      <c r="FD60" s="299"/>
      <c r="FE60" s="299"/>
      <c r="FF60" s="299"/>
      <c r="FG60" s="299"/>
      <c r="FH60" s="299"/>
      <c r="FI60" s="299"/>
      <c r="FJ60" s="299"/>
      <c r="FK60" s="299"/>
      <c r="FL60" s="299"/>
      <c r="FM60" s="299"/>
      <c r="FN60" s="299"/>
      <c r="FO60" s="299"/>
      <c r="FP60" s="299"/>
      <c r="FQ60" s="300" t="e">
        <f t="shared" ca="1" si="56"/>
        <v>#VALUE!</v>
      </c>
      <c r="FR60" s="300" t="e">
        <f t="shared" ca="1" si="58"/>
        <v>#VALUE!</v>
      </c>
      <c r="FS60" s="300" t="e">
        <f t="shared" ca="1" si="58"/>
        <v>#VALUE!</v>
      </c>
      <c r="FT60" s="300" t="e">
        <f t="shared" ca="1" si="58"/>
        <v>#VALUE!</v>
      </c>
      <c r="FU60" s="300" t="e">
        <f t="shared" ca="1" si="58"/>
        <v>#VALUE!</v>
      </c>
      <c r="FV60" s="300" t="e">
        <f t="shared" ca="1" si="58"/>
        <v>#VALUE!</v>
      </c>
      <c r="FW60" s="300" t="e">
        <f t="shared" ca="1" si="58"/>
        <v>#VALUE!</v>
      </c>
      <c r="FX60" s="300" t="e">
        <f t="shared" ca="1" si="58"/>
        <v>#VALUE!</v>
      </c>
      <c r="FY60" s="300" t="e">
        <f t="shared" ca="1" si="58"/>
        <v>#VALUE!</v>
      </c>
      <c r="FZ60" s="300" t="e">
        <f t="shared" ca="1" si="58"/>
        <v>#VALUE!</v>
      </c>
      <c r="GA60" s="301" t="e">
        <f t="shared" ca="1" si="58"/>
        <v>#VALUE!</v>
      </c>
      <c r="GB60" s="301" t="e">
        <f t="shared" ca="1" si="59"/>
        <v>#VALUE!</v>
      </c>
      <c r="GC60" s="301" t="e">
        <f t="shared" ca="1" si="59"/>
        <v>#VALUE!</v>
      </c>
      <c r="GD60" s="301" t="e">
        <f t="shared" ca="1" si="59"/>
        <v>#VALUE!</v>
      </c>
      <c r="GE60" s="301" t="e">
        <f t="shared" ca="1" si="59"/>
        <v>#VALUE!</v>
      </c>
      <c r="GF60" s="301" t="e">
        <f t="shared" ca="1" si="59"/>
        <v>#VALUE!</v>
      </c>
      <c r="GG60" s="301" t="e">
        <f t="shared" ca="1" si="59"/>
        <v>#VALUE!</v>
      </c>
      <c r="GH60" s="301" t="e">
        <f t="shared" ca="1" si="59"/>
        <v>#VALUE!</v>
      </c>
      <c r="GI60" s="301" t="e">
        <f t="shared" ca="1" si="59"/>
        <v>#VALUE!</v>
      </c>
      <c r="GJ60" s="301" t="e">
        <f t="shared" ca="1" si="59"/>
        <v>#VALUE!</v>
      </c>
      <c r="GK60" s="301" t="e">
        <f t="shared" ca="1" si="59"/>
        <v>#VALUE!</v>
      </c>
      <c r="GL60" s="301" t="e">
        <f t="shared" ca="1" si="59"/>
        <v>#VALUE!</v>
      </c>
      <c r="GM60" s="301" t="e">
        <f t="shared" ca="1" si="59"/>
        <v>#VALUE!</v>
      </c>
      <c r="GN60" s="302" t="e">
        <f t="shared" ca="1" si="59"/>
        <v>#VALUE!</v>
      </c>
      <c r="GO60" s="302" t="e">
        <f t="shared" ca="1" si="59"/>
        <v>#VALUE!</v>
      </c>
      <c r="GP60" s="310">
        <f t="shared" si="68"/>
        <v>90</v>
      </c>
      <c r="GQ60" s="310">
        <f t="shared" si="68"/>
        <v>180</v>
      </c>
      <c r="GR60" s="310">
        <f t="shared" si="68"/>
        <v>180</v>
      </c>
      <c r="GS60" s="310">
        <f t="shared" si="68"/>
        <v>180</v>
      </c>
      <c r="GT60" s="310">
        <f t="shared" si="68"/>
        <v>180</v>
      </c>
      <c r="GU60" s="311">
        <f t="shared" si="68"/>
        <v>180</v>
      </c>
      <c r="GV60" s="310">
        <f t="shared" si="68"/>
        <v>180</v>
      </c>
      <c r="GW60" s="310">
        <f t="shared" si="68"/>
        <v>90</v>
      </c>
      <c r="GX60" s="310">
        <f t="shared" si="68"/>
        <v>0</v>
      </c>
      <c r="GY60" s="310">
        <f t="shared" si="68"/>
        <v>0</v>
      </c>
      <c r="GZ60" s="310">
        <f t="shared" si="68"/>
        <v>0</v>
      </c>
      <c r="HA60" s="310">
        <f t="shared" si="68"/>
        <v>0</v>
      </c>
      <c r="HB60" s="310">
        <f t="shared" si="68"/>
        <v>0</v>
      </c>
      <c r="HC60" s="310">
        <f t="shared" si="68"/>
        <v>0</v>
      </c>
      <c r="HD60" s="310">
        <f t="shared" si="68"/>
        <v>0</v>
      </c>
      <c r="HE60" s="310">
        <f t="shared" si="68"/>
        <v>0</v>
      </c>
      <c r="HF60" s="304" t="e">
        <f t="shared" ca="1" si="69"/>
        <v>#VALUE!</v>
      </c>
      <c r="HG60" s="305" t="e">
        <f ca="1">HF60-S117</f>
        <v>#VALUE!</v>
      </c>
    </row>
    <row r="61" spans="1:215" s="306" customFormat="1" ht="15.75" customHeight="1">
      <c r="A61" s="309"/>
      <c r="B61" s="292" t="s">
        <v>85</v>
      </c>
      <c r="C61" s="292" t="s">
        <v>197</v>
      </c>
      <c r="D61" s="292" t="s">
        <v>225</v>
      </c>
      <c r="E61" s="292" t="s">
        <v>417</v>
      </c>
      <c r="F61" s="292" t="s">
        <v>184</v>
      </c>
      <c r="G61" s="292" t="s">
        <v>350</v>
      </c>
      <c r="H61" s="292" t="s">
        <v>351</v>
      </c>
      <c r="I61" s="292" t="s">
        <v>352</v>
      </c>
      <c r="J61" s="292" t="s">
        <v>184</v>
      </c>
      <c r="K61" s="292" t="s">
        <v>353</v>
      </c>
      <c r="L61" s="292" t="s">
        <v>359</v>
      </c>
      <c r="M61" s="292" t="s">
        <v>363</v>
      </c>
      <c r="N61" s="292" t="str">
        <f t="shared" si="60"/>
        <v>PTP-Accounts Payable</v>
      </c>
      <c r="O61" s="292" t="str">
        <f t="shared" si="61"/>
        <v>Technology-Analyst-India-Consulting</v>
      </c>
      <c r="P61" s="292" t="str">
        <f t="shared" si="62"/>
        <v>PTP - Technology</v>
      </c>
      <c r="Q61" s="293">
        <f t="shared" si="42"/>
        <v>157680</v>
      </c>
      <c r="R61" s="294">
        <f t="shared" si="43"/>
        <v>0</v>
      </c>
      <c r="S61" s="295" t="e">
        <f t="shared" ca="1" si="63"/>
        <v>#VALUE!</v>
      </c>
      <c r="T61" s="295">
        <f t="shared" si="44"/>
        <v>3285</v>
      </c>
      <c r="U61" s="296" t="str">
        <f t="shared" si="64"/>
        <v>Technology - Analyst</v>
      </c>
      <c r="V61" s="295" t="str">
        <f t="shared" si="65"/>
        <v>0-1 years</v>
      </c>
      <c r="W61" s="292" t="str">
        <f t="shared" si="66"/>
        <v>Offshore</v>
      </c>
      <c r="X61" s="292" t="s">
        <v>261</v>
      </c>
      <c r="Y61" s="292" t="s">
        <v>259</v>
      </c>
      <c r="Z61" s="292" t="s">
        <v>384</v>
      </c>
      <c r="AA61" s="297">
        <f>[1]Resourcing!QD65</f>
        <v>62.412222222222198</v>
      </c>
      <c r="AB61" s="298">
        <f t="shared" si="67"/>
        <v>48</v>
      </c>
      <c r="AC61" s="299"/>
      <c r="AD61" s="299"/>
      <c r="AE61" s="299"/>
      <c r="AF61" s="299"/>
      <c r="AG61" s="299"/>
      <c r="AH61" s="299"/>
      <c r="AI61" s="299"/>
      <c r="AJ61" s="299"/>
      <c r="AK61" s="299"/>
      <c r="AL61" s="299"/>
      <c r="AM61" s="299"/>
      <c r="AN61" s="299"/>
      <c r="AO61" s="299"/>
      <c r="AP61" s="299"/>
      <c r="AQ61" s="299"/>
      <c r="AR61" s="299"/>
      <c r="AS61" s="299"/>
      <c r="AT61" s="299"/>
      <c r="AU61" s="299"/>
      <c r="AV61" s="299"/>
      <c r="AW61" s="299"/>
      <c r="AX61" s="299"/>
      <c r="AY61" s="299"/>
      <c r="AZ61" s="299"/>
      <c r="BA61" s="299"/>
      <c r="BB61" s="299"/>
      <c r="BC61" s="299"/>
      <c r="BD61" s="299"/>
      <c r="BE61" s="299"/>
      <c r="BF61" s="299"/>
      <c r="BG61" s="299"/>
      <c r="BH61" s="299"/>
      <c r="BI61" s="299"/>
      <c r="BJ61" s="299"/>
      <c r="BK61" s="299"/>
      <c r="BL61" s="299"/>
      <c r="BM61" s="299"/>
      <c r="BN61" s="299"/>
      <c r="BO61" s="299"/>
      <c r="BP61" s="299"/>
      <c r="BQ61" s="299"/>
      <c r="BR61" s="299"/>
      <c r="BS61" s="299"/>
      <c r="BT61" s="299">
        <v>45</v>
      </c>
      <c r="BU61" s="299">
        <v>45</v>
      </c>
      <c r="BV61" s="299">
        <v>45</v>
      </c>
      <c r="BW61" s="299">
        <v>45</v>
      </c>
      <c r="BX61" s="299">
        <v>45</v>
      </c>
      <c r="BY61" s="299">
        <v>45</v>
      </c>
      <c r="BZ61" s="299">
        <v>45</v>
      </c>
      <c r="CA61" s="299">
        <v>45</v>
      </c>
      <c r="CB61" s="299">
        <v>45</v>
      </c>
      <c r="CC61" s="299">
        <v>45</v>
      </c>
      <c r="CD61" s="299">
        <v>45</v>
      </c>
      <c r="CE61" s="299">
        <v>45</v>
      </c>
      <c r="CF61" s="299">
        <v>45</v>
      </c>
      <c r="CG61" s="299">
        <v>45</v>
      </c>
      <c r="CH61" s="299">
        <v>45</v>
      </c>
      <c r="CI61" s="299">
        <v>45</v>
      </c>
      <c r="CJ61" s="299">
        <v>45</v>
      </c>
      <c r="CK61" s="299">
        <v>45</v>
      </c>
      <c r="CL61" s="299">
        <v>45</v>
      </c>
      <c r="CM61" s="299">
        <v>45</v>
      </c>
      <c r="CN61" s="299">
        <v>45</v>
      </c>
      <c r="CO61" s="299">
        <v>45</v>
      </c>
      <c r="CP61" s="299">
        <v>45</v>
      </c>
      <c r="CQ61" s="299">
        <v>45</v>
      </c>
      <c r="CR61" s="299">
        <v>45</v>
      </c>
      <c r="CS61" s="299">
        <v>45</v>
      </c>
      <c r="CT61" s="299">
        <v>45</v>
      </c>
      <c r="CU61" s="299">
        <v>45</v>
      </c>
      <c r="CV61" s="299">
        <v>45</v>
      </c>
      <c r="CW61" s="299">
        <v>45</v>
      </c>
      <c r="CX61" s="299">
        <v>45</v>
      </c>
      <c r="CY61" s="299">
        <v>45</v>
      </c>
      <c r="CZ61" s="299">
        <v>45</v>
      </c>
      <c r="DA61" s="299">
        <v>45</v>
      </c>
      <c r="DB61" s="299">
        <v>45</v>
      </c>
      <c r="DC61" s="299">
        <v>45</v>
      </c>
      <c r="DD61" s="299">
        <v>45</v>
      </c>
      <c r="DE61" s="299">
        <v>45</v>
      </c>
      <c r="DF61" s="299">
        <v>45</v>
      </c>
      <c r="DG61" s="299">
        <v>45</v>
      </c>
      <c r="DH61" s="299">
        <v>45</v>
      </c>
      <c r="DI61" s="299">
        <v>45</v>
      </c>
      <c r="DJ61" s="299">
        <v>45</v>
      </c>
      <c r="DK61" s="299">
        <v>45</v>
      </c>
      <c r="DL61" s="299">
        <v>45</v>
      </c>
      <c r="DM61" s="299">
        <v>45</v>
      </c>
      <c r="DN61" s="299">
        <v>45</v>
      </c>
      <c r="DO61" s="299">
        <v>45</v>
      </c>
      <c r="DP61" s="299">
        <v>45</v>
      </c>
      <c r="DQ61" s="299">
        <v>45</v>
      </c>
      <c r="DR61" s="299"/>
      <c r="DS61" s="299"/>
      <c r="DT61" s="299">
        <v>45</v>
      </c>
      <c r="DU61" s="299">
        <v>45</v>
      </c>
      <c r="DV61" s="299">
        <v>45</v>
      </c>
      <c r="DW61" s="299">
        <v>45</v>
      </c>
      <c r="DX61" s="299">
        <v>45</v>
      </c>
      <c r="DY61" s="299">
        <v>45</v>
      </c>
      <c r="DZ61" s="299">
        <v>45</v>
      </c>
      <c r="EA61" s="299">
        <v>45</v>
      </c>
      <c r="EB61" s="299">
        <v>45</v>
      </c>
      <c r="EC61" s="299">
        <v>45</v>
      </c>
      <c r="ED61" s="299">
        <v>45</v>
      </c>
      <c r="EE61" s="299">
        <v>45</v>
      </c>
      <c r="EF61" s="299">
        <v>45</v>
      </c>
      <c r="EG61" s="299">
        <v>45</v>
      </c>
      <c r="EH61" s="299">
        <v>45</v>
      </c>
      <c r="EI61" s="299">
        <v>45</v>
      </c>
      <c r="EJ61" s="299">
        <v>45</v>
      </c>
      <c r="EK61" s="299">
        <v>45</v>
      </c>
      <c r="EL61" s="299">
        <v>45</v>
      </c>
      <c r="EM61" s="299">
        <v>45</v>
      </c>
      <c r="EN61" s="299">
        <v>45</v>
      </c>
      <c r="EO61" s="299">
        <v>45</v>
      </c>
      <c r="EP61" s="299">
        <v>45</v>
      </c>
      <c r="EQ61" s="299"/>
      <c r="ER61" s="299"/>
      <c r="ES61" s="299"/>
      <c r="ET61" s="299"/>
      <c r="EU61" s="299"/>
      <c r="EV61" s="299"/>
      <c r="EW61" s="299"/>
      <c r="EX61" s="299"/>
      <c r="EY61" s="299"/>
      <c r="EZ61" s="299"/>
      <c r="FA61" s="299"/>
      <c r="FB61" s="299"/>
      <c r="FC61" s="299"/>
      <c r="FD61" s="299"/>
      <c r="FE61" s="299"/>
      <c r="FF61" s="299"/>
      <c r="FG61" s="299"/>
      <c r="FH61" s="299"/>
      <c r="FI61" s="299"/>
      <c r="FJ61" s="299"/>
      <c r="FK61" s="299"/>
      <c r="FL61" s="299"/>
      <c r="FM61" s="299"/>
      <c r="FN61" s="299"/>
      <c r="FO61" s="299"/>
      <c r="FP61" s="299"/>
      <c r="FQ61" s="300" t="e">
        <f t="shared" ca="1" si="56"/>
        <v>#VALUE!</v>
      </c>
      <c r="FR61" s="300" t="e">
        <f t="shared" ca="1" si="58"/>
        <v>#VALUE!</v>
      </c>
      <c r="FS61" s="300" t="e">
        <f t="shared" ca="1" si="58"/>
        <v>#VALUE!</v>
      </c>
      <c r="FT61" s="300" t="e">
        <f t="shared" ca="1" si="58"/>
        <v>#VALUE!</v>
      </c>
      <c r="FU61" s="300" t="e">
        <f t="shared" ca="1" si="58"/>
        <v>#VALUE!</v>
      </c>
      <c r="FV61" s="300" t="e">
        <f t="shared" ca="1" si="58"/>
        <v>#VALUE!</v>
      </c>
      <c r="FW61" s="300" t="e">
        <f t="shared" ca="1" si="58"/>
        <v>#VALUE!</v>
      </c>
      <c r="FX61" s="300" t="e">
        <f t="shared" ca="1" si="58"/>
        <v>#VALUE!</v>
      </c>
      <c r="FY61" s="300" t="e">
        <f t="shared" ca="1" si="58"/>
        <v>#VALUE!</v>
      </c>
      <c r="FZ61" s="300" t="e">
        <f t="shared" ca="1" si="58"/>
        <v>#VALUE!</v>
      </c>
      <c r="GA61" s="301" t="e">
        <f t="shared" ca="1" si="58"/>
        <v>#VALUE!</v>
      </c>
      <c r="GB61" s="301" t="e">
        <f t="shared" ca="1" si="59"/>
        <v>#VALUE!</v>
      </c>
      <c r="GC61" s="301" t="e">
        <f t="shared" ca="1" si="59"/>
        <v>#VALUE!</v>
      </c>
      <c r="GD61" s="301" t="e">
        <f t="shared" ca="1" si="59"/>
        <v>#VALUE!</v>
      </c>
      <c r="GE61" s="301" t="e">
        <f t="shared" ca="1" si="59"/>
        <v>#VALUE!</v>
      </c>
      <c r="GF61" s="301" t="e">
        <f t="shared" ca="1" si="59"/>
        <v>#VALUE!</v>
      </c>
      <c r="GG61" s="301" t="e">
        <f t="shared" ca="1" si="59"/>
        <v>#VALUE!</v>
      </c>
      <c r="GH61" s="301" t="e">
        <f t="shared" ca="1" si="59"/>
        <v>#VALUE!</v>
      </c>
      <c r="GI61" s="301" t="e">
        <f t="shared" ca="1" si="59"/>
        <v>#VALUE!</v>
      </c>
      <c r="GJ61" s="301" t="e">
        <f t="shared" ca="1" si="59"/>
        <v>#VALUE!</v>
      </c>
      <c r="GK61" s="301" t="e">
        <f t="shared" ca="1" si="59"/>
        <v>#VALUE!</v>
      </c>
      <c r="GL61" s="301" t="e">
        <f t="shared" ca="1" si="59"/>
        <v>#VALUE!</v>
      </c>
      <c r="GM61" s="301" t="e">
        <f t="shared" ca="1" si="59"/>
        <v>#VALUE!</v>
      </c>
      <c r="GN61" s="302" t="e">
        <f t="shared" ca="1" si="59"/>
        <v>#VALUE!</v>
      </c>
      <c r="GO61" s="302" t="e">
        <f t="shared" ca="1" si="59"/>
        <v>#VALUE!</v>
      </c>
      <c r="GP61" s="310">
        <f t="shared" si="68"/>
        <v>90</v>
      </c>
      <c r="GQ61" s="310">
        <f t="shared" si="68"/>
        <v>180</v>
      </c>
      <c r="GR61" s="310">
        <f t="shared" si="68"/>
        <v>180</v>
      </c>
      <c r="GS61" s="310">
        <f t="shared" si="68"/>
        <v>180</v>
      </c>
      <c r="GT61" s="310">
        <f t="shared" si="68"/>
        <v>180</v>
      </c>
      <c r="GU61" s="311">
        <f t="shared" si="68"/>
        <v>180</v>
      </c>
      <c r="GV61" s="310">
        <f t="shared" si="68"/>
        <v>135</v>
      </c>
      <c r="GW61" s="310">
        <f t="shared" si="68"/>
        <v>0</v>
      </c>
      <c r="GX61" s="310">
        <f t="shared" si="68"/>
        <v>0</v>
      </c>
      <c r="GY61" s="310">
        <f t="shared" si="68"/>
        <v>0</v>
      </c>
      <c r="GZ61" s="310">
        <f t="shared" si="68"/>
        <v>0</v>
      </c>
      <c r="HA61" s="310">
        <f t="shared" si="68"/>
        <v>0</v>
      </c>
      <c r="HB61" s="310">
        <f t="shared" si="68"/>
        <v>0</v>
      </c>
      <c r="HC61" s="310">
        <f t="shared" si="68"/>
        <v>0</v>
      </c>
      <c r="HD61" s="310">
        <f t="shared" si="68"/>
        <v>0</v>
      </c>
      <c r="HE61" s="310">
        <f t="shared" si="68"/>
        <v>0</v>
      </c>
      <c r="HF61" s="304" t="e">
        <f t="shared" ca="1" si="69"/>
        <v>#VALUE!</v>
      </c>
      <c r="HG61" s="305" t="e">
        <f ca="1">HF61-S118</f>
        <v>#VALUE!</v>
      </c>
    </row>
    <row r="62" spans="1:215" s="306" customFormat="1" ht="15.75" customHeight="1">
      <c r="A62" s="309"/>
      <c r="B62" s="292" t="s">
        <v>85</v>
      </c>
      <c r="C62" s="292" t="s">
        <v>197</v>
      </c>
      <c r="D62" s="292" t="s">
        <v>225</v>
      </c>
      <c r="E62" s="292" t="s">
        <v>418</v>
      </c>
      <c r="F62" s="292" t="s">
        <v>184</v>
      </c>
      <c r="G62" s="292" t="s">
        <v>350</v>
      </c>
      <c r="H62" s="292" t="s">
        <v>351</v>
      </c>
      <c r="I62" s="292" t="s">
        <v>352</v>
      </c>
      <c r="J62" s="292" t="s">
        <v>184</v>
      </c>
      <c r="K62" s="292" t="s">
        <v>353</v>
      </c>
      <c r="L62" s="292" t="s">
        <v>359</v>
      </c>
      <c r="M62" s="292" t="s">
        <v>363</v>
      </c>
      <c r="N62" s="292" t="str">
        <f t="shared" si="60"/>
        <v>PTP-Accounts Payable</v>
      </c>
      <c r="O62" s="292" t="str">
        <f t="shared" si="61"/>
        <v>Technology-Analyst-India-Consulting</v>
      </c>
      <c r="P62" s="292" t="str">
        <f t="shared" si="62"/>
        <v>PTP - Technology</v>
      </c>
      <c r="Q62" s="293">
        <f t="shared" si="42"/>
        <v>86400</v>
      </c>
      <c r="R62" s="294">
        <f t="shared" si="43"/>
        <v>0</v>
      </c>
      <c r="S62" s="295" t="e">
        <f t="shared" ca="1" si="63"/>
        <v>#VALUE!</v>
      </c>
      <c r="T62" s="295">
        <f t="shared" si="44"/>
        <v>1800</v>
      </c>
      <c r="U62" s="296" t="str">
        <f t="shared" si="64"/>
        <v>Technology - Analyst</v>
      </c>
      <c r="V62" s="295" t="str">
        <f t="shared" si="65"/>
        <v>0-1 years</v>
      </c>
      <c r="W62" s="292" t="str">
        <f t="shared" si="66"/>
        <v>Offshore</v>
      </c>
      <c r="X62" s="292" t="s">
        <v>261</v>
      </c>
      <c r="Y62" s="292" t="s">
        <v>259</v>
      </c>
      <c r="Z62" s="292" t="s">
        <v>384</v>
      </c>
      <c r="AA62" s="297">
        <f>[1]Resourcing!QD66</f>
        <v>53.05</v>
      </c>
      <c r="AB62" s="298">
        <f t="shared" si="67"/>
        <v>48</v>
      </c>
      <c r="AC62" s="299"/>
      <c r="AD62" s="299"/>
      <c r="AE62" s="299"/>
      <c r="AF62" s="299"/>
      <c r="AG62" s="299"/>
      <c r="AH62" s="299"/>
      <c r="AI62" s="299"/>
      <c r="AJ62" s="299"/>
      <c r="AK62" s="299"/>
      <c r="AL62" s="299"/>
      <c r="AM62" s="299"/>
      <c r="AN62" s="299"/>
      <c r="AO62" s="299"/>
      <c r="AP62" s="299"/>
      <c r="AQ62" s="299"/>
      <c r="AR62" s="299"/>
      <c r="AS62" s="299"/>
      <c r="AT62" s="299"/>
      <c r="AU62" s="299"/>
      <c r="AV62" s="299"/>
      <c r="AW62" s="299"/>
      <c r="AX62" s="299"/>
      <c r="AY62" s="299"/>
      <c r="AZ62" s="299"/>
      <c r="BA62" s="299"/>
      <c r="BB62" s="299"/>
      <c r="BC62" s="299"/>
      <c r="BD62" s="299"/>
      <c r="BE62" s="299"/>
      <c r="BF62" s="299"/>
      <c r="BG62" s="299"/>
      <c r="BH62" s="299"/>
      <c r="BI62" s="299"/>
      <c r="BJ62" s="299"/>
      <c r="BK62" s="299"/>
      <c r="BL62" s="299"/>
      <c r="BM62" s="299"/>
      <c r="BN62" s="299"/>
      <c r="BO62" s="299"/>
      <c r="BP62" s="299"/>
      <c r="BQ62" s="299"/>
      <c r="BR62" s="299"/>
      <c r="BS62" s="299"/>
      <c r="BT62" s="299"/>
      <c r="BU62" s="299"/>
      <c r="BV62" s="299"/>
      <c r="BW62" s="299"/>
      <c r="BX62" s="299"/>
      <c r="BY62" s="299"/>
      <c r="BZ62" s="299"/>
      <c r="CA62" s="299"/>
      <c r="CB62" s="299"/>
      <c r="CC62" s="299"/>
      <c r="CD62" s="299">
        <v>45</v>
      </c>
      <c r="CE62" s="299">
        <v>45</v>
      </c>
      <c r="CF62" s="299">
        <v>45</v>
      </c>
      <c r="CG62" s="299">
        <v>45</v>
      </c>
      <c r="CH62" s="299">
        <v>45</v>
      </c>
      <c r="CI62" s="299">
        <v>45</v>
      </c>
      <c r="CJ62" s="299">
        <v>45</v>
      </c>
      <c r="CK62" s="299">
        <v>45</v>
      </c>
      <c r="CL62" s="299">
        <v>45</v>
      </c>
      <c r="CM62" s="299">
        <v>45</v>
      </c>
      <c r="CN62" s="299">
        <v>45</v>
      </c>
      <c r="CO62" s="299">
        <v>45</v>
      </c>
      <c r="CP62" s="299">
        <v>45</v>
      </c>
      <c r="CQ62" s="299">
        <v>45</v>
      </c>
      <c r="CR62" s="299">
        <v>45</v>
      </c>
      <c r="CS62" s="299">
        <v>45</v>
      </c>
      <c r="CT62" s="299">
        <v>45</v>
      </c>
      <c r="CU62" s="299">
        <v>45</v>
      </c>
      <c r="CV62" s="299">
        <v>45</v>
      </c>
      <c r="CW62" s="299">
        <v>45</v>
      </c>
      <c r="CX62" s="299">
        <v>45</v>
      </c>
      <c r="CY62" s="299">
        <v>45</v>
      </c>
      <c r="CZ62" s="299">
        <v>45</v>
      </c>
      <c r="DA62" s="299">
        <v>45</v>
      </c>
      <c r="DB62" s="299">
        <v>45</v>
      </c>
      <c r="DC62" s="299">
        <v>45</v>
      </c>
      <c r="DD62" s="299">
        <v>45</v>
      </c>
      <c r="DE62" s="299">
        <v>45</v>
      </c>
      <c r="DF62" s="299">
        <v>45</v>
      </c>
      <c r="DG62" s="299">
        <v>45</v>
      </c>
      <c r="DH62" s="299">
        <v>45</v>
      </c>
      <c r="DI62" s="299">
        <v>45</v>
      </c>
      <c r="DJ62" s="299">
        <v>45</v>
      </c>
      <c r="DK62" s="299">
        <v>45</v>
      </c>
      <c r="DL62" s="299">
        <v>45</v>
      </c>
      <c r="DM62" s="299">
        <v>45</v>
      </c>
      <c r="DN62" s="299">
        <v>45</v>
      </c>
      <c r="DO62" s="299">
        <v>45</v>
      </c>
      <c r="DP62" s="299">
        <v>45</v>
      </c>
      <c r="DQ62" s="299">
        <v>45</v>
      </c>
      <c r="DR62" s="299"/>
      <c r="DS62" s="299"/>
      <c r="DT62" s="299"/>
      <c r="DU62" s="299"/>
      <c r="DV62" s="299"/>
      <c r="DW62" s="299"/>
      <c r="DX62" s="299"/>
      <c r="DY62" s="299"/>
      <c r="DZ62" s="299"/>
      <c r="EA62" s="299"/>
      <c r="EB62" s="299"/>
      <c r="EC62" s="299"/>
      <c r="ED62" s="299"/>
      <c r="EE62" s="299"/>
      <c r="EF62" s="299"/>
      <c r="EG62" s="299"/>
      <c r="EH62" s="299"/>
      <c r="EI62" s="299"/>
      <c r="EJ62" s="299"/>
      <c r="EK62" s="299"/>
      <c r="EL62" s="299"/>
      <c r="EM62" s="299"/>
      <c r="EN62" s="299"/>
      <c r="EO62" s="299"/>
      <c r="EP62" s="299"/>
      <c r="EQ62" s="299"/>
      <c r="ER62" s="299"/>
      <c r="ES62" s="299"/>
      <c r="ET62" s="299"/>
      <c r="EU62" s="299"/>
      <c r="EV62" s="299"/>
      <c r="EW62" s="299"/>
      <c r="EX62" s="299"/>
      <c r="EY62" s="299"/>
      <c r="EZ62" s="299"/>
      <c r="FA62" s="299"/>
      <c r="FB62" s="299"/>
      <c r="FC62" s="299"/>
      <c r="FD62" s="299"/>
      <c r="FE62" s="299"/>
      <c r="FF62" s="299"/>
      <c r="FG62" s="299"/>
      <c r="FH62" s="299"/>
      <c r="FI62" s="299"/>
      <c r="FJ62" s="299"/>
      <c r="FK62" s="299"/>
      <c r="FL62" s="299"/>
      <c r="FM62" s="299"/>
      <c r="FN62" s="299"/>
      <c r="FO62" s="299"/>
      <c r="FP62" s="299"/>
      <c r="FQ62" s="300" t="e">
        <f t="shared" ca="1" si="56"/>
        <v>#VALUE!</v>
      </c>
      <c r="FR62" s="300" t="e">
        <f t="shared" ca="1" si="58"/>
        <v>#VALUE!</v>
      </c>
      <c r="FS62" s="300" t="e">
        <f t="shared" ca="1" si="58"/>
        <v>#VALUE!</v>
      </c>
      <c r="FT62" s="300" t="e">
        <f t="shared" ca="1" si="58"/>
        <v>#VALUE!</v>
      </c>
      <c r="FU62" s="300" t="e">
        <f t="shared" ca="1" si="58"/>
        <v>#VALUE!</v>
      </c>
      <c r="FV62" s="300" t="e">
        <f t="shared" ca="1" si="58"/>
        <v>#VALUE!</v>
      </c>
      <c r="FW62" s="300" t="e">
        <f t="shared" ca="1" si="58"/>
        <v>#VALUE!</v>
      </c>
      <c r="FX62" s="300" t="e">
        <f t="shared" ca="1" si="58"/>
        <v>#VALUE!</v>
      </c>
      <c r="FY62" s="300" t="e">
        <f t="shared" ca="1" si="58"/>
        <v>#VALUE!</v>
      </c>
      <c r="FZ62" s="300" t="e">
        <f t="shared" ca="1" si="58"/>
        <v>#VALUE!</v>
      </c>
      <c r="GA62" s="301" t="e">
        <f t="shared" ca="1" si="58"/>
        <v>#VALUE!</v>
      </c>
      <c r="GB62" s="301" t="e">
        <f t="shared" ca="1" si="59"/>
        <v>#VALUE!</v>
      </c>
      <c r="GC62" s="301" t="e">
        <f t="shared" ca="1" si="59"/>
        <v>#VALUE!</v>
      </c>
      <c r="GD62" s="301" t="e">
        <f t="shared" ca="1" si="59"/>
        <v>#VALUE!</v>
      </c>
      <c r="GE62" s="301" t="e">
        <f t="shared" ca="1" si="59"/>
        <v>#VALUE!</v>
      </c>
      <c r="GF62" s="301" t="e">
        <f t="shared" ca="1" si="59"/>
        <v>#VALUE!</v>
      </c>
      <c r="GG62" s="301" t="e">
        <f t="shared" ca="1" si="59"/>
        <v>#VALUE!</v>
      </c>
      <c r="GH62" s="301" t="e">
        <f t="shared" ca="1" si="59"/>
        <v>#VALUE!</v>
      </c>
      <c r="GI62" s="301" t="e">
        <f t="shared" ca="1" si="59"/>
        <v>#VALUE!</v>
      </c>
      <c r="GJ62" s="301" t="e">
        <f t="shared" ca="1" si="59"/>
        <v>#VALUE!</v>
      </c>
      <c r="GK62" s="301" t="e">
        <f t="shared" ca="1" si="59"/>
        <v>#VALUE!</v>
      </c>
      <c r="GL62" s="301" t="e">
        <f t="shared" ca="1" si="59"/>
        <v>#VALUE!</v>
      </c>
      <c r="GM62" s="301" t="e">
        <f t="shared" ca="1" si="59"/>
        <v>#VALUE!</v>
      </c>
      <c r="GN62" s="302" t="e">
        <f t="shared" ca="1" si="59"/>
        <v>#VALUE!</v>
      </c>
      <c r="GO62" s="302" t="e">
        <f t="shared" ca="1" si="59"/>
        <v>#VALUE!</v>
      </c>
      <c r="GP62" s="310">
        <f t="shared" si="68"/>
        <v>90</v>
      </c>
      <c r="GQ62" s="310">
        <f t="shared" si="68"/>
        <v>0</v>
      </c>
      <c r="GR62" s="310">
        <f t="shared" si="68"/>
        <v>0</v>
      </c>
      <c r="GS62" s="310">
        <f t="shared" si="68"/>
        <v>0</v>
      </c>
      <c r="GT62" s="310">
        <f t="shared" si="68"/>
        <v>0</v>
      </c>
      <c r="GU62" s="311">
        <f t="shared" si="68"/>
        <v>0</v>
      </c>
      <c r="GV62" s="310">
        <f t="shared" si="68"/>
        <v>0</v>
      </c>
      <c r="GW62" s="310">
        <f t="shared" si="68"/>
        <v>0</v>
      </c>
      <c r="GX62" s="310">
        <f t="shared" si="68"/>
        <v>0</v>
      </c>
      <c r="GY62" s="310">
        <f t="shared" si="68"/>
        <v>0</v>
      </c>
      <c r="GZ62" s="310">
        <f t="shared" si="68"/>
        <v>0</v>
      </c>
      <c r="HA62" s="310">
        <f t="shared" si="68"/>
        <v>0</v>
      </c>
      <c r="HB62" s="310">
        <f t="shared" si="68"/>
        <v>0</v>
      </c>
      <c r="HC62" s="310">
        <f t="shared" si="68"/>
        <v>0</v>
      </c>
      <c r="HD62" s="310">
        <f t="shared" si="68"/>
        <v>0</v>
      </c>
      <c r="HE62" s="310">
        <f t="shared" si="68"/>
        <v>0</v>
      </c>
      <c r="HF62" s="304" t="e">
        <f t="shared" ca="1" si="69"/>
        <v>#VALUE!</v>
      </c>
      <c r="HG62" s="305" t="e">
        <f ca="1">HF62-#REF!</f>
        <v>#REF!</v>
      </c>
    </row>
    <row r="63" spans="1:215" s="306" customFormat="1" ht="15.75" customHeight="1">
      <c r="A63" s="309"/>
      <c r="B63" s="292" t="s">
        <v>85</v>
      </c>
      <c r="C63" s="292" t="s">
        <v>197</v>
      </c>
      <c r="D63" s="292" t="s">
        <v>225</v>
      </c>
      <c r="E63" s="292" t="s">
        <v>419</v>
      </c>
      <c r="F63" s="292" t="s">
        <v>184</v>
      </c>
      <c r="G63" s="292" t="s">
        <v>350</v>
      </c>
      <c r="H63" s="292" t="s">
        <v>351</v>
      </c>
      <c r="I63" s="292" t="s">
        <v>352</v>
      </c>
      <c r="J63" s="292" t="s">
        <v>184</v>
      </c>
      <c r="K63" s="292" t="s">
        <v>353</v>
      </c>
      <c r="L63" s="292" t="s">
        <v>359</v>
      </c>
      <c r="M63" s="292" t="s">
        <v>363</v>
      </c>
      <c r="N63" s="292" t="str">
        <f t="shared" si="60"/>
        <v>PTP-Accounts Payable</v>
      </c>
      <c r="O63" s="292" t="str">
        <f t="shared" si="61"/>
        <v>Technology-Analyst-India-Consulting</v>
      </c>
      <c r="P63" s="292" t="str">
        <f t="shared" si="62"/>
        <v>PTP - Technology</v>
      </c>
      <c r="Q63" s="293">
        <f t="shared" si="42"/>
        <v>86400</v>
      </c>
      <c r="R63" s="294">
        <f t="shared" si="43"/>
        <v>0</v>
      </c>
      <c r="S63" s="295" t="e">
        <f t="shared" ca="1" si="63"/>
        <v>#VALUE!</v>
      </c>
      <c r="T63" s="295">
        <f t="shared" si="44"/>
        <v>1800</v>
      </c>
      <c r="U63" s="296" t="str">
        <f t="shared" si="64"/>
        <v>Technology - Analyst</v>
      </c>
      <c r="V63" s="295" t="str">
        <f t="shared" si="65"/>
        <v>0-1 years</v>
      </c>
      <c r="W63" s="292" t="str">
        <f t="shared" si="66"/>
        <v>Offshore</v>
      </c>
      <c r="X63" s="292" t="s">
        <v>261</v>
      </c>
      <c r="Y63" s="292" t="s">
        <v>259</v>
      </c>
      <c r="Z63" s="292" t="s">
        <v>384</v>
      </c>
      <c r="AA63" s="297">
        <f>[1]Resourcing!QD67</f>
        <v>62.584523809523802</v>
      </c>
      <c r="AB63" s="298">
        <f t="shared" si="67"/>
        <v>48</v>
      </c>
      <c r="AC63" s="299"/>
      <c r="AD63" s="299"/>
      <c r="AE63" s="299"/>
      <c r="AF63" s="299"/>
      <c r="AG63" s="299"/>
      <c r="AH63" s="299"/>
      <c r="AI63" s="299"/>
      <c r="AJ63" s="299"/>
      <c r="AK63" s="299"/>
      <c r="AL63" s="299"/>
      <c r="AM63" s="299"/>
      <c r="AN63" s="299"/>
      <c r="AO63" s="299"/>
      <c r="AP63" s="299"/>
      <c r="AQ63" s="299"/>
      <c r="AR63" s="299"/>
      <c r="AS63" s="299"/>
      <c r="AT63" s="299"/>
      <c r="AU63" s="299"/>
      <c r="AV63" s="299"/>
      <c r="AW63" s="299"/>
      <c r="AX63" s="299"/>
      <c r="AY63" s="299"/>
      <c r="AZ63" s="299"/>
      <c r="BA63" s="299"/>
      <c r="BB63" s="299"/>
      <c r="BC63" s="299"/>
      <c r="BD63" s="299"/>
      <c r="BE63" s="299"/>
      <c r="BF63" s="299"/>
      <c r="BG63" s="299"/>
      <c r="BH63" s="299"/>
      <c r="BI63" s="299"/>
      <c r="BJ63" s="299"/>
      <c r="BK63" s="299"/>
      <c r="BL63" s="299"/>
      <c r="BM63" s="299"/>
      <c r="BN63" s="299"/>
      <c r="BO63" s="299"/>
      <c r="BP63" s="299"/>
      <c r="BQ63" s="299"/>
      <c r="BR63" s="299"/>
      <c r="BS63" s="299"/>
      <c r="BT63" s="299"/>
      <c r="BU63" s="299"/>
      <c r="BV63" s="299"/>
      <c r="BW63" s="299"/>
      <c r="BX63" s="299"/>
      <c r="BY63" s="299"/>
      <c r="BZ63" s="299"/>
      <c r="CA63" s="299"/>
      <c r="CB63" s="299"/>
      <c r="CC63" s="299"/>
      <c r="CD63" s="299"/>
      <c r="CE63" s="299"/>
      <c r="CF63" s="299"/>
      <c r="CG63" s="299"/>
      <c r="CH63" s="299"/>
      <c r="CI63" s="299"/>
      <c r="CJ63" s="299"/>
      <c r="CK63" s="299"/>
      <c r="CL63" s="299"/>
      <c r="CM63" s="299"/>
      <c r="CN63" s="299"/>
      <c r="CO63" s="299"/>
      <c r="CP63" s="299"/>
      <c r="CQ63" s="299"/>
      <c r="CR63" s="299"/>
      <c r="CS63" s="299"/>
      <c r="CT63" s="299"/>
      <c r="CU63" s="299"/>
      <c r="CV63" s="299"/>
      <c r="CW63" s="299">
        <v>45</v>
      </c>
      <c r="CX63" s="299">
        <v>45</v>
      </c>
      <c r="CY63" s="299">
        <v>45</v>
      </c>
      <c r="CZ63" s="299">
        <v>45</v>
      </c>
      <c r="DA63" s="299">
        <v>45</v>
      </c>
      <c r="DB63" s="299">
        <v>45</v>
      </c>
      <c r="DC63" s="299">
        <v>45</v>
      </c>
      <c r="DD63" s="299">
        <v>45</v>
      </c>
      <c r="DE63" s="299">
        <v>45</v>
      </c>
      <c r="DF63" s="299">
        <v>45</v>
      </c>
      <c r="DG63" s="299">
        <v>45</v>
      </c>
      <c r="DH63" s="299">
        <v>45</v>
      </c>
      <c r="DI63" s="299">
        <v>45</v>
      </c>
      <c r="DJ63" s="299">
        <v>45</v>
      </c>
      <c r="DK63" s="299">
        <v>45</v>
      </c>
      <c r="DL63" s="299">
        <v>45</v>
      </c>
      <c r="DM63" s="299">
        <v>45</v>
      </c>
      <c r="DN63" s="299">
        <v>45</v>
      </c>
      <c r="DO63" s="299">
        <v>45</v>
      </c>
      <c r="DP63" s="299">
        <v>45</v>
      </c>
      <c r="DQ63" s="299">
        <v>45</v>
      </c>
      <c r="DR63" s="299"/>
      <c r="DS63" s="299"/>
      <c r="DT63" s="299">
        <v>45</v>
      </c>
      <c r="DU63" s="299">
        <v>45</v>
      </c>
      <c r="DV63" s="299">
        <v>45</v>
      </c>
      <c r="DW63" s="299">
        <v>45</v>
      </c>
      <c r="DX63" s="299">
        <v>45</v>
      </c>
      <c r="DY63" s="299">
        <v>45</v>
      </c>
      <c r="DZ63" s="299">
        <v>45</v>
      </c>
      <c r="EA63" s="299">
        <v>45</v>
      </c>
      <c r="EB63" s="299">
        <v>45</v>
      </c>
      <c r="EC63" s="299">
        <v>45</v>
      </c>
      <c r="ED63" s="299">
        <v>45</v>
      </c>
      <c r="EE63" s="299">
        <v>45</v>
      </c>
      <c r="EF63" s="299">
        <v>45</v>
      </c>
      <c r="EG63" s="299">
        <v>45</v>
      </c>
      <c r="EH63" s="299">
        <v>45</v>
      </c>
      <c r="EI63" s="299">
        <v>45</v>
      </c>
      <c r="EJ63" s="299">
        <v>45</v>
      </c>
      <c r="EK63" s="299">
        <v>45</v>
      </c>
      <c r="EL63" s="299">
        <v>45</v>
      </c>
      <c r="EM63" s="299"/>
      <c r="EN63" s="299"/>
      <c r="EO63" s="299"/>
      <c r="EP63" s="299"/>
      <c r="EQ63" s="299"/>
      <c r="ER63" s="299"/>
      <c r="ES63" s="299"/>
      <c r="ET63" s="299"/>
      <c r="EU63" s="299"/>
      <c r="EV63" s="299"/>
      <c r="EW63" s="299"/>
      <c r="EX63" s="299"/>
      <c r="EY63" s="299"/>
      <c r="EZ63" s="299"/>
      <c r="FA63" s="299"/>
      <c r="FB63" s="299"/>
      <c r="FC63" s="299"/>
      <c r="FD63" s="299"/>
      <c r="FE63" s="299"/>
      <c r="FF63" s="299"/>
      <c r="FG63" s="299"/>
      <c r="FH63" s="299"/>
      <c r="FI63" s="299"/>
      <c r="FJ63" s="299"/>
      <c r="FK63" s="299"/>
      <c r="FL63" s="299"/>
      <c r="FM63" s="299"/>
      <c r="FN63" s="299"/>
      <c r="FO63" s="299"/>
      <c r="FP63" s="299"/>
      <c r="FQ63" s="300" t="e">
        <f t="shared" ca="1" si="56"/>
        <v>#VALUE!</v>
      </c>
      <c r="FR63" s="300" t="e">
        <f t="shared" ref="FR63:GA72" ca="1" si="70">SUMIF($AC$11:$FP$11,FR$12,$AC63:$FP63)</f>
        <v>#VALUE!</v>
      </c>
      <c r="FS63" s="300" t="e">
        <f t="shared" ca="1" si="70"/>
        <v>#VALUE!</v>
      </c>
      <c r="FT63" s="300" t="e">
        <f t="shared" ca="1" si="70"/>
        <v>#VALUE!</v>
      </c>
      <c r="FU63" s="300" t="e">
        <f t="shared" ca="1" si="70"/>
        <v>#VALUE!</v>
      </c>
      <c r="FV63" s="300" t="e">
        <f t="shared" ca="1" si="70"/>
        <v>#VALUE!</v>
      </c>
      <c r="FW63" s="300" t="e">
        <f t="shared" ca="1" si="70"/>
        <v>#VALUE!</v>
      </c>
      <c r="FX63" s="300" t="e">
        <f t="shared" ca="1" si="70"/>
        <v>#VALUE!</v>
      </c>
      <c r="FY63" s="300" t="e">
        <f t="shared" ca="1" si="70"/>
        <v>#VALUE!</v>
      </c>
      <c r="FZ63" s="300" t="e">
        <f t="shared" ca="1" si="70"/>
        <v>#VALUE!</v>
      </c>
      <c r="GA63" s="301" t="e">
        <f t="shared" ca="1" si="70"/>
        <v>#VALUE!</v>
      </c>
      <c r="GB63" s="301" t="e">
        <f t="shared" ref="GB63:GO72" ca="1" si="71">SUMIF($AC$11:$FP$11,GB$12,$AC63:$FP63)</f>
        <v>#VALUE!</v>
      </c>
      <c r="GC63" s="301" t="e">
        <f t="shared" ca="1" si="71"/>
        <v>#VALUE!</v>
      </c>
      <c r="GD63" s="301" t="e">
        <f t="shared" ca="1" si="71"/>
        <v>#VALUE!</v>
      </c>
      <c r="GE63" s="301" t="e">
        <f t="shared" ca="1" si="71"/>
        <v>#VALUE!</v>
      </c>
      <c r="GF63" s="301" t="e">
        <f t="shared" ca="1" si="71"/>
        <v>#VALUE!</v>
      </c>
      <c r="GG63" s="301" t="e">
        <f t="shared" ca="1" si="71"/>
        <v>#VALUE!</v>
      </c>
      <c r="GH63" s="301" t="e">
        <f t="shared" ca="1" si="71"/>
        <v>#VALUE!</v>
      </c>
      <c r="GI63" s="301" t="e">
        <f t="shared" ca="1" si="71"/>
        <v>#VALUE!</v>
      </c>
      <c r="GJ63" s="301" t="e">
        <f t="shared" ca="1" si="71"/>
        <v>#VALUE!</v>
      </c>
      <c r="GK63" s="301" t="e">
        <f t="shared" ca="1" si="71"/>
        <v>#VALUE!</v>
      </c>
      <c r="GL63" s="301" t="e">
        <f t="shared" ca="1" si="71"/>
        <v>#VALUE!</v>
      </c>
      <c r="GM63" s="301" t="e">
        <f t="shared" ca="1" si="71"/>
        <v>#VALUE!</v>
      </c>
      <c r="GN63" s="302" t="e">
        <f t="shared" ca="1" si="71"/>
        <v>#VALUE!</v>
      </c>
      <c r="GO63" s="302" t="e">
        <f t="shared" ca="1" si="71"/>
        <v>#VALUE!</v>
      </c>
      <c r="GP63" s="310">
        <f t="shared" si="68"/>
        <v>90</v>
      </c>
      <c r="GQ63" s="310">
        <f t="shared" si="68"/>
        <v>180</v>
      </c>
      <c r="GR63" s="310">
        <f t="shared" si="68"/>
        <v>180</v>
      </c>
      <c r="GS63" s="310">
        <f t="shared" si="68"/>
        <v>180</v>
      </c>
      <c r="GT63" s="310">
        <f t="shared" si="68"/>
        <v>180</v>
      </c>
      <c r="GU63" s="311">
        <f t="shared" si="68"/>
        <v>135</v>
      </c>
      <c r="GV63" s="310">
        <f t="shared" si="68"/>
        <v>0</v>
      </c>
      <c r="GW63" s="310">
        <f t="shared" si="68"/>
        <v>0</v>
      </c>
      <c r="GX63" s="310">
        <f t="shared" si="68"/>
        <v>0</v>
      </c>
      <c r="GY63" s="310">
        <f t="shared" si="68"/>
        <v>0</v>
      </c>
      <c r="GZ63" s="310">
        <f t="shared" si="68"/>
        <v>0</v>
      </c>
      <c r="HA63" s="310">
        <f t="shared" si="68"/>
        <v>0</v>
      </c>
      <c r="HB63" s="310">
        <f t="shared" si="68"/>
        <v>0</v>
      </c>
      <c r="HC63" s="310">
        <f t="shared" si="68"/>
        <v>0</v>
      </c>
      <c r="HD63" s="310">
        <f t="shared" si="68"/>
        <v>0</v>
      </c>
      <c r="HE63" s="310">
        <f t="shared" si="68"/>
        <v>0</v>
      </c>
      <c r="HF63" s="304" t="e">
        <f t="shared" ca="1" si="69"/>
        <v>#VALUE!</v>
      </c>
      <c r="HG63" s="305" t="e">
        <f ca="1">HF63-S133</f>
        <v>#VALUE!</v>
      </c>
    </row>
    <row r="64" spans="1:215" s="306" customFormat="1" ht="15.75" customHeight="1">
      <c r="A64" s="309"/>
      <c r="B64" s="292"/>
      <c r="C64" s="292"/>
      <c r="D64" s="292"/>
      <c r="E64" s="292"/>
      <c r="F64" s="292"/>
      <c r="G64" s="292"/>
      <c r="H64" s="292"/>
      <c r="I64" s="292"/>
      <c r="J64" s="292"/>
      <c r="K64" s="292"/>
      <c r="L64" s="292"/>
      <c r="M64" s="292"/>
      <c r="N64" s="292"/>
      <c r="O64" s="292"/>
      <c r="P64" s="292"/>
      <c r="Q64" s="293">
        <f t="shared" si="42"/>
        <v>0</v>
      </c>
      <c r="R64" s="294">
        <f t="shared" si="43"/>
        <v>0</v>
      </c>
      <c r="S64" s="295"/>
      <c r="T64" s="295">
        <f t="shared" si="44"/>
        <v>0</v>
      </c>
      <c r="U64" s="296"/>
      <c r="V64" s="295"/>
      <c r="W64" s="292"/>
      <c r="X64" s="292"/>
      <c r="Y64" s="292"/>
      <c r="Z64" s="292"/>
      <c r="AA64" s="297">
        <f>[1]Resourcing!QD68</f>
        <v>42.823835616438402</v>
      </c>
      <c r="AB64" s="298"/>
      <c r="AC64" s="317"/>
      <c r="AD64" s="317"/>
      <c r="AE64" s="317"/>
      <c r="AF64" s="317"/>
      <c r="AG64" s="317"/>
      <c r="AH64" s="317"/>
      <c r="AI64" s="317"/>
      <c r="AJ64" s="317"/>
      <c r="AK64" s="317"/>
      <c r="AL64" s="317"/>
      <c r="AM64" s="317"/>
      <c r="AN64" s="317"/>
      <c r="AO64" s="317"/>
      <c r="AP64" s="317"/>
      <c r="AQ64" s="317"/>
      <c r="AR64" s="317"/>
      <c r="AS64" s="317"/>
      <c r="AT64" s="317"/>
      <c r="AU64" s="317"/>
      <c r="AV64" s="317"/>
      <c r="AW64" s="317"/>
      <c r="AX64" s="317"/>
      <c r="AY64" s="317"/>
      <c r="AZ64" s="317"/>
      <c r="BA64" s="317"/>
      <c r="BB64" s="317"/>
      <c r="BC64" s="317"/>
      <c r="BD64" s="317"/>
      <c r="BE64" s="317"/>
      <c r="BF64" s="317"/>
      <c r="BG64" s="317"/>
      <c r="BH64" s="317"/>
      <c r="BI64" s="317"/>
      <c r="BJ64" s="317"/>
      <c r="BK64" s="317"/>
      <c r="BL64" s="317"/>
      <c r="BM64" s="317"/>
      <c r="BN64" s="317"/>
      <c r="BO64" s="317"/>
      <c r="BP64" s="317"/>
      <c r="BQ64" s="317"/>
      <c r="BR64" s="317"/>
      <c r="BS64" s="317"/>
      <c r="BT64" s="317"/>
      <c r="BU64" s="317"/>
      <c r="BV64" s="317"/>
      <c r="BW64" s="317"/>
      <c r="BX64" s="317"/>
      <c r="BY64" s="317"/>
      <c r="BZ64" s="317"/>
      <c r="CA64" s="317"/>
      <c r="CB64" s="317"/>
      <c r="CC64" s="317"/>
      <c r="CD64" s="317"/>
      <c r="CE64" s="317"/>
      <c r="CF64" s="317"/>
      <c r="CG64" s="317"/>
      <c r="CH64" s="317"/>
      <c r="CI64" s="317"/>
      <c r="CJ64" s="317"/>
      <c r="CK64" s="317"/>
      <c r="CL64" s="317"/>
      <c r="CM64" s="317"/>
      <c r="CN64" s="317"/>
      <c r="CO64" s="317"/>
      <c r="CP64" s="317"/>
      <c r="CQ64" s="317"/>
      <c r="CR64" s="317"/>
      <c r="CS64" s="317"/>
      <c r="CT64" s="317"/>
      <c r="CU64" s="317"/>
      <c r="CV64" s="317"/>
      <c r="CW64" s="317"/>
      <c r="CX64" s="317"/>
      <c r="CY64" s="317"/>
      <c r="CZ64" s="317"/>
      <c r="DA64" s="317"/>
      <c r="DB64" s="317"/>
      <c r="DC64" s="317"/>
      <c r="DD64" s="317"/>
      <c r="DE64" s="317"/>
      <c r="DF64" s="317"/>
      <c r="DG64" s="317"/>
      <c r="DH64" s="317"/>
      <c r="DI64" s="317"/>
      <c r="DJ64" s="317"/>
      <c r="DK64" s="317"/>
      <c r="DL64" s="317"/>
      <c r="DM64" s="317"/>
      <c r="DN64" s="317"/>
      <c r="DO64" s="317"/>
      <c r="DP64" s="317"/>
      <c r="DQ64" s="317"/>
      <c r="DR64" s="317"/>
      <c r="DS64" s="317"/>
      <c r="DT64" s="317"/>
      <c r="DU64" s="317"/>
      <c r="DV64" s="317"/>
      <c r="DW64" s="317"/>
      <c r="DX64" s="317"/>
      <c r="DY64" s="317"/>
      <c r="DZ64" s="317"/>
      <c r="EA64" s="317"/>
      <c r="EB64" s="317"/>
      <c r="EC64" s="317"/>
      <c r="ED64" s="317"/>
      <c r="EE64" s="317"/>
      <c r="EF64" s="317"/>
      <c r="EG64" s="317"/>
      <c r="EH64" s="317"/>
      <c r="EI64" s="317"/>
      <c r="EJ64" s="317"/>
      <c r="EK64" s="317"/>
      <c r="EL64" s="317"/>
      <c r="EM64" s="317"/>
      <c r="EN64" s="317"/>
      <c r="EO64" s="317"/>
      <c r="EP64" s="317"/>
      <c r="EQ64" s="317"/>
      <c r="ER64" s="317"/>
      <c r="ES64" s="317"/>
      <c r="ET64" s="317"/>
      <c r="EU64" s="317"/>
      <c r="EV64" s="317"/>
      <c r="EW64" s="317"/>
      <c r="EX64" s="317"/>
      <c r="EY64" s="317"/>
      <c r="EZ64" s="317"/>
      <c r="FA64" s="317"/>
      <c r="FB64" s="317"/>
      <c r="FC64" s="317"/>
      <c r="FD64" s="317"/>
      <c r="FE64" s="317"/>
      <c r="FF64" s="317"/>
      <c r="FG64" s="317"/>
      <c r="FH64" s="317"/>
      <c r="FI64" s="317"/>
      <c r="FJ64" s="317"/>
      <c r="FK64" s="317"/>
      <c r="FL64" s="317"/>
      <c r="FM64" s="317"/>
      <c r="FN64" s="317"/>
      <c r="FO64" s="317"/>
      <c r="FP64" s="317"/>
      <c r="FQ64" s="300" t="e">
        <f t="shared" ca="1" si="56"/>
        <v>#VALUE!</v>
      </c>
      <c r="FR64" s="300" t="e">
        <f t="shared" ca="1" si="70"/>
        <v>#VALUE!</v>
      </c>
      <c r="FS64" s="300" t="e">
        <f t="shared" ca="1" si="70"/>
        <v>#VALUE!</v>
      </c>
      <c r="FT64" s="300" t="e">
        <f t="shared" ca="1" si="70"/>
        <v>#VALUE!</v>
      </c>
      <c r="FU64" s="300" t="e">
        <f t="shared" ca="1" si="70"/>
        <v>#VALUE!</v>
      </c>
      <c r="FV64" s="300" t="e">
        <f t="shared" ca="1" si="70"/>
        <v>#VALUE!</v>
      </c>
      <c r="FW64" s="300" t="e">
        <f t="shared" ca="1" si="70"/>
        <v>#VALUE!</v>
      </c>
      <c r="FX64" s="300" t="e">
        <f t="shared" ca="1" si="70"/>
        <v>#VALUE!</v>
      </c>
      <c r="FY64" s="300" t="e">
        <f t="shared" ca="1" si="70"/>
        <v>#VALUE!</v>
      </c>
      <c r="FZ64" s="300" t="e">
        <f t="shared" ca="1" si="70"/>
        <v>#VALUE!</v>
      </c>
      <c r="GA64" s="301" t="e">
        <f t="shared" ca="1" si="70"/>
        <v>#VALUE!</v>
      </c>
      <c r="GB64" s="301" t="e">
        <f t="shared" ca="1" si="71"/>
        <v>#VALUE!</v>
      </c>
      <c r="GC64" s="301" t="e">
        <f t="shared" ca="1" si="71"/>
        <v>#VALUE!</v>
      </c>
      <c r="GD64" s="301" t="e">
        <f t="shared" ca="1" si="71"/>
        <v>#VALUE!</v>
      </c>
      <c r="GE64" s="301" t="e">
        <f t="shared" ca="1" si="71"/>
        <v>#VALUE!</v>
      </c>
      <c r="GF64" s="301" t="e">
        <f t="shared" ca="1" si="71"/>
        <v>#VALUE!</v>
      </c>
      <c r="GG64" s="301" t="e">
        <f t="shared" ca="1" si="71"/>
        <v>#VALUE!</v>
      </c>
      <c r="GH64" s="301" t="e">
        <f t="shared" ca="1" si="71"/>
        <v>#VALUE!</v>
      </c>
      <c r="GI64" s="301" t="e">
        <f t="shared" ca="1" si="71"/>
        <v>#VALUE!</v>
      </c>
      <c r="GJ64" s="301" t="e">
        <f t="shared" ca="1" si="71"/>
        <v>#VALUE!</v>
      </c>
      <c r="GK64" s="301" t="e">
        <f t="shared" ca="1" si="71"/>
        <v>#VALUE!</v>
      </c>
      <c r="GL64" s="301" t="e">
        <f t="shared" ca="1" si="71"/>
        <v>#VALUE!</v>
      </c>
      <c r="GM64" s="301" t="e">
        <f t="shared" ca="1" si="71"/>
        <v>#VALUE!</v>
      </c>
      <c r="GN64" s="302" t="e">
        <f t="shared" ca="1" si="71"/>
        <v>#VALUE!</v>
      </c>
      <c r="GO64" s="302" t="e">
        <f t="shared" ca="1" si="71"/>
        <v>#VALUE!</v>
      </c>
      <c r="GP64" s="310">
        <f t="shared" si="68"/>
        <v>0</v>
      </c>
      <c r="GQ64" s="310">
        <f t="shared" si="68"/>
        <v>0</v>
      </c>
      <c r="GR64" s="310">
        <f t="shared" si="68"/>
        <v>0</v>
      </c>
      <c r="GS64" s="310">
        <f t="shared" si="68"/>
        <v>0</v>
      </c>
      <c r="GT64" s="310">
        <f t="shared" si="68"/>
        <v>0</v>
      </c>
      <c r="GU64" s="311">
        <f t="shared" si="68"/>
        <v>0</v>
      </c>
      <c r="GV64" s="310">
        <f t="shared" si="68"/>
        <v>0</v>
      </c>
      <c r="GW64" s="310">
        <f t="shared" si="68"/>
        <v>0</v>
      </c>
      <c r="GX64" s="310">
        <f t="shared" si="68"/>
        <v>0</v>
      </c>
      <c r="GY64" s="310">
        <f t="shared" si="68"/>
        <v>0</v>
      </c>
      <c r="GZ64" s="310">
        <f t="shared" si="68"/>
        <v>0</v>
      </c>
      <c r="HA64" s="310">
        <f t="shared" si="68"/>
        <v>0</v>
      </c>
      <c r="HB64" s="310">
        <f t="shared" si="68"/>
        <v>0</v>
      </c>
      <c r="HC64" s="310">
        <f t="shared" si="68"/>
        <v>0</v>
      </c>
      <c r="HD64" s="310">
        <f t="shared" si="68"/>
        <v>0</v>
      </c>
      <c r="HE64" s="310">
        <f t="shared" si="68"/>
        <v>0</v>
      </c>
      <c r="HF64" s="304" t="e">
        <f t="shared" ca="1" si="69"/>
        <v>#VALUE!</v>
      </c>
      <c r="HG64" s="305" t="e">
        <f ca="1">HF64-S134</f>
        <v>#VALUE!</v>
      </c>
    </row>
    <row r="65" spans="1:215" s="323" customFormat="1" ht="15.75" customHeight="1">
      <c r="A65" s="318"/>
      <c r="B65" s="292" t="s">
        <v>85</v>
      </c>
      <c r="C65" s="292" t="s">
        <v>195</v>
      </c>
      <c r="D65" s="292" t="s">
        <v>218</v>
      </c>
      <c r="E65" s="292" t="s">
        <v>420</v>
      </c>
      <c r="F65" s="292" t="s">
        <v>186</v>
      </c>
      <c r="G65" s="292" t="s">
        <v>350</v>
      </c>
      <c r="H65" s="292" t="s">
        <v>351</v>
      </c>
      <c r="I65" s="292" t="s">
        <v>352</v>
      </c>
      <c r="J65" s="292" t="s">
        <v>186</v>
      </c>
      <c r="K65" s="292" t="s">
        <v>353</v>
      </c>
      <c r="L65" s="292" t="s">
        <v>359</v>
      </c>
      <c r="M65" s="292" t="s">
        <v>371</v>
      </c>
      <c r="N65" s="292" t="str">
        <f t="shared" ref="N65:N76" si="72">_xlfn.CONCAT(C65,"-",D65)</f>
        <v>PTD-Delivery  Warehouse</v>
      </c>
      <c r="O65" s="292" t="str">
        <f t="shared" ref="O65:O76" si="73">_xlfn.CONCAT(Y65,"-",Z65,"-",F65,"-",X65)</f>
        <v>Technology-Senior Consultant-US-Consulting</v>
      </c>
      <c r="P65" s="292" t="str">
        <f t="shared" ref="P65:P76" si="74">_xlfn.CONCAT(C65," - ",Y65)</f>
        <v>PTD - Technology</v>
      </c>
      <c r="Q65" s="293">
        <f t="shared" si="42"/>
        <v>1076400</v>
      </c>
      <c r="R65" s="294">
        <f t="shared" si="43"/>
        <v>140400</v>
      </c>
      <c r="S65" s="295">
        <f t="shared" ref="S65:S76" si="75">SUM(GP65:HN65)</f>
        <v>0</v>
      </c>
      <c r="T65" s="295">
        <f t="shared" si="44"/>
        <v>4140</v>
      </c>
      <c r="U65" s="296" t="str">
        <f t="shared" ref="U65:U76" si="76">_xlfn.CONCAT(Y65," - ",Z65)</f>
        <v>Technology - Senior Consultant</v>
      </c>
      <c r="V65" s="295" t="str">
        <f t="shared" ref="V65:V76" si="77">VLOOKUP(O65,$B$187:$H$848,4,0)</f>
        <v>3-5 years</v>
      </c>
      <c r="W65" s="292" t="str">
        <f t="shared" ref="W65:W76" si="78">IF(F65="US", "Onshore",IF(F65="India","Offshore", "Nearshore"))</f>
        <v>Onshore</v>
      </c>
      <c r="X65" s="292" t="s">
        <v>261</v>
      </c>
      <c r="Y65" s="292" t="s">
        <v>259</v>
      </c>
      <c r="Z65" s="292" t="s">
        <v>364</v>
      </c>
      <c r="AA65" s="297">
        <f>[1]Resourcing!QD69</f>
        <v>42.783499999999997</v>
      </c>
      <c r="AB65" s="298">
        <f t="shared" ref="AB65:AB76" si="79">IFERROR(VLOOKUP(O65,$B$187:$S$848,6,FALSE()),"combination not found")</f>
        <v>260</v>
      </c>
      <c r="AC65" s="299"/>
      <c r="AD65" s="299"/>
      <c r="AE65" s="299"/>
      <c r="AF65" s="299"/>
      <c r="AG65" s="299"/>
      <c r="AH65" s="299"/>
      <c r="AI65" s="299"/>
      <c r="AJ65" s="299"/>
      <c r="AK65" s="299"/>
      <c r="AL65" s="299"/>
      <c r="AM65" s="299"/>
      <c r="AN65" s="299"/>
      <c r="AO65" s="299"/>
      <c r="AP65" s="299"/>
      <c r="AQ65" s="299"/>
      <c r="AR65" s="299"/>
      <c r="AS65" s="299"/>
      <c r="AT65" s="299"/>
      <c r="AU65" s="299"/>
      <c r="AV65" s="299"/>
      <c r="AW65" s="299"/>
      <c r="AX65" s="299"/>
      <c r="AY65" s="299"/>
      <c r="AZ65" s="299"/>
      <c r="BA65" s="299"/>
      <c r="BB65" s="299"/>
      <c r="BC65" s="299">
        <v>45</v>
      </c>
      <c r="BD65" s="299">
        <v>45</v>
      </c>
      <c r="BE65" s="299">
        <v>45</v>
      </c>
      <c r="BF65" s="299">
        <v>45</v>
      </c>
      <c r="BG65" s="299">
        <v>45</v>
      </c>
      <c r="BH65" s="299">
        <v>45</v>
      </c>
      <c r="BI65" s="299">
        <v>45</v>
      </c>
      <c r="BJ65" s="299">
        <v>45</v>
      </c>
      <c r="BK65" s="299">
        <v>45</v>
      </c>
      <c r="BL65" s="299">
        <v>45</v>
      </c>
      <c r="BM65" s="299">
        <v>45</v>
      </c>
      <c r="BN65" s="299">
        <v>45</v>
      </c>
      <c r="BO65" s="299">
        <v>45</v>
      </c>
      <c r="BP65" s="299">
        <v>45</v>
      </c>
      <c r="BQ65" s="299">
        <v>45</v>
      </c>
      <c r="BR65" s="299"/>
      <c r="BS65" s="299" t="s">
        <v>421</v>
      </c>
      <c r="BT65" s="299">
        <v>45</v>
      </c>
      <c r="BU65" s="299">
        <v>45</v>
      </c>
      <c r="BV65" s="299">
        <v>45</v>
      </c>
      <c r="BW65" s="299">
        <v>45</v>
      </c>
      <c r="BX65" s="299">
        <v>45</v>
      </c>
      <c r="BY65" s="299">
        <v>45</v>
      </c>
      <c r="BZ65" s="299">
        <v>45</v>
      </c>
      <c r="CA65" s="299">
        <v>45</v>
      </c>
      <c r="CB65" s="299">
        <v>45</v>
      </c>
      <c r="CC65" s="299">
        <v>45</v>
      </c>
      <c r="CD65" s="299">
        <v>45</v>
      </c>
      <c r="CE65" s="299">
        <v>45</v>
      </c>
      <c r="CF65" s="299">
        <v>45</v>
      </c>
      <c r="CG65" s="299">
        <v>45</v>
      </c>
      <c r="CH65" s="299">
        <v>45</v>
      </c>
      <c r="CI65" s="299">
        <v>45</v>
      </c>
      <c r="CJ65" s="299">
        <v>45</v>
      </c>
      <c r="CK65" s="299">
        <v>45</v>
      </c>
      <c r="CL65" s="299">
        <v>45</v>
      </c>
      <c r="CM65" s="299">
        <v>45</v>
      </c>
      <c r="CN65" s="299">
        <v>45</v>
      </c>
      <c r="CO65" s="299">
        <v>45</v>
      </c>
      <c r="CP65" s="299">
        <v>45</v>
      </c>
      <c r="CQ65" s="299">
        <v>45</v>
      </c>
      <c r="CR65" s="299">
        <v>45</v>
      </c>
      <c r="CS65" s="299">
        <v>45</v>
      </c>
      <c r="CT65" s="299">
        <v>45</v>
      </c>
      <c r="CU65" s="299">
        <v>45</v>
      </c>
      <c r="CV65" s="299">
        <v>45</v>
      </c>
      <c r="CW65" s="299">
        <v>45</v>
      </c>
      <c r="CX65" s="299">
        <v>45</v>
      </c>
      <c r="CY65" s="299">
        <v>45</v>
      </c>
      <c r="CZ65" s="299">
        <v>45</v>
      </c>
      <c r="DA65" s="299">
        <v>45</v>
      </c>
      <c r="DB65" s="299">
        <v>45</v>
      </c>
      <c r="DC65" s="299">
        <v>45</v>
      </c>
      <c r="DD65" s="299">
        <v>45</v>
      </c>
      <c r="DE65" s="299">
        <v>45</v>
      </c>
      <c r="DF65" s="299">
        <v>45</v>
      </c>
      <c r="DG65" s="299">
        <v>45</v>
      </c>
      <c r="DH65" s="299">
        <v>45</v>
      </c>
      <c r="DI65" s="299">
        <v>45</v>
      </c>
      <c r="DJ65" s="299">
        <v>45</v>
      </c>
      <c r="DK65" s="299">
        <v>45</v>
      </c>
      <c r="DL65" s="299">
        <v>45</v>
      </c>
      <c r="DM65" s="299">
        <v>45</v>
      </c>
      <c r="DN65" s="299">
        <v>45</v>
      </c>
      <c r="DO65" s="299">
        <v>45</v>
      </c>
      <c r="DP65" s="299">
        <v>45</v>
      </c>
      <c r="DQ65" s="299">
        <v>45</v>
      </c>
      <c r="DR65" s="299"/>
      <c r="DS65" s="299"/>
      <c r="DT65" s="299">
        <v>45</v>
      </c>
      <c r="DU65" s="299">
        <v>45</v>
      </c>
      <c r="DV65" s="299">
        <v>45</v>
      </c>
      <c r="DW65" s="299">
        <v>45</v>
      </c>
      <c r="DX65" s="299">
        <v>45</v>
      </c>
      <c r="DY65" s="299">
        <v>45</v>
      </c>
      <c r="DZ65" s="299">
        <v>45</v>
      </c>
      <c r="EA65" s="299">
        <v>45</v>
      </c>
      <c r="EB65" s="299">
        <v>45</v>
      </c>
      <c r="EC65" s="299">
        <v>45</v>
      </c>
      <c r="ED65" s="299">
        <v>45</v>
      </c>
      <c r="EE65" s="299">
        <v>45</v>
      </c>
      <c r="EF65" s="299">
        <v>45</v>
      </c>
      <c r="EG65" s="299">
        <v>45</v>
      </c>
      <c r="EH65" s="299">
        <v>45</v>
      </c>
      <c r="EI65" s="299">
        <v>45</v>
      </c>
      <c r="EJ65" s="299">
        <v>45</v>
      </c>
      <c r="EK65" s="299">
        <v>45</v>
      </c>
      <c r="EL65" s="299">
        <v>45</v>
      </c>
      <c r="EM65" s="299">
        <v>45</v>
      </c>
      <c r="EN65" s="299">
        <v>45</v>
      </c>
      <c r="EO65" s="299">
        <v>45</v>
      </c>
      <c r="EP65" s="299">
        <v>45</v>
      </c>
      <c r="EQ65" s="299">
        <v>45</v>
      </c>
      <c r="ER65" s="299">
        <v>45</v>
      </c>
      <c r="ES65" s="299">
        <v>45</v>
      </c>
      <c r="ET65" s="299">
        <v>45</v>
      </c>
      <c r="EU65" s="299"/>
      <c r="EV65" s="299"/>
      <c r="EW65" s="299"/>
      <c r="EX65" s="299"/>
      <c r="EY65" s="299"/>
      <c r="EZ65" s="299"/>
      <c r="FA65" s="299"/>
      <c r="FB65" s="299"/>
      <c r="FC65" s="299"/>
      <c r="FD65" s="299"/>
      <c r="FE65" s="299"/>
      <c r="FF65" s="299"/>
      <c r="FG65" s="299"/>
      <c r="FH65" s="299"/>
      <c r="FI65" s="299"/>
      <c r="FJ65" s="299"/>
      <c r="FK65" s="299"/>
      <c r="FL65" s="299"/>
      <c r="FM65" s="299"/>
      <c r="FN65" s="299"/>
      <c r="FO65" s="299"/>
      <c r="FP65" s="299"/>
      <c r="FQ65" s="300" t="e">
        <f t="shared" ca="1" si="56"/>
        <v>#VALUE!</v>
      </c>
      <c r="FR65" s="300" t="e">
        <f t="shared" ca="1" si="70"/>
        <v>#VALUE!</v>
      </c>
      <c r="FS65" s="300" t="e">
        <f t="shared" ca="1" si="70"/>
        <v>#VALUE!</v>
      </c>
      <c r="FT65" s="300" t="e">
        <f t="shared" ca="1" si="70"/>
        <v>#VALUE!</v>
      </c>
      <c r="FU65" s="300" t="e">
        <f t="shared" ca="1" si="70"/>
        <v>#VALUE!</v>
      </c>
      <c r="FV65" s="300" t="e">
        <f t="shared" ca="1" si="70"/>
        <v>#VALUE!</v>
      </c>
      <c r="FW65" s="300" t="e">
        <f t="shared" ca="1" si="70"/>
        <v>#VALUE!</v>
      </c>
      <c r="FX65" s="300" t="e">
        <f t="shared" ca="1" si="70"/>
        <v>#VALUE!</v>
      </c>
      <c r="FY65" s="300" t="e">
        <f t="shared" ca="1" si="70"/>
        <v>#VALUE!</v>
      </c>
      <c r="FZ65" s="300" t="e">
        <f t="shared" ca="1" si="70"/>
        <v>#VALUE!</v>
      </c>
      <c r="GA65" s="301" t="e">
        <f t="shared" ca="1" si="70"/>
        <v>#VALUE!</v>
      </c>
      <c r="GB65" s="301" t="e">
        <f t="shared" ca="1" si="71"/>
        <v>#VALUE!</v>
      </c>
      <c r="GC65" s="301" t="e">
        <f t="shared" ca="1" si="71"/>
        <v>#VALUE!</v>
      </c>
      <c r="GD65" s="301" t="e">
        <f t="shared" ca="1" si="71"/>
        <v>#VALUE!</v>
      </c>
      <c r="GE65" s="301" t="e">
        <f t="shared" ca="1" si="71"/>
        <v>#VALUE!</v>
      </c>
      <c r="GF65" s="301" t="e">
        <f t="shared" ca="1" si="71"/>
        <v>#VALUE!</v>
      </c>
      <c r="GG65" s="301" t="e">
        <f t="shared" ca="1" si="71"/>
        <v>#VALUE!</v>
      </c>
      <c r="GH65" s="301" t="e">
        <f t="shared" ca="1" si="71"/>
        <v>#VALUE!</v>
      </c>
      <c r="GI65" s="301" t="e">
        <f t="shared" ca="1" si="71"/>
        <v>#VALUE!</v>
      </c>
      <c r="GJ65" s="301" t="e">
        <f t="shared" ca="1" si="71"/>
        <v>#VALUE!</v>
      </c>
      <c r="GK65" s="301" t="e">
        <f t="shared" ca="1" si="71"/>
        <v>#VALUE!</v>
      </c>
      <c r="GL65" s="301" t="e">
        <f t="shared" ca="1" si="71"/>
        <v>#VALUE!</v>
      </c>
      <c r="GM65" s="301" t="e">
        <f t="shared" ca="1" si="71"/>
        <v>#VALUE!</v>
      </c>
      <c r="GN65" s="302" t="e">
        <f t="shared" ca="1" si="71"/>
        <v>#VALUE!</v>
      </c>
      <c r="GO65" s="302" t="e">
        <f t="shared" ca="1" si="71"/>
        <v>#VALUE!</v>
      </c>
      <c r="GP65" s="319"/>
      <c r="GQ65" s="319"/>
      <c r="GR65" s="319"/>
      <c r="GS65" s="319"/>
      <c r="GT65" s="319"/>
      <c r="GU65" s="320"/>
      <c r="GV65" s="319"/>
      <c r="GW65" s="319"/>
      <c r="GX65" s="319"/>
      <c r="GY65" s="319"/>
      <c r="GZ65" s="319"/>
      <c r="HA65" s="319"/>
      <c r="HB65" s="319"/>
      <c r="HC65" s="319"/>
      <c r="HD65" s="319"/>
      <c r="HE65" s="319"/>
      <c r="HF65" s="321"/>
      <c r="HG65" s="322"/>
    </row>
    <row r="66" spans="1:215" s="306" customFormat="1" ht="15.75" customHeight="1">
      <c r="A66" s="307"/>
      <c r="B66" s="292" t="s">
        <v>85</v>
      </c>
      <c r="C66" s="292" t="s">
        <v>195</v>
      </c>
      <c r="D66" s="292" t="s">
        <v>218</v>
      </c>
      <c r="E66" s="292" t="s">
        <v>420</v>
      </c>
      <c r="F66" s="292" t="s">
        <v>184</v>
      </c>
      <c r="G66" s="292" t="s">
        <v>350</v>
      </c>
      <c r="H66" s="292" t="s">
        <v>351</v>
      </c>
      <c r="I66" s="292" t="s">
        <v>352</v>
      </c>
      <c r="J66" s="292" t="s">
        <v>184</v>
      </c>
      <c r="K66" s="292" t="s">
        <v>353</v>
      </c>
      <c r="L66" s="292" t="s">
        <v>359</v>
      </c>
      <c r="M66" s="292" t="s">
        <v>371</v>
      </c>
      <c r="N66" s="292" t="str">
        <f t="shared" si="72"/>
        <v>PTD-Delivery  Warehouse</v>
      </c>
      <c r="O66" s="292" t="str">
        <f t="shared" si="73"/>
        <v>Technology-Senior Consultant-India-Consulting</v>
      </c>
      <c r="P66" s="292" t="str">
        <f t="shared" si="74"/>
        <v>PTD - Technology</v>
      </c>
      <c r="Q66" s="293">
        <f t="shared" si="42"/>
        <v>293940</v>
      </c>
      <c r="R66" s="294">
        <f t="shared" si="43"/>
        <v>38340</v>
      </c>
      <c r="S66" s="295" t="e">
        <f t="shared" ca="1" si="75"/>
        <v>#VALUE!</v>
      </c>
      <c r="T66" s="295">
        <f t="shared" si="44"/>
        <v>4140</v>
      </c>
      <c r="U66" s="296" t="str">
        <f t="shared" si="76"/>
        <v>Technology - Senior Consultant</v>
      </c>
      <c r="V66" s="295" t="str">
        <f t="shared" si="77"/>
        <v>3-5 years</v>
      </c>
      <c r="W66" s="292" t="str">
        <f t="shared" si="78"/>
        <v>Offshore</v>
      </c>
      <c r="X66" s="292" t="s">
        <v>261</v>
      </c>
      <c r="Y66" s="292" t="s">
        <v>259</v>
      </c>
      <c r="Z66" s="292" t="s">
        <v>364</v>
      </c>
      <c r="AA66" s="297">
        <f>[1]Resourcing!QD70</f>
        <v>43.46</v>
      </c>
      <c r="AB66" s="298">
        <f t="shared" si="79"/>
        <v>71</v>
      </c>
      <c r="AC66" s="299"/>
      <c r="AD66" s="299"/>
      <c r="AE66" s="299"/>
      <c r="AF66" s="299"/>
      <c r="AG66" s="299"/>
      <c r="AH66" s="299"/>
      <c r="AI66" s="299"/>
      <c r="AJ66" s="299"/>
      <c r="AK66" s="299"/>
      <c r="AL66" s="299"/>
      <c r="AM66" s="299"/>
      <c r="AN66" s="299"/>
      <c r="AO66" s="299"/>
      <c r="AP66" s="299"/>
      <c r="AQ66" s="299"/>
      <c r="AR66" s="299"/>
      <c r="AS66" s="299"/>
      <c r="AT66" s="299"/>
      <c r="AU66" s="299"/>
      <c r="AV66" s="299"/>
      <c r="AW66" s="299"/>
      <c r="AX66" s="299"/>
      <c r="AY66" s="299"/>
      <c r="AZ66" s="299"/>
      <c r="BA66" s="299"/>
      <c r="BB66" s="299"/>
      <c r="BC66" s="299">
        <v>45</v>
      </c>
      <c r="BD66" s="299">
        <v>45</v>
      </c>
      <c r="BE66" s="299">
        <v>45</v>
      </c>
      <c r="BF66" s="299">
        <v>45</v>
      </c>
      <c r="BG66" s="299">
        <v>45</v>
      </c>
      <c r="BH66" s="299">
        <v>45</v>
      </c>
      <c r="BI66" s="299">
        <v>45</v>
      </c>
      <c r="BJ66" s="299">
        <v>45</v>
      </c>
      <c r="BK66" s="299">
        <v>45</v>
      </c>
      <c r="BL66" s="299">
        <v>45</v>
      </c>
      <c r="BM66" s="299">
        <v>45</v>
      </c>
      <c r="BN66" s="299">
        <v>45</v>
      </c>
      <c r="BO66" s="299">
        <v>45</v>
      </c>
      <c r="BP66" s="299">
        <v>45</v>
      </c>
      <c r="BQ66" s="299">
        <v>45</v>
      </c>
      <c r="BR66" s="299"/>
      <c r="BS66" s="299" t="s">
        <v>421</v>
      </c>
      <c r="BT66" s="299">
        <v>45</v>
      </c>
      <c r="BU66" s="299">
        <v>45</v>
      </c>
      <c r="BV66" s="299">
        <v>45</v>
      </c>
      <c r="BW66" s="299">
        <v>45</v>
      </c>
      <c r="BX66" s="299">
        <v>45</v>
      </c>
      <c r="BY66" s="299">
        <v>45</v>
      </c>
      <c r="BZ66" s="299">
        <v>45</v>
      </c>
      <c r="CA66" s="299">
        <v>45</v>
      </c>
      <c r="CB66" s="299">
        <v>45</v>
      </c>
      <c r="CC66" s="299">
        <v>45</v>
      </c>
      <c r="CD66" s="299">
        <v>45</v>
      </c>
      <c r="CE66" s="299">
        <v>45</v>
      </c>
      <c r="CF66" s="299">
        <v>45</v>
      </c>
      <c r="CG66" s="299">
        <v>45</v>
      </c>
      <c r="CH66" s="299">
        <v>45</v>
      </c>
      <c r="CI66" s="299">
        <v>45</v>
      </c>
      <c r="CJ66" s="299">
        <v>45</v>
      </c>
      <c r="CK66" s="299">
        <v>45</v>
      </c>
      <c r="CL66" s="299">
        <v>45</v>
      </c>
      <c r="CM66" s="299">
        <v>45</v>
      </c>
      <c r="CN66" s="299">
        <v>45</v>
      </c>
      <c r="CO66" s="299">
        <v>45</v>
      </c>
      <c r="CP66" s="299">
        <v>45</v>
      </c>
      <c r="CQ66" s="299">
        <v>45</v>
      </c>
      <c r="CR66" s="299">
        <v>45</v>
      </c>
      <c r="CS66" s="299">
        <v>45</v>
      </c>
      <c r="CT66" s="299">
        <v>45</v>
      </c>
      <c r="CU66" s="299">
        <v>45</v>
      </c>
      <c r="CV66" s="299">
        <v>45</v>
      </c>
      <c r="CW66" s="299">
        <v>45</v>
      </c>
      <c r="CX66" s="299">
        <v>45</v>
      </c>
      <c r="CY66" s="299">
        <v>45</v>
      </c>
      <c r="CZ66" s="299">
        <v>45</v>
      </c>
      <c r="DA66" s="299">
        <v>45</v>
      </c>
      <c r="DB66" s="299">
        <v>45</v>
      </c>
      <c r="DC66" s="299">
        <v>45</v>
      </c>
      <c r="DD66" s="299">
        <v>45</v>
      </c>
      <c r="DE66" s="299">
        <v>45</v>
      </c>
      <c r="DF66" s="299">
        <v>45</v>
      </c>
      <c r="DG66" s="299">
        <v>45</v>
      </c>
      <c r="DH66" s="299">
        <v>45</v>
      </c>
      <c r="DI66" s="299">
        <v>45</v>
      </c>
      <c r="DJ66" s="299">
        <v>45</v>
      </c>
      <c r="DK66" s="299">
        <v>45</v>
      </c>
      <c r="DL66" s="299">
        <v>45</v>
      </c>
      <c r="DM66" s="299">
        <v>45</v>
      </c>
      <c r="DN66" s="299">
        <v>45</v>
      </c>
      <c r="DO66" s="299">
        <v>45</v>
      </c>
      <c r="DP66" s="299">
        <v>45</v>
      </c>
      <c r="DQ66" s="299">
        <v>45</v>
      </c>
      <c r="DR66" s="299"/>
      <c r="DS66" s="299"/>
      <c r="DT66" s="299">
        <v>45</v>
      </c>
      <c r="DU66" s="299">
        <v>45</v>
      </c>
      <c r="DV66" s="299">
        <v>45</v>
      </c>
      <c r="DW66" s="299">
        <v>45</v>
      </c>
      <c r="DX66" s="299">
        <v>45</v>
      </c>
      <c r="DY66" s="299">
        <v>45</v>
      </c>
      <c r="DZ66" s="299">
        <v>45</v>
      </c>
      <c r="EA66" s="299">
        <v>45</v>
      </c>
      <c r="EB66" s="299">
        <v>45</v>
      </c>
      <c r="EC66" s="299">
        <v>45</v>
      </c>
      <c r="ED66" s="299">
        <v>45</v>
      </c>
      <c r="EE66" s="299">
        <v>45</v>
      </c>
      <c r="EF66" s="299">
        <v>45</v>
      </c>
      <c r="EG66" s="299">
        <v>45</v>
      </c>
      <c r="EH66" s="299">
        <v>45</v>
      </c>
      <c r="EI66" s="299">
        <v>45</v>
      </c>
      <c r="EJ66" s="299">
        <v>45</v>
      </c>
      <c r="EK66" s="299">
        <v>45</v>
      </c>
      <c r="EL66" s="299">
        <v>45</v>
      </c>
      <c r="EM66" s="299">
        <v>45</v>
      </c>
      <c r="EN66" s="299">
        <v>45</v>
      </c>
      <c r="EO66" s="299">
        <v>45</v>
      </c>
      <c r="EP66" s="299">
        <v>45</v>
      </c>
      <c r="EQ66" s="299">
        <v>45</v>
      </c>
      <c r="ER66" s="299">
        <v>45</v>
      </c>
      <c r="ES66" s="299">
        <v>45</v>
      </c>
      <c r="ET66" s="299">
        <v>45</v>
      </c>
      <c r="EU66" s="299"/>
      <c r="EV66" s="299"/>
      <c r="EW66" s="299"/>
      <c r="EX66" s="299"/>
      <c r="EY66" s="299"/>
      <c r="EZ66" s="299"/>
      <c r="FA66" s="299"/>
      <c r="FB66" s="299"/>
      <c r="FC66" s="299"/>
      <c r="FD66" s="299"/>
      <c r="FE66" s="299"/>
      <c r="FF66" s="299"/>
      <c r="FG66" s="299"/>
      <c r="FH66" s="299"/>
      <c r="FI66" s="299"/>
      <c r="FJ66" s="299"/>
      <c r="FK66" s="299"/>
      <c r="FL66" s="299"/>
      <c r="FM66" s="299"/>
      <c r="FN66" s="299"/>
      <c r="FO66" s="299"/>
      <c r="FP66" s="299"/>
      <c r="FQ66" s="300" t="e">
        <f t="shared" ca="1" si="56"/>
        <v>#VALUE!</v>
      </c>
      <c r="FR66" s="300" t="e">
        <f t="shared" ca="1" si="70"/>
        <v>#VALUE!</v>
      </c>
      <c r="FS66" s="300" t="e">
        <f t="shared" ca="1" si="70"/>
        <v>#VALUE!</v>
      </c>
      <c r="FT66" s="300" t="e">
        <f t="shared" ca="1" si="70"/>
        <v>#VALUE!</v>
      </c>
      <c r="FU66" s="300" t="e">
        <f t="shared" ca="1" si="70"/>
        <v>#VALUE!</v>
      </c>
      <c r="FV66" s="300" t="e">
        <f t="shared" ca="1" si="70"/>
        <v>#VALUE!</v>
      </c>
      <c r="FW66" s="300" t="e">
        <f t="shared" ca="1" si="70"/>
        <v>#VALUE!</v>
      </c>
      <c r="FX66" s="300" t="e">
        <f t="shared" ca="1" si="70"/>
        <v>#VALUE!</v>
      </c>
      <c r="FY66" s="300" t="e">
        <f t="shared" ca="1" si="70"/>
        <v>#VALUE!</v>
      </c>
      <c r="FZ66" s="300" t="e">
        <f t="shared" ca="1" si="70"/>
        <v>#VALUE!</v>
      </c>
      <c r="GA66" s="301" t="e">
        <f t="shared" ca="1" si="70"/>
        <v>#VALUE!</v>
      </c>
      <c r="GB66" s="301" t="e">
        <f t="shared" ca="1" si="71"/>
        <v>#VALUE!</v>
      </c>
      <c r="GC66" s="301" t="e">
        <f t="shared" ca="1" si="71"/>
        <v>#VALUE!</v>
      </c>
      <c r="GD66" s="301" t="e">
        <f t="shared" ca="1" si="71"/>
        <v>#VALUE!</v>
      </c>
      <c r="GE66" s="301" t="e">
        <f t="shared" ca="1" si="71"/>
        <v>#VALUE!</v>
      </c>
      <c r="GF66" s="301" t="e">
        <f t="shared" ca="1" si="71"/>
        <v>#VALUE!</v>
      </c>
      <c r="GG66" s="301" t="e">
        <f t="shared" ca="1" si="71"/>
        <v>#VALUE!</v>
      </c>
      <c r="GH66" s="301" t="e">
        <f t="shared" ca="1" si="71"/>
        <v>#VALUE!</v>
      </c>
      <c r="GI66" s="301" t="e">
        <f t="shared" ca="1" si="71"/>
        <v>#VALUE!</v>
      </c>
      <c r="GJ66" s="301" t="e">
        <f t="shared" ca="1" si="71"/>
        <v>#VALUE!</v>
      </c>
      <c r="GK66" s="301" t="e">
        <f t="shared" ca="1" si="71"/>
        <v>#VALUE!</v>
      </c>
      <c r="GL66" s="301" t="e">
        <f t="shared" ca="1" si="71"/>
        <v>#VALUE!</v>
      </c>
      <c r="GM66" s="301" t="e">
        <f t="shared" ca="1" si="71"/>
        <v>#VALUE!</v>
      </c>
      <c r="GN66" s="302" t="e">
        <f t="shared" ca="1" si="71"/>
        <v>#VALUE!</v>
      </c>
      <c r="GO66" s="302" t="e">
        <f t="shared" ca="1" si="71"/>
        <v>#VALUE!</v>
      </c>
      <c r="GP66" s="301">
        <f t="shared" ref="GP66:HE74" si="80">SUMIF($AB$8:$FO$8,GP$9,$AB66:$FO66)</f>
        <v>90</v>
      </c>
      <c r="GQ66" s="301">
        <f t="shared" si="80"/>
        <v>180</v>
      </c>
      <c r="GR66" s="301">
        <f t="shared" si="80"/>
        <v>180</v>
      </c>
      <c r="GS66" s="301">
        <f t="shared" si="80"/>
        <v>180</v>
      </c>
      <c r="GT66" s="301">
        <f t="shared" si="80"/>
        <v>180</v>
      </c>
      <c r="GU66" s="303">
        <f t="shared" si="80"/>
        <v>180</v>
      </c>
      <c r="GV66" s="302">
        <f t="shared" si="80"/>
        <v>180</v>
      </c>
      <c r="GW66" s="302">
        <f t="shared" si="80"/>
        <v>135</v>
      </c>
      <c r="GX66" s="302">
        <f t="shared" si="80"/>
        <v>0</v>
      </c>
      <c r="GY66" s="302">
        <f t="shared" si="80"/>
        <v>0</v>
      </c>
      <c r="GZ66" s="302">
        <f t="shared" si="80"/>
        <v>0</v>
      </c>
      <c r="HA66" s="302">
        <f t="shared" si="80"/>
        <v>0</v>
      </c>
      <c r="HB66" s="302">
        <f t="shared" si="80"/>
        <v>0</v>
      </c>
      <c r="HC66" s="302">
        <f t="shared" si="80"/>
        <v>0</v>
      </c>
      <c r="HD66" s="302">
        <f t="shared" si="80"/>
        <v>0</v>
      </c>
      <c r="HE66" s="302">
        <f t="shared" si="80"/>
        <v>0</v>
      </c>
      <c r="HF66" s="304" t="e">
        <f ca="1">SUM(FQ66:HE66)</f>
        <v>#VALUE!</v>
      </c>
      <c r="HG66" s="305" t="e">
        <f ca="1">HF66-S112</f>
        <v>#VALUE!</v>
      </c>
    </row>
    <row r="67" spans="1:215" s="306" customFormat="1" ht="15.75" customHeight="1">
      <c r="A67" s="307"/>
      <c r="B67" s="292" t="s">
        <v>85</v>
      </c>
      <c r="C67" s="292" t="s">
        <v>195</v>
      </c>
      <c r="D67" s="292" t="s">
        <v>218</v>
      </c>
      <c r="E67" s="292" t="s">
        <v>422</v>
      </c>
      <c r="F67" s="292" t="s">
        <v>184</v>
      </c>
      <c r="G67" s="292" t="s">
        <v>350</v>
      </c>
      <c r="H67" s="292" t="s">
        <v>351</v>
      </c>
      <c r="I67" s="292" t="s">
        <v>352</v>
      </c>
      <c r="J67" s="292" t="s">
        <v>184</v>
      </c>
      <c r="K67" s="292" t="s">
        <v>353</v>
      </c>
      <c r="L67" s="292" t="s">
        <v>359</v>
      </c>
      <c r="M67" s="292" t="s">
        <v>367</v>
      </c>
      <c r="N67" s="292" t="str">
        <f t="shared" si="72"/>
        <v>PTD-Delivery  Warehouse</v>
      </c>
      <c r="O67" s="292" t="str">
        <f t="shared" si="73"/>
        <v>Technology-Consultant-India-Consulting</v>
      </c>
      <c r="P67" s="292" t="str">
        <f t="shared" si="74"/>
        <v>PTD - Technology</v>
      </c>
      <c r="Q67" s="293">
        <f t="shared" si="42"/>
        <v>240300</v>
      </c>
      <c r="R67" s="294">
        <f t="shared" si="43"/>
        <v>24300</v>
      </c>
      <c r="S67" s="295" t="e">
        <f t="shared" ca="1" si="75"/>
        <v>#VALUE!</v>
      </c>
      <c r="T67" s="295">
        <f t="shared" si="44"/>
        <v>4005</v>
      </c>
      <c r="U67" s="296" t="str">
        <f t="shared" si="76"/>
        <v>Technology - Consultant</v>
      </c>
      <c r="V67" s="295" t="str">
        <f t="shared" si="77"/>
        <v>1-3 years</v>
      </c>
      <c r="W67" s="292" t="str">
        <f t="shared" si="78"/>
        <v>Offshore</v>
      </c>
      <c r="X67" s="292" t="s">
        <v>261</v>
      </c>
      <c r="Y67" s="292" t="s">
        <v>259</v>
      </c>
      <c r="Z67" s="292" t="s">
        <v>368</v>
      </c>
      <c r="AA67" s="297">
        <f>[1]Resourcing!QD71</f>
        <v>0</v>
      </c>
      <c r="AB67" s="298">
        <f t="shared" si="79"/>
        <v>60</v>
      </c>
      <c r="AC67" s="299"/>
      <c r="AD67" s="299"/>
      <c r="AE67" s="299"/>
      <c r="AF67" s="299"/>
      <c r="AG67" s="299"/>
      <c r="AH67" s="299"/>
      <c r="AI67" s="299"/>
      <c r="AJ67" s="299"/>
      <c r="AK67" s="299"/>
      <c r="AL67" s="299"/>
      <c r="AM67" s="299"/>
      <c r="AN67" s="299"/>
      <c r="AO67" s="299"/>
      <c r="AP67" s="299"/>
      <c r="AQ67" s="299"/>
      <c r="AR67" s="299"/>
      <c r="AS67" s="299"/>
      <c r="AT67" s="299"/>
      <c r="AU67" s="299"/>
      <c r="AV67" s="299"/>
      <c r="AW67" s="299"/>
      <c r="AX67" s="299"/>
      <c r="AY67" s="299"/>
      <c r="AZ67" s="299"/>
      <c r="BA67" s="299"/>
      <c r="BB67" s="299"/>
      <c r="BC67" s="299"/>
      <c r="BD67" s="299"/>
      <c r="BE67" s="299"/>
      <c r="BF67" s="299">
        <v>45</v>
      </c>
      <c r="BG67" s="299">
        <v>45</v>
      </c>
      <c r="BH67" s="299">
        <v>45</v>
      </c>
      <c r="BI67" s="299">
        <v>45</v>
      </c>
      <c r="BJ67" s="299">
        <v>45</v>
      </c>
      <c r="BK67" s="299">
        <v>45</v>
      </c>
      <c r="BL67" s="299">
        <v>45</v>
      </c>
      <c r="BM67" s="299">
        <v>45</v>
      </c>
      <c r="BN67" s="299">
        <v>45</v>
      </c>
      <c r="BO67" s="299">
        <v>45</v>
      </c>
      <c r="BP67" s="299">
        <v>45</v>
      </c>
      <c r="BQ67" s="299">
        <v>45</v>
      </c>
      <c r="BR67" s="299"/>
      <c r="BS67" s="299"/>
      <c r="BT67" s="299">
        <v>45</v>
      </c>
      <c r="BU67" s="299">
        <v>45</v>
      </c>
      <c r="BV67" s="299">
        <v>45</v>
      </c>
      <c r="BW67" s="299">
        <v>45</v>
      </c>
      <c r="BX67" s="299">
        <v>45</v>
      </c>
      <c r="BY67" s="299">
        <v>45</v>
      </c>
      <c r="BZ67" s="299">
        <v>45</v>
      </c>
      <c r="CA67" s="299">
        <v>45</v>
      </c>
      <c r="CB67" s="299">
        <v>45</v>
      </c>
      <c r="CC67" s="299">
        <v>45</v>
      </c>
      <c r="CD67" s="299">
        <v>45</v>
      </c>
      <c r="CE67" s="299">
        <v>45</v>
      </c>
      <c r="CF67" s="299">
        <v>45</v>
      </c>
      <c r="CG67" s="299">
        <v>45</v>
      </c>
      <c r="CH67" s="299">
        <v>45</v>
      </c>
      <c r="CI67" s="299">
        <v>45</v>
      </c>
      <c r="CJ67" s="299">
        <v>45</v>
      </c>
      <c r="CK67" s="299">
        <v>45</v>
      </c>
      <c r="CL67" s="299">
        <v>45</v>
      </c>
      <c r="CM67" s="299">
        <v>45</v>
      </c>
      <c r="CN67" s="299">
        <v>45</v>
      </c>
      <c r="CO67" s="299">
        <v>45</v>
      </c>
      <c r="CP67" s="299">
        <v>45</v>
      </c>
      <c r="CQ67" s="299">
        <v>45</v>
      </c>
      <c r="CR67" s="299">
        <v>45</v>
      </c>
      <c r="CS67" s="299">
        <v>45</v>
      </c>
      <c r="CT67" s="299">
        <v>45</v>
      </c>
      <c r="CU67" s="299">
        <v>45</v>
      </c>
      <c r="CV67" s="299">
        <v>45</v>
      </c>
      <c r="CW67" s="299">
        <v>45</v>
      </c>
      <c r="CX67" s="299">
        <v>45</v>
      </c>
      <c r="CY67" s="299">
        <v>45</v>
      </c>
      <c r="CZ67" s="299">
        <v>45</v>
      </c>
      <c r="DA67" s="299">
        <v>45</v>
      </c>
      <c r="DB67" s="299">
        <v>45</v>
      </c>
      <c r="DC67" s="299">
        <v>45</v>
      </c>
      <c r="DD67" s="299">
        <v>45</v>
      </c>
      <c r="DE67" s="299">
        <v>45</v>
      </c>
      <c r="DF67" s="299">
        <v>45</v>
      </c>
      <c r="DG67" s="299">
        <v>45</v>
      </c>
      <c r="DH67" s="299">
        <v>45</v>
      </c>
      <c r="DI67" s="299">
        <v>45</v>
      </c>
      <c r="DJ67" s="299">
        <v>45</v>
      </c>
      <c r="DK67" s="299">
        <v>45</v>
      </c>
      <c r="DL67" s="299">
        <v>45</v>
      </c>
      <c r="DM67" s="299">
        <v>45</v>
      </c>
      <c r="DN67" s="299">
        <v>45</v>
      </c>
      <c r="DO67" s="299">
        <v>45</v>
      </c>
      <c r="DP67" s="299">
        <v>45</v>
      </c>
      <c r="DQ67" s="299">
        <v>45</v>
      </c>
      <c r="DR67" s="299"/>
      <c r="DS67" s="299"/>
      <c r="DT67" s="299">
        <v>45</v>
      </c>
      <c r="DU67" s="299">
        <v>45</v>
      </c>
      <c r="DV67" s="299">
        <v>45</v>
      </c>
      <c r="DW67" s="299">
        <v>45</v>
      </c>
      <c r="DX67" s="299">
        <v>45</v>
      </c>
      <c r="DY67" s="299">
        <v>45</v>
      </c>
      <c r="DZ67" s="299">
        <v>45</v>
      </c>
      <c r="EA67" s="299">
        <v>45</v>
      </c>
      <c r="EB67" s="299">
        <v>45</v>
      </c>
      <c r="EC67" s="299">
        <v>45</v>
      </c>
      <c r="ED67" s="299">
        <v>45</v>
      </c>
      <c r="EE67" s="299">
        <v>45</v>
      </c>
      <c r="EF67" s="299">
        <v>45</v>
      </c>
      <c r="EG67" s="299">
        <v>45</v>
      </c>
      <c r="EH67" s="299">
        <v>45</v>
      </c>
      <c r="EI67" s="299">
        <v>45</v>
      </c>
      <c r="EJ67" s="299">
        <v>45</v>
      </c>
      <c r="EK67" s="299">
        <v>45</v>
      </c>
      <c r="EL67" s="299">
        <v>45</v>
      </c>
      <c r="EM67" s="299">
        <v>45</v>
      </c>
      <c r="EN67" s="299">
        <v>45</v>
      </c>
      <c r="EO67" s="299">
        <v>45</v>
      </c>
      <c r="EP67" s="299">
        <v>45</v>
      </c>
      <c r="EQ67" s="299">
        <v>45</v>
      </c>
      <c r="ER67" s="299">
        <v>45</v>
      </c>
      <c r="ES67" s="299">
        <v>45</v>
      </c>
      <c r="ET67" s="299">
        <v>45</v>
      </c>
      <c r="EU67" s="299"/>
      <c r="EV67" s="299"/>
      <c r="EW67" s="299"/>
      <c r="EX67" s="299"/>
      <c r="EY67" s="299"/>
      <c r="EZ67" s="299"/>
      <c r="FA67" s="299"/>
      <c r="FB67" s="299"/>
      <c r="FC67" s="299"/>
      <c r="FD67" s="299"/>
      <c r="FE67" s="299"/>
      <c r="FF67" s="299"/>
      <c r="FG67" s="299"/>
      <c r="FH67" s="299"/>
      <c r="FI67" s="299"/>
      <c r="FJ67" s="299"/>
      <c r="FK67" s="299"/>
      <c r="FL67" s="299"/>
      <c r="FM67" s="299"/>
      <c r="FN67" s="299"/>
      <c r="FO67" s="299"/>
      <c r="FP67" s="299"/>
      <c r="FQ67" s="300" t="e">
        <f t="shared" ca="1" si="56"/>
        <v>#VALUE!</v>
      </c>
      <c r="FR67" s="300" t="e">
        <f t="shared" ca="1" si="70"/>
        <v>#VALUE!</v>
      </c>
      <c r="FS67" s="300" t="e">
        <f t="shared" ca="1" si="70"/>
        <v>#VALUE!</v>
      </c>
      <c r="FT67" s="300" t="e">
        <f t="shared" ca="1" si="70"/>
        <v>#VALUE!</v>
      </c>
      <c r="FU67" s="300" t="e">
        <f t="shared" ca="1" si="70"/>
        <v>#VALUE!</v>
      </c>
      <c r="FV67" s="300" t="e">
        <f t="shared" ca="1" si="70"/>
        <v>#VALUE!</v>
      </c>
      <c r="FW67" s="300" t="e">
        <f t="shared" ca="1" si="70"/>
        <v>#VALUE!</v>
      </c>
      <c r="FX67" s="300" t="e">
        <f t="shared" ca="1" si="70"/>
        <v>#VALUE!</v>
      </c>
      <c r="FY67" s="300" t="e">
        <f t="shared" ca="1" si="70"/>
        <v>#VALUE!</v>
      </c>
      <c r="FZ67" s="300" t="e">
        <f t="shared" ca="1" si="70"/>
        <v>#VALUE!</v>
      </c>
      <c r="GA67" s="301" t="e">
        <f t="shared" ca="1" si="70"/>
        <v>#VALUE!</v>
      </c>
      <c r="GB67" s="301" t="e">
        <f t="shared" ca="1" si="71"/>
        <v>#VALUE!</v>
      </c>
      <c r="GC67" s="301" t="e">
        <f t="shared" ca="1" si="71"/>
        <v>#VALUE!</v>
      </c>
      <c r="GD67" s="301" t="e">
        <f t="shared" ca="1" si="71"/>
        <v>#VALUE!</v>
      </c>
      <c r="GE67" s="301" t="e">
        <f t="shared" ca="1" si="71"/>
        <v>#VALUE!</v>
      </c>
      <c r="GF67" s="301" t="e">
        <f t="shared" ca="1" si="71"/>
        <v>#VALUE!</v>
      </c>
      <c r="GG67" s="301" t="e">
        <f t="shared" ca="1" si="71"/>
        <v>#VALUE!</v>
      </c>
      <c r="GH67" s="301" t="e">
        <f t="shared" ca="1" si="71"/>
        <v>#VALUE!</v>
      </c>
      <c r="GI67" s="301" t="e">
        <f t="shared" ca="1" si="71"/>
        <v>#VALUE!</v>
      </c>
      <c r="GJ67" s="301" t="e">
        <f t="shared" ca="1" si="71"/>
        <v>#VALUE!</v>
      </c>
      <c r="GK67" s="301" t="e">
        <f t="shared" ca="1" si="71"/>
        <v>#VALUE!</v>
      </c>
      <c r="GL67" s="301" t="e">
        <f t="shared" ca="1" si="71"/>
        <v>#VALUE!</v>
      </c>
      <c r="GM67" s="301" t="e">
        <f t="shared" ca="1" si="71"/>
        <v>#VALUE!</v>
      </c>
      <c r="GN67" s="302" t="e">
        <f t="shared" ca="1" si="71"/>
        <v>#VALUE!</v>
      </c>
      <c r="GO67" s="302" t="e">
        <f t="shared" ca="1" si="71"/>
        <v>#VALUE!</v>
      </c>
      <c r="GP67" s="301">
        <f t="shared" si="80"/>
        <v>90</v>
      </c>
      <c r="GQ67" s="301">
        <f t="shared" si="80"/>
        <v>180</v>
      </c>
      <c r="GR67" s="301">
        <f t="shared" si="80"/>
        <v>180</v>
      </c>
      <c r="GS67" s="301">
        <f t="shared" si="80"/>
        <v>180</v>
      </c>
      <c r="GT67" s="301">
        <f t="shared" si="80"/>
        <v>180</v>
      </c>
      <c r="GU67" s="303">
        <f t="shared" si="80"/>
        <v>180</v>
      </c>
      <c r="GV67" s="302">
        <f t="shared" si="80"/>
        <v>180</v>
      </c>
      <c r="GW67" s="302">
        <f t="shared" si="80"/>
        <v>135</v>
      </c>
      <c r="GX67" s="302">
        <f t="shared" si="80"/>
        <v>0</v>
      </c>
      <c r="GY67" s="302">
        <f t="shared" si="80"/>
        <v>0</v>
      </c>
      <c r="GZ67" s="302">
        <f t="shared" si="80"/>
        <v>0</v>
      </c>
      <c r="HA67" s="302">
        <f t="shared" si="80"/>
        <v>0</v>
      </c>
      <c r="HB67" s="302">
        <f t="shared" si="80"/>
        <v>0</v>
      </c>
      <c r="HC67" s="302">
        <f t="shared" si="80"/>
        <v>0</v>
      </c>
      <c r="HD67" s="302">
        <f t="shared" si="80"/>
        <v>0</v>
      </c>
      <c r="HE67" s="302">
        <f t="shared" si="80"/>
        <v>0</v>
      </c>
      <c r="HF67" s="304" t="e">
        <f ca="1">SUM(FQ67:HE67)</f>
        <v>#VALUE!</v>
      </c>
      <c r="HG67" s="305" t="e">
        <f ca="1">HF67-S117</f>
        <v>#VALUE!</v>
      </c>
    </row>
    <row r="68" spans="1:215" s="306" customFormat="1" ht="15.75" customHeight="1">
      <c r="A68" s="307"/>
      <c r="B68" s="292" t="s">
        <v>85</v>
      </c>
      <c r="C68" s="292" t="s">
        <v>195</v>
      </c>
      <c r="D68" s="292" t="s">
        <v>218</v>
      </c>
      <c r="E68" s="292" t="s">
        <v>423</v>
      </c>
      <c r="F68" s="292" t="s">
        <v>184</v>
      </c>
      <c r="G68" s="292" t="s">
        <v>350</v>
      </c>
      <c r="H68" s="292" t="s">
        <v>351</v>
      </c>
      <c r="I68" s="292" t="s">
        <v>352</v>
      </c>
      <c r="J68" s="292" t="s">
        <v>184</v>
      </c>
      <c r="K68" s="292" t="s">
        <v>353</v>
      </c>
      <c r="L68" s="292" t="s">
        <v>359</v>
      </c>
      <c r="M68" s="292" t="s">
        <v>367</v>
      </c>
      <c r="N68" s="292" t="str">
        <f t="shared" si="72"/>
        <v>PTD-Delivery  Warehouse</v>
      </c>
      <c r="O68" s="292" t="str">
        <f t="shared" si="73"/>
        <v>Technology-Consultant-India-Consulting</v>
      </c>
      <c r="P68" s="292" t="str">
        <f t="shared" si="74"/>
        <v>PTD - Technology</v>
      </c>
      <c r="Q68" s="293">
        <f t="shared" si="42"/>
        <v>156600</v>
      </c>
      <c r="R68" s="294">
        <f t="shared" si="43"/>
        <v>0</v>
      </c>
      <c r="S68" s="295">
        <f t="shared" si="75"/>
        <v>630</v>
      </c>
      <c r="T68" s="295">
        <f t="shared" si="44"/>
        <v>2610</v>
      </c>
      <c r="U68" s="296" t="str">
        <f t="shared" si="76"/>
        <v>Technology - Consultant</v>
      </c>
      <c r="V68" s="295" t="str">
        <f t="shared" si="77"/>
        <v>1-3 years</v>
      </c>
      <c r="W68" s="292" t="str">
        <f t="shared" si="78"/>
        <v>Offshore</v>
      </c>
      <c r="X68" s="292" t="s">
        <v>261</v>
      </c>
      <c r="Y68" s="292" t="s">
        <v>259</v>
      </c>
      <c r="Z68" s="292" t="s">
        <v>368</v>
      </c>
      <c r="AA68" s="297">
        <f>[1]Resourcing!QD72</f>
        <v>358.95478260869601</v>
      </c>
      <c r="AB68" s="298">
        <f t="shared" si="79"/>
        <v>60</v>
      </c>
      <c r="AC68" s="299"/>
      <c r="AD68" s="299"/>
      <c r="AE68" s="299"/>
      <c r="AF68" s="299"/>
      <c r="AG68" s="299"/>
      <c r="AH68" s="299"/>
      <c r="AI68" s="299"/>
      <c r="AJ68" s="299"/>
      <c r="AK68" s="299"/>
      <c r="AL68" s="299"/>
      <c r="AM68" s="299"/>
      <c r="AN68" s="299"/>
      <c r="AO68" s="299"/>
      <c r="AP68" s="299"/>
      <c r="AQ68" s="299"/>
      <c r="AR68" s="299"/>
      <c r="AS68" s="299"/>
      <c r="AT68" s="299"/>
      <c r="AU68" s="299"/>
      <c r="AV68" s="299"/>
      <c r="AW68" s="299"/>
      <c r="AX68" s="299"/>
      <c r="AY68" s="299"/>
      <c r="AZ68" s="299"/>
      <c r="BA68" s="299"/>
      <c r="BB68" s="299"/>
      <c r="BC68" s="299"/>
      <c r="BD68" s="299"/>
      <c r="BE68" s="299"/>
      <c r="BF68" s="299"/>
      <c r="BG68" s="299"/>
      <c r="BH68" s="299"/>
      <c r="BI68" s="299"/>
      <c r="BJ68" s="299"/>
      <c r="BK68" s="299"/>
      <c r="BL68" s="299"/>
      <c r="BM68" s="299"/>
      <c r="BN68" s="299"/>
      <c r="BO68" s="299"/>
      <c r="BP68" s="299"/>
      <c r="BQ68" s="299"/>
      <c r="BR68" s="299"/>
      <c r="BS68" s="299"/>
      <c r="BT68" s="299"/>
      <c r="BU68" s="299"/>
      <c r="BV68" s="299"/>
      <c r="BW68" s="299"/>
      <c r="BX68" s="299">
        <v>45</v>
      </c>
      <c r="BY68" s="299">
        <v>45</v>
      </c>
      <c r="BZ68" s="299">
        <v>45</v>
      </c>
      <c r="CA68" s="299">
        <v>45</v>
      </c>
      <c r="CB68" s="299">
        <v>45</v>
      </c>
      <c r="CC68" s="299">
        <v>45</v>
      </c>
      <c r="CD68" s="299">
        <v>45</v>
      </c>
      <c r="CE68" s="299">
        <v>45</v>
      </c>
      <c r="CF68" s="299">
        <v>45</v>
      </c>
      <c r="CG68" s="299">
        <v>45</v>
      </c>
      <c r="CH68" s="299">
        <v>45</v>
      </c>
      <c r="CI68" s="299">
        <v>45</v>
      </c>
      <c r="CJ68" s="299">
        <v>45</v>
      </c>
      <c r="CK68" s="299">
        <v>45</v>
      </c>
      <c r="CL68" s="299">
        <v>45</v>
      </c>
      <c r="CM68" s="299">
        <v>45</v>
      </c>
      <c r="CN68" s="299">
        <v>45</v>
      </c>
      <c r="CO68" s="299">
        <v>45</v>
      </c>
      <c r="CP68" s="299">
        <v>45</v>
      </c>
      <c r="CQ68" s="299">
        <v>45</v>
      </c>
      <c r="CR68" s="299">
        <v>45</v>
      </c>
      <c r="CS68" s="299">
        <v>45</v>
      </c>
      <c r="CT68" s="299">
        <v>45</v>
      </c>
      <c r="CU68" s="299">
        <v>45</v>
      </c>
      <c r="CV68" s="299">
        <v>45</v>
      </c>
      <c r="CW68" s="299">
        <v>45</v>
      </c>
      <c r="CX68" s="299">
        <v>45</v>
      </c>
      <c r="CY68" s="299">
        <v>45</v>
      </c>
      <c r="CZ68" s="299">
        <v>45</v>
      </c>
      <c r="DA68" s="299">
        <v>45</v>
      </c>
      <c r="DB68" s="299">
        <v>45</v>
      </c>
      <c r="DC68" s="299">
        <v>45</v>
      </c>
      <c r="DD68" s="299">
        <v>45</v>
      </c>
      <c r="DE68" s="299">
        <v>45</v>
      </c>
      <c r="DF68" s="299">
        <v>45</v>
      </c>
      <c r="DG68" s="299">
        <v>45</v>
      </c>
      <c r="DH68" s="299">
        <v>45</v>
      </c>
      <c r="DI68" s="299">
        <v>45</v>
      </c>
      <c r="DJ68" s="299">
        <v>45</v>
      </c>
      <c r="DK68" s="299">
        <v>45</v>
      </c>
      <c r="DL68" s="299">
        <v>45</v>
      </c>
      <c r="DM68" s="299">
        <v>45</v>
      </c>
      <c r="DN68" s="299">
        <v>45</v>
      </c>
      <c r="DO68" s="299">
        <v>45</v>
      </c>
      <c r="DP68" s="299">
        <v>45</v>
      </c>
      <c r="DQ68" s="299">
        <v>45</v>
      </c>
      <c r="DR68" s="299"/>
      <c r="DS68" s="299"/>
      <c r="DT68" s="299">
        <v>45</v>
      </c>
      <c r="DU68" s="299">
        <v>45</v>
      </c>
      <c r="DV68" s="299">
        <v>45</v>
      </c>
      <c r="DW68" s="299">
        <v>45</v>
      </c>
      <c r="DX68" s="299">
        <v>45</v>
      </c>
      <c r="DY68" s="299">
        <v>45</v>
      </c>
      <c r="DZ68" s="299">
        <v>45</v>
      </c>
      <c r="EA68" s="299">
        <v>45</v>
      </c>
      <c r="EB68" s="299">
        <v>45</v>
      </c>
      <c r="EC68" s="299">
        <v>45</v>
      </c>
      <c r="ED68" s="299">
        <v>45</v>
      </c>
      <c r="EE68" s="299">
        <v>45</v>
      </c>
      <c r="EF68" s="299"/>
      <c r="EG68" s="299"/>
      <c r="EH68" s="299"/>
      <c r="EI68" s="299"/>
      <c r="EJ68" s="299"/>
      <c r="EK68" s="299"/>
      <c r="EL68" s="299"/>
      <c r="EM68" s="299"/>
      <c r="EN68" s="299"/>
      <c r="EO68" s="299"/>
      <c r="EP68" s="299"/>
      <c r="EQ68" s="299"/>
      <c r="ER68" s="299"/>
      <c r="ES68" s="299"/>
      <c r="ET68" s="299"/>
      <c r="EU68" s="299"/>
      <c r="EV68" s="299"/>
      <c r="EW68" s="299"/>
      <c r="EX68" s="299"/>
      <c r="EY68" s="299"/>
      <c r="EZ68" s="299"/>
      <c r="FA68" s="299"/>
      <c r="FB68" s="299"/>
      <c r="FC68" s="299"/>
      <c r="FD68" s="299"/>
      <c r="FE68" s="299"/>
      <c r="FF68" s="299"/>
      <c r="FG68" s="299"/>
      <c r="FH68" s="299"/>
      <c r="FI68" s="299"/>
      <c r="FJ68" s="299"/>
      <c r="FK68" s="299"/>
      <c r="FL68" s="299"/>
      <c r="FM68" s="299"/>
      <c r="FN68" s="299"/>
      <c r="FO68" s="299"/>
      <c r="FP68" s="299"/>
      <c r="FQ68" s="300" t="e">
        <f t="shared" ca="1" si="56"/>
        <v>#VALUE!</v>
      </c>
      <c r="FR68" s="300" t="e">
        <f t="shared" ca="1" si="70"/>
        <v>#VALUE!</v>
      </c>
      <c r="FS68" s="300" t="e">
        <f t="shared" ca="1" si="70"/>
        <v>#VALUE!</v>
      </c>
      <c r="FT68" s="300" t="e">
        <f t="shared" ca="1" si="70"/>
        <v>#VALUE!</v>
      </c>
      <c r="FU68" s="300" t="e">
        <f t="shared" ca="1" si="70"/>
        <v>#VALUE!</v>
      </c>
      <c r="FV68" s="300" t="e">
        <f t="shared" ca="1" si="70"/>
        <v>#VALUE!</v>
      </c>
      <c r="FW68" s="300" t="e">
        <f t="shared" ca="1" si="70"/>
        <v>#VALUE!</v>
      </c>
      <c r="FX68" s="300" t="e">
        <f t="shared" ca="1" si="70"/>
        <v>#VALUE!</v>
      </c>
      <c r="FY68" s="300" t="e">
        <f t="shared" ca="1" si="70"/>
        <v>#VALUE!</v>
      </c>
      <c r="FZ68" s="300" t="e">
        <f t="shared" ca="1" si="70"/>
        <v>#VALUE!</v>
      </c>
      <c r="GA68" s="301" t="e">
        <f t="shared" ca="1" si="70"/>
        <v>#VALUE!</v>
      </c>
      <c r="GB68" s="301" t="e">
        <f t="shared" ca="1" si="71"/>
        <v>#VALUE!</v>
      </c>
      <c r="GC68" s="301" t="e">
        <f t="shared" ca="1" si="71"/>
        <v>#VALUE!</v>
      </c>
      <c r="GD68" s="301" t="e">
        <f t="shared" ca="1" si="71"/>
        <v>#VALUE!</v>
      </c>
      <c r="GE68" s="301" t="e">
        <f t="shared" ca="1" si="71"/>
        <v>#VALUE!</v>
      </c>
      <c r="GF68" s="301" t="e">
        <f t="shared" ca="1" si="71"/>
        <v>#VALUE!</v>
      </c>
      <c r="GG68" s="301" t="e">
        <f t="shared" ca="1" si="71"/>
        <v>#VALUE!</v>
      </c>
      <c r="GH68" s="301" t="e">
        <f t="shared" ca="1" si="71"/>
        <v>#VALUE!</v>
      </c>
      <c r="GI68" s="301" t="e">
        <f t="shared" ca="1" si="71"/>
        <v>#VALUE!</v>
      </c>
      <c r="GJ68" s="301" t="e">
        <f t="shared" ca="1" si="71"/>
        <v>#VALUE!</v>
      </c>
      <c r="GK68" s="301" t="e">
        <f t="shared" ca="1" si="71"/>
        <v>#VALUE!</v>
      </c>
      <c r="GL68" s="301" t="e">
        <f t="shared" ca="1" si="71"/>
        <v>#VALUE!</v>
      </c>
      <c r="GM68" s="301" t="e">
        <f t="shared" ca="1" si="71"/>
        <v>#VALUE!</v>
      </c>
      <c r="GN68" s="302" t="e">
        <f t="shared" ca="1" si="71"/>
        <v>#VALUE!</v>
      </c>
      <c r="GO68" s="302" t="e">
        <f t="shared" ca="1" si="71"/>
        <v>#VALUE!</v>
      </c>
      <c r="GP68" s="301">
        <f t="shared" si="80"/>
        <v>90</v>
      </c>
      <c r="GQ68" s="301">
        <f t="shared" si="80"/>
        <v>180</v>
      </c>
      <c r="GR68" s="301">
        <f t="shared" si="80"/>
        <v>180</v>
      </c>
      <c r="GS68" s="301">
        <f t="shared" si="80"/>
        <v>180</v>
      </c>
      <c r="GT68" s="301">
        <f t="shared" si="80"/>
        <v>0</v>
      </c>
      <c r="GU68" s="303">
        <f t="shared" si="80"/>
        <v>0</v>
      </c>
      <c r="GV68" s="302">
        <f t="shared" si="80"/>
        <v>0</v>
      </c>
      <c r="GW68" s="302">
        <f t="shared" si="80"/>
        <v>0</v>
      </c>
      <c r="GX68" s="302">
        <f t="shared" si="80"/>
        <v>0</v>
      </c>
      <c r="GY68" s="302">
        <f t="shared" si="80"/>
        <v>0</v>
      </c>
      <c r="GZ68" s="302">
        <f t="shared" si="80"/>
        <v>0</v>
      </c>
      <c r="HA68" s="302">
        <f t="shared" si="80"/>
        <v>0</v>
      </c>
      <c r="HB68" s="302">
        <f t="shared" si="80"/>
        <v>0</v>
      </c>
      <c r="HC68" s="302">
        <f t="shared" si="80"/>
        <v>0</v>
      </c>
      <c r="HD68" s="302">
        <f t="shared" si="80"/>
        <v>0</v>
      </c>
      <c r="HE68" s="302">
        <f t="shared" si="80"/>
        <v>0</v>
      </c>
      <c r="HF68" s="304"/>
      <c r="HG68" s="305"/>
    </row>
    <row r="69" spans="1:215" s="306" customFormat="1" ht="15.75" customHeight="1">
      <c r="A69" s="307"/>
      <c r="B69" s="292" t="s">
        <v>85</v>
      </c>
      <c r="C69" s="292" t="s">
        <v>195</v>
      </c>
      <c r="D69" s="292" t="s">
        <v>218</v>
      </c>
      <c r="E69" s="292" t="s">
        <v>424</v>
      </c>
      <c r="F69" s="292" t="s">
        <v>184</v>
      </c>
      <c r="G69" s="292" t="s">
        <v>350</v>
      </c>
      <c r="H69" s="292" t="s">
        <v>351</v>
      </c>
      <c r="I69" s="292" t="s">
        <v>352</v>
      </c>
      <c r="J69" s="292" t="s">
        <v>184</v>
      </c>
      <c r="K69" s="292" t="s">
        <v>353</v>
      </c>
      <c r="L69" s="292" t="s">
        <v>359</v>
      </c>
      <c r="M69" s="292" t="s">
        <v>367</v>
      </c>
      <c r="N69" s="292" t="str">
        <f t="shared" si="72"/>
        <v>PTD-Delivery  Warehouse</v>
      </c>
      <c r="O69" s="292" t="str">
        <f t="shared" si="73"/>
        <v>Technology-Consultant-India-Consulting</v>
      </c>
      <c r="P69" s="292" t="str">
        <f t="shared" si="74"/>
        <v>PTD - Technology</v>
      </c>
      <c r="Q69" s="293">
        <f t="shared" si="42"/>
        <v>162000</v>
      </c>
      <c r="R69" s="294">
        <f t="shared" si="43"/>
        <v>0</v>
      </c>
      <c r="S69" s="295">
        <f t="shared" si="75"/>
        <v>1305</v>
      </c>
      <c r="T69" s="295">
        <f t="shared" si="44"/>
        <v>2700</v>
      </c>
      <c r="U69" s="296" t="str">
        <f t="shared" si="76"/>
        <v>Technology - Consultant</v>
      </c>
      <c r="V69" s="295" t="str">
        <f t="shared" si="77"/>
        <v>1-3 years</v>
      </c>
      <c r="W69" s="292" t="str">
        <f t="shared" si="78"/>
        <v>Offshore</v>
      </c>
      <c r="X69" s="292" t="s">
        <v>261</v>
      </c>
      <c r="Y69" s="292" t="s">
        <v>259</v>
      </c>
      <c r="Z69" s="292" t="s">
        <v>368</v>
      </c>
      <c r="AA69" s="297">
        <f>[1]Resourcing!QD73</f>
        <v>85.335217391304298</v>
      </c>
      <c r="AB69" s="298">
        <f t="shared" si="79"/>
        <v>60</v>
      </c>
      <c r="AC69" s="299"/>
      <c r="AD69" s="299"/>
      <c r="AE69" s="299"/>
      <c r="AF69" s="299"/>
      <c r="AG69" s="299"/>
      <c r="AH69" s="299"/>
      <c r="AI69" s="299"/>
      <c r="AJ69" s="299"/>
      <c r="AK69" s="299"/>
      <c r="AL69" s="299"/>
      <c r="AM69" s="299"/>
      <c r="AN69" s="299"/>
      <c r="AO69" s="299"/>
      <c r="AP69" s="299"/>
      <c r="AQ69" s="299"/>
      <c r="AR69" s="299"/>
      <c r="AS69" s="299"/>
      <c r="AT69" s="299"/>
      <c r="AU69" s="299"/>
      <c r="AV69" s="299"/>
      <c r="AW69" s="299"/>
      <c r="AX69" s="299"/>
      <c r="AY69" s="299"/>
      <c r="AZ69" s="299"/>
      <c r="BA69" s="299"/>
      <c r="BB69" s="299"/>
      <c r="BC69" s="299"/>
      <c r="BD69" s="299"/>
      <c r="BE69" s="299"/>
      <c r="BF69" s="299"/>
      <c r="BG69" s="299"/>
      <c r="BH69" s="299"/>
      <c r="BI69" s="299"/>
      <c r="BJ69" s="299"/>
      <c r="BK69" s="299"/>
      <c r="BL69" s="299"/>
      <c r="BM69" s="299"/>
      <c r="BN69" s="299"/>
      <c r="BO69" s="299"/>
      <c r="BP69" s="299"/>
      <c r="BQ69" s="299"/>
      <c r="BR69" s="299"/>
      <c r="BS69" s="299"/>
      <c r="BT69" s="299"/>
      <c r="BU69" s="299"/>
      <c r="BV69" s="299"/>
      <c r="BW69" s="299"/>
      <c r="BX69" s="299"/>
      <c r="BY69" s="324">
        <v>0</v>
      </c>
      <c r="BZ69" s="324">
        <v>0</v>
      </c>
      <c r="CA69" s="324">
        <v>0</v>
      </c>
      <c r="CB69" s="324">
        <v>0</v>
      </c>
      <c r="CC69" s="324">
        <v>0</v>
      </c>
      <c r="CD69" s="324">
        <v>0</v>
      </c>
      <c r="CE69" s="324">
        <v>0</v>
      </c>
      <c r="CF69" s="324">
        <v>0</v>
      </c>
      <c r="CG69" s="324">
        <v>0</v>
      </c>
      <c r="CH69" s="324">
        <v>0</v>
      </c>
      <c r="CI69" s="324">
        <v>0</v>
      </c>
      <c r="CJ69" s="324">
        <v>0</v>
      </c>
      <c r="CK69" s="299">
        <v>45</v>
      </c>
      <c r="CL69" s="299">
        <v>45</v>
      </c>
      <c r="CM69" s="299">
        <v>45</v>
      </c>
      <c r="CN69" s="299">
        <v>45</v>
      </c>
      <c r="CO69" s="299">
        <v>45</v>
      </c>
      <c r="CP69" s="299">
        <v>45</v>
      </c>
      <c r="CQ69" s="299">
        <v>45</v>
      </c>
      <c r="CR69" s="299">
        <v>45</v>
      </c>
      <c r="CS69" s="299">
        <v>45</v>
      </c>
      <c r="CT69" s="299">
        <v>45</v>
      </c>
      <c r="CU69" s="299">
        <v>45</v>
      </c>
      <c r="CV69" s="299">
        <v>45</v>
      </c>
      <c r="CW69" s="299">
        <v>45</v>
      </c>
      <c r="CX69" s="299">
        <v>45</v>
      </c>
      <c r="CY69" s="299">
        <v>45</v>
      </c>
      <c r="CZ69" s="299">
        <v>45</v>
      </c>
      <c r="DA69" s="299">
        <v>45</v>
      </c>
      <c r="DB69" s="299">
        <v>45</v>
      </c>
      <c r="DC69" s="299">
        <v>45</v>
      </c>
      <c r="DD69" s="299">
        <v>45</v>
      </c>
      <c r="DE69" s="299">
        <v>45</v>
      </c>
      <c r="DF69" s="299">
        <v>45</v>
      </c>
      <c r="DG69" s="299">
        <v>45</v>
      </c>
      <c r="DH69" s="299">
        <v>45</v>
      </c>
      <c r="DI69" s="299">
        <v>45</v>
      </c>
      <c r="DJ69" s="299">
        <v>45</v>
      </c>
      <c r="DK69" s="299">
        <v>45</v>
      </c>
      <c r="DL69" s="299">
        <v>45</v>
      </c>
      <c r="DM69" s="299">
        <v>45</v>
      </c>
      <c r="DN69" s="299">
        <v>45</v>
      </c>
      <c r="DO69" s="299">
        <v>45</v>
      </c>
      <c r="DP69" s="299">
        <v>45</v>
      </c>
      <c r="DQ69" s="299">
        <v>45</v>
      </c>
      <c r="DR69" s="299"/>
      <c r="DS69" s="299"/>
      <c r="DT69" s="299">
        <v>45</v>
      </c>
      <c r="DU69" s="299">
        <v>45</v>
      </c>
      <c r="DV69" s="299">
        <v>45</v>
      </c>
      <c r="DW69" s="299">
        <v>45</v>
      </c>
      <c r="DX69" s="299">
        <v>45</v>
      </c>
      <c r="DY69" s="299">
        <v>45</v>
      </c>
      <c r="DZ69" s="299">
        <v>45</v>
      </c>
      <c r="EA69" s="299">
        <v>45</v>
      </c>
      <c r="EB69" s="299">
        <v>45</v>
      </c>
      <c r="EC69" s="299">
        <v>45</v>
      </c>
      <c r="ED69" s="299">
        <v>45</v>
      </c>
      <c r="EE69" s="299">
        <v>45</v>
      </c>
      <c r="EF69" s="299">
        <v>45</v>
      </c>
      <c r="EG69" s="299">
        <v>45</v>
      </c>
      <c r="EH69" s="299">
        <v>45</v>
      </c>
      <c r="EI69" s="299">
        <v>45</v>
      </c>
      <c r="EJ69" s="299">
        <v>45</v>
      </c>
      <c r="EK69" s="299">
        <v>45</v>
      </c>
      <c r="EL69" s="299">
        <v>45</v>
      </c>
      <c r="EM69" s="299">
        <v>45</v>
      </c>
      <c r="EN69" s="299">
        <v>45</v>
      </c>
      <c r="EO69" s="299">
        <v>45</v>
      </c>
      <c r="EP69" s="299">
        <v>45</v>
      </c>
      <c r="EQ69" s="299">
        <v>45</v>
      </c>
      <c r="ER69" s="299">
        <v>45</v>
      </c>
      <c r="ES69" s="299">
        <v>45</v>
      </c>
      <c r="ET69" s="299">
        <v>45</v>
      </c>
      <c r="EU69" s="299"/>
      <c r="EV69" s="299"/>
      <c r="EW69" s="299"/>
      <c r="EX69" s="299"/>
      <c r="EY69" s="299"/>
      <c r="EZ69" s="299"/>
      <c r="FA69" s="299"/>
      <c r="FB69" s="299"/>
      <c r="FC69" s="299"/>
      <c r="FD69" s="299"/>
      <c r="FE69" s="299"/>
      <c r="FF69" s="299"/>
      <c r="FG69" s="299"/>
      <c r="FH69" s="299"/>
      <c r="FI69" s="299"/>
      <c r="FJ69" s="299"/>
      <c r="FK69" s="299"/>
      <c r="FL69" s="299"/>
      <c r="FM69" s="299"/>
      <c r="FN69" s="299"/>
      <c r="FO69" s="299"/>
      <c r="FP69" s="299"/>
      <c r="FQ69" s="300" t="e">
        <f t="shared" ca="1" si="56"/>
        <v>#VALUE!</v>
      </c>
      <c r="FR69" s="300" t="e">
        <f t="shared" ca="1" si="70"/>
        <v>#VALUE!</v>
      </c>
      <c r="FS69" s="300" t="e">
        <f t="shared" ca="1" si="70"/>
        <v>#VALUE!</v>
      </c>
      <c r="FT69" s="300" t="e">
        <f t="shared" ca="1" si="70"/>
        <v>#VALUE!</v>
      </c>
      <c r="FU69" s="300" t="e">
        <f t="shared" ca="1" si="70"/>
        <v>#VALUE!</v>
      </c>
      <c r="FV69" s="300" t="e">
        <f t="shared" ca="1" si="70"/>
        <v>#VALUE!</v>
      </c>
      <c r="FW69" s="300" t="e">
        <f t="shared" ca="1" si="70"/>
        <v>#VALUE!</v>
      </c>
      <c r="FX69" s="300" t="e">
        <f t="shared" ca="1" si="70"/>
        <v>#VALUE!</v>
      </c>
      <c r="FY69" s="300" t="e">
        <f t="shared" ca="1" si="70"/>
        <v>#VALUE!</v>
      </c>
      <c r="FZ69" s="300" t="e">
        <f t="shared" ca="1" si="70"/>
        <v>#VALUE!</v>
      </c>
      <c r="GA69" s="301" t="e">
        <f t="shared" ca="1" si="70"/>
        <v>#VALUE!</v>
      </c>
      <c r="GB69" s="301" t="e">
        <f t="shared" ca="1" si="71"/>
        <v>#VALUE!</v>
      </c>
      <c r="GC69" s="301" t="e">
        <f t="shared" ca="1" si="71"/>
        <v>#VALUE!</v>
      </c>
      <c r="GD69" s="301" t="e">
        <f t="shared" ca="1" si="71"/>
        <v>#VALUE!</v>
      </c>
      <c r="GE69" s="301" t="e">
        <f t="shared" ca="1" si="71"/>
        <v>#VALUE!</v>
      </c>
      <c r="GF69" s="301" t="e">
        <f t="shared" ca="1" si="71"/>
        <v>#VALUE!</v>
      </c>
      <c r="GG69" s="301" t="e">
        <f t="shared" ca="1" si="71"/>
        <v>#VALUE!</v>
      </c>
      <c r="GH69" s="301" t="e">
        <f t="shared" ca="1" si="71"/>
        <v>#VALUE!</v>
      </c>
      <c r="GI69" s="301" t="e">
        <f t="shared" ca="1" si="71"/>
        <v>#VALUE!</v>
      </c>
      <c r="GJ69" s="301" t="e">
        <f t="shared" ca="1" si="71"/>
        <v>#VALUE!</v>
      </c>
      <c r="GK69" s="301" t="e">
        <f t="shared" ca="1" si="71"/>
        <v>#VALUE!</v>
      </c>
      <c r="GL69" s="301" t="e">
        <f t="shared" ca="1" si="71"/>
        <v>#VALUE!</v>
      </c>
      <c r="GM69" s="301" t="e">
        <f t="shared" ca="1" si="71"/>
        <v>#VALUE!</v>
      </c>
      <c r="GN69" s="302" t="e">
        <f t="shared" ca="1" si="71"/>
        <v>#VALUE!</v>
      </c>
      <c r="GO69" s="302" t="e">
        <f t="shared" ca="1" si="71"/>
        <v>#VALUE!</v>
      </c>
      <c r="GP69" s="301">
        <f t="shared" si="80"/>
        <v>90</v>
      </c>
      <c r="GQ69" s="301">
        <f t="shared" si="80"/>
        <v>180</v>
      </c>
      <c r="GR69" s="301">
        <f t="shared" si="80"/>
        <v>180</v>
      </c>
      <c r="GS69" s="301">
        <f t="shared" si="80"/>
        <v>180</v>
      </c>
      <c r="GT69" s="301">
        <f t="shared" si="80"/>
        <v>180</v>
      </c>
      <c r="GU69" s="303">
        <f t="shared" si="80"/>
        <v>180</v>
      </c>
      <c r="GV69" s="302">
        <f t="shared" si="80"/>
        <v>180</v>
      </c>
      <c r="GW69" s="302">
        <f t="shared" si="80"/>
        <v>135</v>
      </c>
      <c r="GX69" s="302">
        <f t="shared" si="80"/>
        <v>0</v>
      </c>
      <c r="GY69" s="302">
        <f t="shared" si="80"/>
        <v>0</v>
      </c>
      <c r="GZ69" s="302">
        <f t="shared" si="80"/>
        <v>0</v>
      </c>
      <c r="HA69" s="302">
        <f t="shared" si="80"/>
        <v>0</v>
      </c>
      <c r="HB69" s="302">
        <f t="shared" si="80"/>
        <v>0</v>
      </c>
      <c r="HC69" s="302">
        <f t="shared" si="80"/>
        <v>0</v>
      </c>
      <c r="HD69" s="302">
        <f t="shared" si="80"/>
        <v>0</v>
      </c>
      <c r="HE69" s="302">
        <f t="shared" si="80"/>
        <v>0</v>
      </c>
      <c r="HF69" s="304"/>
      <c r="HG69" s="305"/>
    </row>
    <row r="70" spans="1:215" s="306" customFormat="1" ht="15.75" customHeight="1">
      <c r="A70" s="307"/>
      <c r="B70" s="292" t="s">
        <v>85</v>
      </c>
      <c r="C70" s="292" t="s">
        <v>195</v>
      </c>
      <c r="D70" s="292" t="s">
        <v>218</v>
      </c>
      <c r="E70" s="292" t="s">
        <v>425</v>
      </c>
      <c r="F70" s="292" t="s">
        <v>184</v>
      </c>
      <c r="G70" s="292" t="s">
        <v>350</v>
      </c>
      <c r="H70" s="292" t="s">
        <v>351</v>
      </c>
      <c r="I70" s="292" t="s">
        <v>352</v>
      </c>
      <c r="J70" s="292" t="s">
        <v>184</v>
      </c>
      <c r="K70" s="292" t="s">
        <v>353</v>
      </c>
      <c r="L70" s="292" t="s">
        <v>359</v>
      </c>
      <c r="M70" s="292" t="s">
        <v>363</v>
      </c>
      <c r="N70" s="292" t="str">
        <f t="shared" si="72"/>
        <v>PTD-Delivery  Warehouse</v>
      </c>
      <c r="O70" s="292" t="str">
        <f t="shared" si="73"/>
        <v>Technology-Analyst-India-Consulting</v>
      </c>
      <c r="P70" s="292" t="str">
        <f t="shared" si="74"/>
        <v>PTD - Technology</v>
      </c>
      <c r="Q70" s="293">
        <f t="shared" si="42"/>
        <v>155520</v>
      </c>
      <c r="R70" s="294">
        <f t="shared" si="43"/>
        <v>0</v>
      </c>
      <c r="S70" s="295">
        <f t="shared" si="75"/>
        <v>1305</v>
      </c>
      <c r="T70" s="295">
        <f t="shared" si="44"/>
        <v>3240</v>
      </c>
      <c r="U70" s="296" t="str">
        <f t="shared" si="76"/>
        <v>Technology - Analyst</v>
      </c>
      <c r="V70" s="295" t="str">
        <f t="shared" si="77"/>
        <v>0-1 years</v>
      </c>
      <c r="W70" s="292" t="str">
        <f t="shared" si="78"/>
        <v>Offshore</v>
      </c>
      <c r="X70" s="292" t="s">
        <v>261</v>
      </c>
      <c r="Y70" s="292" t="s">
        <v>259</v>
      </c>
      <c r="Z70" s="292" t="s">
        <v>384</v>
      </c>
      <c r="AA70" s="297">
        <f>[1]Resourcing!QD74</f>
        <v>53.1438202247191</v>
      </c>
      <c r="AB70" s="298">
        <f t="shared" si="79"/>
        <v>48</v>
      </c>
      <c r="AC70" s="299"/>
      <c r="AD70" s="299"/>
      <c r="AE70" s="299"/>
      <c r="AF70" s="299"/>
      <c r="AG70" s="299"/>
      <c r="AH70" s="299"/>
      <c r="AI70" s="299"/>
      <c r="AJ70" s="299"/>
      <c r="AK70" s="299"/>
      <c r="AL70" s="299"/>
      <c r="AM70" s="299"/>
      <c r="AN70" s="299"/>
      <c r="AO70" s="299"/>
      <c r="AP70" s="299"/>
      <c r="AQ70" s="299"/>
      <c r="AR70" s="299"/>
      <c r="AS70" s="299"/>
      <c r="AT70" s="299"/>
      <c r="AU70" s="299"/>
      <c r="AV70" s="299"/>
      <c r="AW70" s="299"/>
      <c r="AX70" s="299"/>
      <c r="AY70" s="299"/>
      <c r="AZ70" s="299"/>
      <c r="BA70" s="299"/>
      <c r="BB70" s="299"/>
      <c r="BC70" s="299"/>
      <c r="BD70" s="299"/>
      <c r="BE70" s="299"/>
      <c r="BF70" s="299"/>
      <c r="BG70" s="299"/>
      <c r="BH70" s="299"/>
      <c r="BI70" s="299"/>
      <c r="BJ70" s="299"/>
      <c r="BK70" s="299"/>
      <c r="BL70" s="299"/>
      <c r="BM70" s="299"/>
      <c r="BN70" s="299"/>
      <c r="BO70" s="299"/>
      <c r="BP70" s="299"/>
      <c r="BQ70" s="299"/>
      <c r="BR70" s="299"/>
      <c r="BS70" s="299"/>
      <c r="BT70" s="299"/>
      <c r="BU70" s="299"/>
      <c r="BV70" s="299"/>
      <c r="BW70" s="299"/>
      <c r="BX70" s="299"/>
      <c r="BY70" s="299">
        <v>45</v>
      </c>
      <c r="BZ70" s="299">
        <v>45</v>
      </c>
      <c r="CA70" s="299">
        <v>45</v>
      </c>
      <c r="CB70" s="299">
        <v>45</v>
      </c>
      <c r="CC70" s="299">
        <v>45</v>
      </c>
      <c r="CD70" s="299">
        <v>45</v>
      </c>
      <c r="CE70" s="299">
        <v>45</v>
      </c>
      <c r="CF70" s="299">
        <v>45</v>
      </c>
      <c r="CG70" s="299">
        <v>45</v>
      </c>
      <c r="CH70" s="299">
        <v>45</v>
      </c>
      <c r="CI70" s="299">
        <v>45</v>
      </c>
      <c r="CJ70" s="299">
        <v>45</v>
      </c>
      <c r="CK70" s="299">
        <v>45</v>
      </c>
      <c r="CL70" s="299">
        <v>45</v>
      </c>
      <c r="CM70" s="299">
        <v>45</v>
      </c>
      <c r="CN70" s="299">
        <v>45</v>
      </c>
      <c r="CO70" s="299">
        <v>45</v>
      </c>
      <c r="CP70" s="299">
        <v>45</v>
      </c>
      <c r="CQ70" s="299">
        <v>45</v>
      </c>
      <c r="CR70" s="299">
        <v>45</v>
      </c>
      <c r="CS70" s="299">
        <v>45</v>
      </c>
      <c r="CT70" s="299">
        <v>45</v>
      </c>
      <c r="CU70" s="299">
        <v>45</v>
      </c>
      <c r="CV70" s="299">
        <v>45</v>
      </c>
      <c r="CW70" s="299">
        <v>45</v>
      </c>
      <c r="CX70" s="299">
        <v>45</v>
      </c>
      <c r="CY70" s="299">
        <v>45</v>
      </c>
      <c r="CZ70" s="299">
        <v>45</v>
      </c>
      <c r="DA70" s="299">
        <v>45</v>
      </c>
      <c r="DB70" s="299">
        <v>45</v>
      </c>
      <c r="DC70" s="299">
        <v>45</v>
      </c>
      <c r="DD70" s="299">
        <v>45</v>
      </c>
      <c r="DE70" s="299">
        <v>45</v>
      </c>
      <c r="DF70" s="299">
        <v>45</v>
      </c>
      <c r="DG70" s="299">
        <v>45</v>
      </c>
      <c r="DH70" s="299">
        <v>45</v>
      </c>
      <c r="DI70" s="299">
        <v>45</v>
      </c>
      <c r="DJ70" s="299">
        <v>45</v>
      </c>
      <c r="DK70" s="299">
        <v>45</v>
      </c>
      <c r="DL70" s="299">
        <v>45</v>
      </c>
      <c r="DM70" s="299">
        <v>45</v>
      </c>
      <c r="DN70" s="299">
        <v>45</v>
      </c>
      <c r="DO70" s="299">
        <v>45</v>
      </c>
      <c r="DP70" s="299">
        <v>45</v>
      </c>
      <c r="DQ70" s="299">
        <v>45</v>
      </c>
      <c r="DR70" s="299"/>
      <c r="DS70" s="299"/>
      <c r="DT70" s="299">
        <v>45</v>
      </c>
      <c r="DU70" s="299">
        <v>45</v>
      </c>
      <c r="DV70" s="299">
        <v>45</v>
      </c>
      <c r="DW70" s="299">
        <v>45</v>
      </c>
      <c r="DX70" s="299">
        <v>45</v>
      </c>
      <c r="DY70" s="299">
        <v>45</v>
      </c>
      <c r="DZ70" s="299">
        <v>45</v>
      </c>
      <c r="EA70" s="299">
        <v>45</v>
      </c>
      <c r="EB70" s="299">
        <v>45</v>
      </c>
      <c r="EC70" s="299">
        <v>45</v>
      </c>
      <c r="ED70" s="299">
        <v>45</v>
      </c>
      <c r="EE70" s="299">
        <v>45</v>
      </c>
      <c r="EF70" s="299">
        <v>45</v>
      </c>
      <c r="EG70" s="299">
        <v>45</v>
      </c>
      <c r="EH70" s="299">
        <v>45</v>
      </c>
      <c r="EI70" s="299">
        <v>45</v>
      </c>
      <c r="EJ70" s="299">
        <v>45</v>
      </c>
      <c r="EK70" s="299">
        <v>45</v>
      </c>
      <c r="EL70" s="299">
        <v>45</v>
      </c>
      <c r="EM70" s="299">
        <v>45</v>
      </c>
      <c r="EN70" s="299">
        <v>45</v>
      </c>
      <c r="EO70" s="299">
        <v>45</v>
      </c>
      <c r="EP70" s="299">
        <v>45</v>
      </c>
      <c r="EQ70" s="299">
        <v>45</v>
      </c>
      <c r="ER70" s="299">
        <v>45</v>
      </c>
      <c r="ES70" s="299">
        <v>45</v>
      </c>
      <c r="ET70" s="299">
        <v>45</v>
      </c>
      <c r="EU70" s="299"/>
      <c r="EV70" s="299"/>
      <c r="EW70" s="299"/>
      <c r="EX70" s="299"/>
      <c r="EY70" s="299"/>
      <c r="EZ70" s="299"/>
      <c r="FA70" s="299"/>
      <c r="FB70" s="299"/>
      <c r="FC70" s="299"/>
      <c r="FD70" s="299"/>
      <c r="FE70" s="299"/>
      <c r="FF70" s="299"/>
      <c r="FG70" s="299"/>
      <c r="FH70" s="299"/>
      <c r="FI70" s="299"/>
      <c r="FJ70" s="299"/>
      <c r="FK70" s="299"/>
      <c r="FL70" s="299"/>
      <c r="FM70" s="299"/>
      <c r="FN70" s="299"/>
      <c r="FO70" s="299"/>
      <c r="FP70" s="299"/>
      <c r="FQ70" s="300" t="e">
        <f t="shared" ca="1" si="56"/>
        <v>#VALUE!</v>
      </c>
      <c r="FR70" s="300" t="e">
        <f t="shared" ca="1" si="70"/>
        <v>#VALUE!</v>
      </c>
      <c r="FS70" s="300" t="e">
        <f t="shared" ca="1" si="70"/>
        <v>#VALUE!</v>
      </c>
      <c r="FT70" s="300" t="e">
        <f t="shared" ca="1" si="70"/>
        <v>#VALUE!</v>
      </c>
      <c r="FU70" s="300" t="e">
        <f t="shared" ca="1" si="70"/>
        <v>#VALUE!</v>
      </c>
      <c r="FV70" s="300" t="e">
        <f t="shared" ca="1" si="70"/>
        <v>#VALUE!</v>
      </c>
      <c r="FW70" s="300" t="e">
        <f t="shared" ca="1" si="70"/>
        <v>#VALUE!</v>
      </c>
      <c r="FX70" s="300" t="e">
        <f t="shared" ca="1" si="70"/>
        <v>#VALUE!</v>
      </c>
      <c r="FY70" s="300" t="e">
        <f t="shared" ca="1" si="70"/>
        <v>#VALUE!</v>
      </c>
      <c r="FZ70" s="300" t="e">
        <f t="shared" ca="1" si="70"/>
        <v>#VALUE!</v>
      </c>
      <c r="GA70" s="301" t="e">
        <f t="shared" ca="1" si="70"/>
        <v>#VALUE!</v>
      </c>
      <c r="GB70" s="301" t="e">
        <f t="shared" ca="1" si="71"/>
        <v>#VALUE!</v>
      </c>
      <c r="GC70" s="301" t="e">
        <f t="shared" ca="1" si="71"/>
        <v>#VALUE!</v>
      </c>
      <c r="GD70" s="301" t="e">
        <f t="shared" ca="1" si="71"/>
        <v>#VALUE!</v>
      </c>
      <c r="GE70" s="301" t="e">
        <f t="shared" ca="1" si="71"/>
        <v>#VALUE!</v>
      </c>
      <c r="GF70" s="301" t="e">
        <f t="shared" ca="1" si="71"/>
        <v>#VALUE!</v>
      </c>
      <c r="GG70" s="301" t="e">
        <f t="shared" ca="1" si="71"/>
        <v>#VALUE!</v>
      </c>
      <c r="GH70" s="301" t="e">
        <f t="shared" ca="1" si="71"/>
        <v>#VALUE!</v>
      </c>
      <c r="GI70" s="301" t="e">
        <f t="shared" ca="1" si="71"/>
        <v>#VALUE!</v>
      </c>
      <c r="GJ70" s="301" t="e">
        <f t="shared" ca="1" si="71"/>
        <v>#VALUE!</v>
      </c>
      <c r="GK70" s="301" t="e">
        <f t="shared" ca="1" si="71"/>
        <v>#VALUE!</v>
      </c>
      <c r="GL70" s="301" t="e">
        <f t="shared" ca="1" si="71"/>
        <v>#VALUE!</v>
      </c>
      <c r="GM70" s="301" t="e">
        <f t="shared" ca="1" si="71"/>
        <v>#VALUE!</v>
      </c>
      <c r="GN70" s="302" t="e">
        <f t="shared" ca="1" si="71"/>
        <v>#VALUE!</v>
      </c>
      <c r="GO70" s="302" t="e">
        <f t="shared" ca="1" si="71"/>
        <v>#VALUE!</v>
      </c>
      <c r="GP70" s="301">
        <f t="shared" si="80"/>
        <v>90</v>
      </c>
      <c r="GQ70" s="301">
        <f t="shared" si="80"/>
        <v>180</v>
      </c>
      <c r="GR70" s="301">
        <f t="shared" si="80"/>
        <v>180</v>
      </c>
      <c r="GS70" s="301">
        <f t="shared" si="80"/>
        <v>180</v>
      </c>
      <c r="GT70" s="301">
        <f t="shared" si="80"/>
        <v>180</v>
      </c>
      <c r="GU70" s="303">
        <f t="shared" si="80"/>
        <v>180</v>
      </c>
      <c r="GV70" s="302">
        <f t="shared" si="80"/>
        <v>180</v>
      </c>
      <c r="GW70" s="302">
        <f t="shared" si="80"/>
        <v>135</v>
      </c>
      <c r="GX70" s="302">
        <f t="shared" si="80"/>
        <v>0</v>
      </c>
      <c r="GY70" s="302">
        <f t="shared" si="80"/>
        <v>0</v>
      </c>
      <c r="GZ70" s="302">
        <f t="shared" si="80"/>
        <v>0</v>
      </c>
      <c r="HA70" s="302">
        <f t="shared" si="80"/>
        <v>0</v>
      </c>
      <c r="HB70" s="302">
        <f t="shared" si="80"/>
        <v>0</v>
      </c>
      <c r="HC70" s="302">
        <f t="shared" si="80"/>
        <v>0</v>
      </c>
      <c r="HD70" s="302">
        <f t="shared" si="80"/>
        <v>0</v>
      </c>
      <c r="HE70" s="302">
        <f t="shared" si="80"/>
        <v>0</v>
      </c>
      <c r="HF70" s="304"/>
      <c r="HG70" s="305"/>
    </row>
    <row r="71" spans="1:215" s="306" customFormat="1" ht="15.75" customHeight="1">
      <c r="A71" s="307"/>
      <c r="B71" s="292" t="s">
        <v>85</v>
      </c>
      <c r="C71" s="292" t="s">
        <v>195</v>
      </c>
      <c r="D71" s="292" t="s">
        <v>218</v>
      </c>
      <c r="E71" s="292" t="s">
        <v>426</v>
      </c>
      <c r="F71" s="292" t="s">
        <v>184</v>
      </c>
      <c r="G71" s="292" t="s">
        <v>350</v>
      </c>
      <c r="H71" s="292" t="s">
        <v>351</v>
      </c>
      <c r="I71" s="292" t="s">
        <v>352</v>
      </c>
      <c r="J71" s="292" t="s">
        <v>184</v>
      </c>
      <c r="K71" s="292" t="s">
        <v>353</v>
      </c>
      <c r="L71" s="292" t="s">
        <v>359</v>
      </c>
      <c r="M71" s="292" t="s">
        <v>374</v>
      </c>
      <c r="N71" s="292" t="str">
        <f t="shared" si="72"/>
        <v>PTD-Delivery  Warehouse</v>
      </c>
      <c r="O71" s="292" t="str">
        <f t="shared" si="73"/>
        <v>Technology-Senior Consultant-India-Consulting</v>
      </c>
      <c r="P71" s="292" t="str">
        <f t="shared" si="74"/>
        <v>PTD - Technology</v>
      </c>
      <c r="Q71" s="293">
        <f t="shared" si="42"/>
        <v>284355</v>
      </c>
      <c r="R71" s="294">
        <f t="shared" si="43"/>
        <v>28755</v>
      </c>
      <c r="S71" s="295">
        <f t="shared" si="75"/>
        <v>1305</v>
      </c>
      <c r="T71" s="295">
        <f t="shared" si="44"/>
        <v>4005</v>
      </c>
      <c r="U71" s="296" t="str">
        <f t="shared" si="76"/>
        <v>Technology - Senior Consultant</v>
      </c>
      <c r="V71" s="295" t="str">
        <f t="shared" si="77"/>
        <v>3-5 years</v>
      </c>
      <c r="W71" s="292" t="str">
        <f t="shared" si="78"/>
        <v>Offshore</v>
      </c>
      <c r="X71" s="292" t="s">
        <v>261</v>
      </c>
      <c r="Y71" s="292" t="s">
        <v>259</v>
      </c>
      <c r="Z71" s="292" t="s">
        <v>364</v>
      </c>
      <c r="AA71" s="297">
        <f>[1]Resourcing!QD75</f>
        <v>53.163103448275898</v>
      </c>
      <c r="AB71" s="298">
        <f t="shared" si="79"/>
        <v>71</v>
      </c>
      <c r="AC71" s="299"/>
      <c r="AD71" s="299"/>
      <c r="AE71" s="299"/>
      <c r="AF71" s="299"/>
      <c r="AG71" s="299"/>
      <c r="AH71" s="299"/>
      <c r="AI71" s="299"/>
      <c r="AJ71" s="299"/>
      <c r="AK71" s="299"/>
      <c r="AL71" s="299"/>
      <c r="AM71" s="299"/>
      <c r="AN71" s="299"/>
      <c r="AO71" s="299"/>
      <c r="AP71" s="299"/>
      <c r="AQ71" s="299"/>
      <c r="AR71" s="299"/>
      <c r="AS71" s="299"/>
      <c r="AT71" s="299"/>
      <c r="AU71" s="299"/>
      <c r="AV71" s="299"/>
      <c r="AW71" s="299"/>
      <c r="AX71" s="299"/>
      <c r="AY71" s="299"/>
      <c r="AZ71" s="299"/>
      <c r="BA71" s="299"/>
      <c r="BB71" s="299"/>
      <c r="BC71" s="299"/>
      <c r="BD71" s="299"/>
      <c r="BE71" s="299"/>
      <c r="BF71" s="299">
        <v>45</v>
      </c>
      <c r="BG71" s="299">
        <v>45</v>
      </c>
      <c r="BH71" s="299">
        <v>45</v>
      </c>
      <c r="BI71" s="299">
        <v>45</v>
      </c>
      <c r="BJ71" s="299">
        <v>45</v>
      </c>
      <c r="BK71" s="299">
        <v>45</v>
      </c>
      <c r="BL71" s="299">
        <v>45</v>
      </c>
      <c r="BM71" s="299">
        <v>45</v>
      </c>
      <c r="BN71" s="299">
        <v>45</v>
      </c>
      <c r="BO71" s="299">
        <v>45</v>
      </c>
      <c r="BP71" s="299">
        <v>45</v>
      </c>
      <c r="BQ71" s="299">
        <v>45</v>
      </c>
      <c r="BR71" s="299"/>
      <c r="BS71" s="299"/>
      <c r="BT71" s="299">
        <v>45</v>
      </c>
      <c r="BU71" s="299">
        <v>45</v>
      </c>
      <c r="BV71" s="299">
        <v>45</v>
      </c>
      <c r="BW71" s="299">
        <v>45</v>
      </c>
      <c r="BX71" s="299">
        <v>45</v>
      </c>
      <c r="BY71" s="299">
        <v>45</v>
      </c>
      <c r="BZ71" s="299">
        <v>45</v>
      </c>
      <c r="CA71" s="299">
        <v>45</v>
      </c>
      <c r="CB71" s="299">
        <v>45</v>
      </c>
      <c r="CC71" s="299">
        <v>45</v>
      </c>
      <c r="CD71" s="299">
        <v>45</v>
      </c>
      <c r="CE71" s="299">
        <v>45</v>
      </c>
      <c r="CF71" s="299">
        <v>45</v>
      </c>
      <c r="CG71" s="299">
        <v>45</v>
      </c>
      <c r="CH71" s="299">
        <v>45</v>
      </c>
      <c r="CI71" s="299">
        <v>45</v>
      </c>
      <c r="CJ71" s="299">
        <v>45</v>
      </c>
      <c r="CK71" s="299">
        <v>45</v>
      </c>
      <c r="CL71" s="299">
        <v>45</v>
      </c>
      <c r="CM71" s="299">
        <v>45</v>
      </c>
      <c r="CN71" s="299">
        <v>45</v>
      </c>
      <c r="CO71" s="299">
        <v>45</v>
      </c>
      <c r="CP71" s="299">
        <v>45</v>
      </c>
      <c r="CQ71" s="299">
        <v>45</v>
      </c>
      <c r="CR71" s="299">
        <v>45</v>
      </c>
      <c r="CS71" s="299">
        <v>45</v>
      </c>
      <c r="CT71" s="299">
        <v>45</v>
      </c>
      <c r="CU71" s="299">
        <v>45</v>
      </c>
      <c r="CV71" s="299">
        <v>45</v>
      </c>
      <c r="CW71" s="299">
        <v>45</v>
      </c>
      <c r="CX71" s="299">
        <v>45</v>
      </c>
      <c r="CY71" s="299">
        <v>45</v>
      </c>
      <c r="CZ71" s="299">
        <v>45</v>
      </c>
      <c r="DA71" s="299">
        <v>45</v>
      </c>
      <c r="DB71" s="299">
        <v>45</v>
      </c>
      <c r="DC71" s="299">
        <v>45</v>
      </c>
      <c r="DD71" s="299">
        <v>45</v>
      </c>
      <c r="DE71" s="299">
        <v>45</v>
      </c>
      <c r="DF71" s="299">
        <v>45</v>
      </c>
      <c r="DG71" s="299">
        <v>45</v>
      </c>
      <c r="DH71" s="299">
        <v>45</v>
      </c>
      <c r="DI71" s="299">
        <v>45</v>
      </c>
      <c r="DJ71" s="299">
        <v>45</v>
      </c>
      <c r="DK71" s="299">
        <v>45</v>
      </c>
      <c r="DL71" s="299">
        <v>45</v>
      </c>
      <c r="DM71" s="299">
        <v>45</v>
      </c>
      <c r="DN71" s="299">
        <v>45</v>
      </c>
      <c r="DO71" s="299">
        <v>45</v>
      </c>
      <c r="DP71" s="299">
        <v>45</v>
      </c>
      <c r="DQ71" s="299">
        <v>45</v>
      </c>
      <c r="DR71" s="299"/>
      <c r="DS71" s="299"/>
      <c r="DT71" s="299">
        <v>45</v>
      </c>
      <c r="DU71" s="299">
        <v>45</v>
      </c>
      <c r="DV71" s="299">
        <v>45</v>
      </c>
      <c r="DW71" s="299">
        <v>45</v>
      </c>
      <c r="DX71" s="299">
        <v>45</v>
      </c>
      <c r="DY71" s="299">
        <v>45</v>
      </c>
      <c r="DZ71" s="299">
        <v>45</v>
      </c>
      <c r="EA71" s="299">
        <v>45</v>
      </c>
      <c r="EB71" s="299">
        <v>45</v>
      </c>
      <c r="EC71" s="299">
        <v>45</v>
      </c>
      <c r="ED71" s="299">
        <v>45</v>
      </c>
      <c r="EE71" s="299">
        <v>45</v>
      </c>
      <c r="EF71" s="299">
        <v>45</v>
      </c>
      <c r="EG71" s="299">
        <v>45</v>
      </c>
      <c r="EH71" s="299">
        <v>45</v>
      </c>
      <c r="EI71" s="299">
        <v>45</v>
      </c>
      <c r="EJ71" s="299">
        <v>45</v>
      </c>
      <c r="EK71" s="299">
        <v>45</v>
      </c>
      <c r="EL71" s="299">
        <v>45</v>
      </c>
      <c r="EM71" s="299">
        <v>45</v>
      </c>
      <c r="EN71" s="299">
        <v>45</v>
      </c>
      <c r="EO71" s="299">
        <v>45</v>
      </c>
      <c r="EP71" s="299">
        <v>45</v>
      </c>
      <c r="EQ71" s="299">
        <v>45</v>
      </c>
      <c r="ER71" s="299">
        <v>45</v>
      </c>
      <c r="ES71" s="299">
        <v>45</v>
      </c>
      <c r="ET71" s="299">
        <v>45</v>
      </c>
      <c r="EU71" s="299"/>
      <c r="EV71" s="299"/>
      <c r="EW71" s="299"/>
      <c r="EX71" s="299"/>
      <c r="EY71" s="299"/>
      <c r="EZ71" s="299"/>
      <c r="FA71" s="299"/>
      <c r="FB71" s="299"/>
      <c r="FC71" s="299"/>
      <c r="FD71" s="299"/>
      <c r="FE71" s="299"/>
      <c r="FF71" s="299"/>
      <c r="FG71" s="299"/>
      <c r="FH71" s="299"/>
      <c r="FI71" s="299"/>
      <c r="FJ71" s="299"/>
      <c r="FK71" s="299"/>
      <c r="FL71" s="299"/>
      <c r="FM71" s="299"/>
      <c r="FN71" s="299"/>
      <c r="FO71" s="299"/>
      <c r="FP71" s="299"/>
      <c r="FQ71" s="300" t="e">
        <f t="shared" ca="1" si="56"/>
        <v>#VALUE!</v>
      </c>
      <c r="FR71" s="300" t="e">
        <f t="shared" ca="1" si="70"/>
        <v>#VALUE!</v>
      </c>
      <c r="FS71" s="300" t="e">
        <f t="shared" ca="1" si="70"/>
        <v>#VALUE!</v>
      </c>
      <c r="FT71" s="300" t="e">
        <f t="shared" ca="1" si="70"/>
        <v>#VALUE!</v>
      </c>
      <c r="FU71" s="300" t="e">
        <f t="shared" ca="1" si="70"/>
        <v>#VALUE!</v>
      </c>
      <c r="FV71" s="300" t="e">
        <f t="shared" ca="1" si="70"/>
        <v>#VALUE!</v>
      </c>
      <c r="FW71" s="300" t="e">
        <f t="shared" ca="1" si="70"/>
        <v>#VALUE!</v>
      </c>
      <c r="FX71" s="300" t="e">
        <f t="shared" ca="1" si="70"/>
        <v>#VALUE!</v>
      </c>
      <c r="FY71" s="300" t="e">
        <f t="shared" ca="1" si="70"/>
        <v>#VALUE!</v>
      </c>
      <c r="FZ71" s="300" t="e">
        <f t="shared" ca="1" si="70"/>
        <v>#VALUE!</v>
      </c>
      <c r="GA71" s="301" t="e">
        <f t="shared" ca="1" si="70"/>
        <v>#VALUE!</v>
      </c>
      <c r="GB71" s="301" t="e">
        <f t="shared" ca="1" si="71"/>
        <v>#VALUE!</v>
      </c>
      <c r="GC71" s="301" t="e">
        <f t="shared" ca="1" si="71"/>
        <v>#VALUE!</v>
      </c>
      <c r="GD71" s="301" t="e">
        <f t="shared" ca="1" si="71"/>
        <v>#VALUE!</v>
      </c>
      <c r="GE71" s="301" t="e">
        <f t="shared" ca="1" si="71"/>
        <v>#VALUE!</v>
      </c>
      <c r="GF71" s="301" t="e">
        <f t="shared" ca="1" si="71"/>
        <v>#VALUE!</v>
      </c>
      <c r="GG71" s="301" t="e">
        <f t="shared" ca="1" si="71"/>
        <v>#VALUE!</v>
      </c>
      <c r="GH71" s="301" t="e">
        <f t="shared" ca="1" si="71"/>
        <v>#VALUE!</v>
      </c>
      <c r="GI71" s="301" t="e">
        <f t="shared" ca="1" si="71"/>
        <v>#VALUE!</v>
      </c>
      <c r="GJ71" s="301" t="e">
        <f t="shared" ca="1" si="71"/>
        <v>#VALUE!</v>
      </c>
      <c r="GK71" s="301" t="e">
        <f t="shared" ca="1" si="71"/>
        <v>#VALUE!</v>
      </c>
      <c r="GL71" s="301" t="e">
        <f t="shared" ca="1" si="71"/>
        <v>#VALUE!</v>
      </c>
      <c r="GM71" s="301" t="e">
        <f t="shared" ca="1" si="71"/>
        <v>#VALUE!</v>
      </c>
      <c r="GN71" s="302" t="e">
        <f t="shared" ca="1" si="71"/>
        <v>#VALUE!</v>
      </c>
      <c r="GO71" s="302" t="e">
        <f t="shared" ca="1" si="71"/>
        <v>#VALUE!</v>
      </c>
      <c r="GP71" s="301">
        <f t="shared" si="80"/>
        <v>90</v>
      </c>
      <c r="GQ71" s="301">
        <f t="shared" si="80"/>
        <v>180</v>
      </c>
      <c r="GR71" s="301">
        <f t="shared" si="80"/>
        <v>180</v>
      </c>
      <c r="GS71" s="301">
        <f t="shared" si="80"/>
        <v>180</v>
      </c>
      <c r="GT71" s="301">
        <f t="shared" si="80"/>
        <v>180</v>
      </c>
      <c r="GU71" s="303">
        <f t="shared" si="80"/>
        <v>180</v>
      </c>
      <c r="GV71" s="302">
        <f t="shared" si="80"/>
        <v>180</v>
      </c>
      <c r="GW71" s="302">
        <f t="shared" si="80"/>
        <v>135</v>
      </c>
      <c r="GX71" s="302">
        <f t="shared" si="80"/>
        <v>0</v>
      </c>
      <c r="GY71" s="302">
        <f t="shared" si="80"/>
        <v>0</v>
      </c>
      <c r="GZ71" s="302">
        <f t="shared" si="80"/>
        <v>0</v>
      </c>
      <c r="HA71" s="302">
        <f t="shared" si="80"/>
        <v>0</v>
      </c>
      <c r="HB71" s="302">
        <f t="shared" si="80"/>
        <v>0</v>
      </c>
      <c r="HC71" s="302">
        <f t="shared" si="80"/>
        <v>0</v>
      </c>
      <c r="HD71" s="302">
        <f t="shared" si="80"/>
        <v>0</v>
      </c>
      <c r="HE71" s="302">
        <f t="shared" si="80"/>
        <v>0</v>
      </c>
      <c r="HF71" s="304"/>
      <c r="HG71" s="305"/>
    </row>
    <row r="72" spans="1:215" s="306" customFormat="1" ht="15.75" customHeight="1">
      <c r="A72" s="307"/>
      <c r="B72" s="292" t="s">
        <v>85</v>
      </c>
      <c r="C72" s="292" t="s">
        <v>195</v>
      </c>
      <c r="D72" s="292" t="s">
        <v>218</v>
      </c>
      <c r="E72" s="292" t="s">
        <v>427</v>
      </c>
      <c r="F72" s="292" t="s">
        <v>184</v>
      </c>
      <c r="G72" s="292" t="s">
        <v>350</v>
      </c>
      <c r="H72" s="292" t="s">
        <v>351</v>
      </c>
      <c r="I72" s="292" t="s">
        <v>352</v>
      </c>
      <c r="J72" s="292" t="s">
        <v>184</v>
      </c>
      <c r="K72" s="292" t="s">
        <v>353</v>
      </c>
      <c r="L72" s="292" t="s">
        <v>359</v>
      </c>
      <c r="M72" s="292" t="s">
        <v>367</v>
      </c>
      <c r="N72" s="292" t="str">
        <f t="shared" si="72"/>
        <v>PTD-Delivery  Warehouse</v>
      </c>
      <c r="O72" s="292" t="str">
        <f t="shared" si="73"/>
        <v>Technology-Consultant-India-Consulting</v>
      </c>
      <c r="P72" s="292" t="str">
        <f t="shared" si="74"/>
        <v>PTD - Technology</v>
      </c>
      <c r="Q72" s="293">
        <f t="shared" si="42"/>
        <v>162000</v>
      </c>
      <c r="R72" s="294">
        <f t="shared" si="43"/>
        <v>0</v>
      </c>
      <c r="S72" s="295">
        <f t="shared" si="75"/>
        <v>1305</v>
      </c>
      <c r="T72" s="295">
        <f t="shared" si="44"/>
        <v>2700</v>
      </c>
      <c r="U72" s="296" t="str">
        <f t="shared" si="76"/>
        <v>Technology - Consultant</v>
      </c>
      <c r="V72" s="295" t="str">
        <f t="shared" si="77"/>
        <v>1-3 years</v>
      </c>
      <c r="W72" s="292" t="str">
        <f t="shared" si="78"/>
        <v>Offshore</v>
      </c>
      <c r="X72" s="292" t="s">
        <v>261</v>
      </c>
      <c r="Y72" s="292" t="s">
        <v>259</v>
      </c>
      <c r="Z72" s="292" t="s">
        <v>368</v>
      </c>
      <c r="AA72" s="297">
        <f>[1]Resourcing!QD76</f>
        <v>54.18</v>
      </c>
      <c r="AB72" s="298">
        <f t="shared" si="79"/>
        <v>60</v>
      </c>
      <c r="AC72" s="299"/>
      <c r="AD72" s="299"/>
      <c r="AE72" s="299"/>
      <c r="AF72" s="299"/>
      <c r="AG72" s="299"/>
      <c r="AH72" s="299"/>
      <c r="AI72" s="299"/>
      <c r="AJ72" s="299"/>
      <c r="AK72" s="299"/>
      <c r="AL72" s="299"/>
      <c r="AM72" s="299"/>
      <c r="AN72" s="299"/>
      <c r="AO72" s="299"/>
      <c r="AP72" s="299"/>
      <c r="AQ72" s="299"/>
      <c r="AR72" s="299"/>
      <c r="AS72" s="299"/>
      <c r="AT72" s="299"/>
      <c r="AU72" s="299"/>
      <c r="AV72" s="299"/>
      <c r="AW72" s="299"/>
      <c r="AX72" s="299"/>
      <c r="AY72" s="299"/>
      <c r="AZ72" s="299"/>
      <c r="BA72" s="299"/>
      <c r="BB72" s="299"/>
      <c r="BC72" s="299"/>
      <c r="BD72" s="299"/>
      <c r="BE72" s="299"/>
      <c r="BF72" s="299"/>
      <c r="BG72" s="299"/>
      <c r="BH72" s="299"/>
      <c r="BI72" s="299" t="s">
        <v>421</v>
      </c>
      <c r="BJ72" s="299" t="s">
        <v>421</v>
      </c>
      <c r="BK72" s="299" t="s">
        <v>421</v>
      </c>
      <c r="BL72" s="299"/>
      <c r="BM72" s="299"/>
      <c r="BN72" s="299"/>
      <c r="BO72" s="299"/>
      <c r="BP72" s="299"/>
      <c r="BQ72" s="299"/>
      <c r="BR72" s="299"/>
      <c r="BS72" s="299"/>
      <c r="BT72" s="299"/>
      <c r="BU72" s="299"/>
      <c r="BV72" s="299"/>
      <c r="BW72" s="299"/>
      <c r="BX72" s="299"/>
      <c r="BY72" s="324">
        <v>0</v>
      </c>
      <c r="BZ72" s="324">
        <v>0</v>
      </c>
      <c r="CA72" s="324">
        <v>0</v>
      </c>
      <c r="CB72" s="324">
        <v>0</v>
      </c>
      <c r="CC72" s="324">
        <v>0</v>
      </c>
      <c r="CD72" s="324">
        <v>0</v>
      </c>
      <c r="CE72" s="324">
        <v>0</v>
      </c>
      <c r="CF72" s="324">
        <v>0</v>
      </c>
      <c r="CG72" s="324">
        <v>0</v>
      </c>
      <c r="CH72" s="324">
        <v>0</v>
      </c>
      <c r="CI72" s="324">
        <v>0</v>
      </c>
      <c r="CJ72" s="324">
        <v>0</v>
      </c>
      <c r="CK72" s="299">
        <v>45</v>
      </c>
      <c r="CL72" s="299">
        <v>45</v>
      </c>
      <c r="CM72" s="299">
        <v>45</v>
      </c>
      <c r="CN72" s="299">
        <v>45</v>
      </c>
      <c r="CO72" s="299">
        <v>45</v>
      </c>
      <c r="CP72" s="299">
        <v>45</v>
      </c>
      <c r="CQ72" s="299">
        <v>45</v>
      </c>
      <c r="CR72" s="299">
        <v>45</v>
      </c>
      <c r="CS72" s="299">
        <v>45</v>
      </c>
      <c r="CT72" s="299">
        <v>45</v>
      </c>
      <c r="CU72" s="299">
        <v>45</v>
      </c>
      <c r="CV72" s="299">
        <v>45</v>
      </c>
      <c r="CW72" s="299">
        <v>45</v>
      </c>
      <c r="CX72" s="299">
        <v>45</v>
      </c>
      <c r="CY72" s="299">
        <v>45</v>
      </c>
      <c r="CZ72" s="299">
        <v>45</v>
      </c>
      <c r="DA72" s="299">
        <v>45</v>
      </c>
      <c r="DB72" s="299">
        <v>45</v>
      </c>
      <c r="DC72" s="299">
        <v>45</v>
      </c>
      <c r="DD72" s="299">
        <v>45</v>
      </c>
      <c r="DE72" s="299">
        <v>45</v>
      </c>
      <c r="DF72" s="299">
        <v>45</v>
      </c>
      <c r="DG72" s="299">
        <v>45</v>
      </c>
      <c r="DH72" s="299">
        <v>45</v>
      </c>
      <c r="DI72" s="299">
        <v>45</v>
      </c>
      <c r="DJ72" s="299">
        <v>45</v>
      </c>
      <c r="DK72" s="299">
        <v>45</v>
      </c>
      <c r="DL72" s="299">
        <v>45</v>
      </c>
      <c r="DM72" s="299">
        <v>45</v>
      </c>
      <c r="DN72" s="299">
        <v>45</v>
      </c>
      <c r="DO72" s="299">
        <v>45</v>
      </c>
      <c r="DP72" s="299">
        <v>45</v>
      </c>
      <c r="DQ72" s="299">
        <v>45</v>
      </c>
      <c r="DR72" s="299"/>
      <c r="DS72" s="299"/>
      <c r="DT72" s="299">
        <v>45</v>
      </c>
      <c r="DU72" s="299">
        <v>45</v>
      </c>
      <c r="DV72" s="299">
        <v>45</v>
      </c>
      <c r="DW72" s="299">
        <v>45</v>
      </c>
      <c r="DX72" s="299">
        <v>45</v>
      </c>
      <c r="DY72" s="299">
        <v>45</v>
      </c>
      <c r="DZ72" s="299">
        <v>45</v>
      </c>
      <c r="EA72" s="299">
        <v>45</v>
      </c>
      <c r="EB72" s="299">
        <v>45</v>
      </c>
      <c r="EC72" s="299">
        <v>45</v>
      </c>
      <c r="ED72" s="299">
        <v>45</v>
      </c>
      <c r="EE72" s="299">
        <v>45</v>
      </c>
      <c r="EF72" s="324">
        <v>45</v>
      </c>
      <c r="EG72" s="324">
        <v>45</v>
      </c>
      <c r="EH72" s="324">
        <v>45</v>
      </c>
      <c r="EI72" s="324">
        <v>45</v>
      </c>
      <c r="EJ72" s="324">
        <v>45</v>
      </c>
      <c r="EK72" s="324">
        <v>45</v>
      </c>
      <c r="EL72" s="324">
        <v>45</v>
      </c>
      <c r="EM72" s="324">
        <v>45</v>
      </c>
      <c r="EN72" s="324">
        <v>45</v>
      </c>
      <c r="EO72" s="324">
        <v>45</v>
      </c>
      <c r="EP72" s="324">
        <v>45</v>
      </c>
      <c r="EQ72" s="324">
        <v>45</v>
      </c>
      <c r="ER72" s="324">
        <v>45</v>
      </c>
      <c r="ES72" s="324">
        <v>45</v>
      </c>
      <c r="ET72" s="324">
        <v>45</v>
      </c>
      <c r="EU72" s="299"/>
      <c r="EV72" s="299"/>
      <c r="EW72" s="299"/>
      <c r="EX72" s="299"/>
      <c r="EY72" s="299"/>
      <c r="EZ72" s="299"/>
      <c r="FA72" s="299"/>
      <c r="FB72" s="299"/>
      <c r="FC72" s="299"/>
      <c r="FD72" s="299"/>
      <c r="FE72" s="299"/>
      <c r="FF72" s="299"/>
      <c r="FG72" s="299"/>
      <c r="FH72" s="299"/>
      <c r="FI72" s="299"/>
      <c r="FJ72" s="299"/>
      <c r="FK72" s="299"/>
      <c r="FL72" s="299"/>
      <c r="FM72" s="299"/>
      <c r="FN72" s="299"/>
      <c r="FO72" s="299"/>
      <c r="FP72" s="299"/>
      <c r="FQ72" s="300" t="e">
        <f t="shared" ca="1" si="56"/>
        <v>#VALUE!</v>
      </c>
      <c r="FR72" s="300" t="e">
        <f t="shared" ca="1" si="70"/>
        <v>#VALUE!</v>
      </c>
      <c r="FS72" s="300" t="e">
        <f t="shared" ca="1" si="70"/>
        <v>#VALUE!</v>
      </c>
      <c r="FT72" s="300" t="e">
        <f t="shared" ca="1" si="70"/>
        <v>#VALUE!</v>
      </c>
      <c r="FU72" s="300" t="e">
        <f t="shared" ca="1" si="70"/>
        <v>#VALUE!</v>
      </c>
      <c r="FV72" s="300" t="e">
        <f t="shared" ca="1" si="70"/>
        <v>#VALUE!</v>
      </c>
      <c r="FW72" s="300" t="e">
        <f t="shared" ca="1" si="70"/>
        <v>#VALUE!</v>
      </c>
      <c r="FX72" s="300" t="e">
        <f t="shared" ca="1" si="70"/>
        <v>#VALUE!</v>
      </c>
      <c r="FY72" s="300" t="e">
        <f t="shared" ca="1" si="70"/>
        <v>#VALUE!</v>
      </c>
      <c r="FZ72" s="300" t="e">
        <f t="shared" ca="1" si="70"/>
        <v>#VALUE!</v>
      </c>
      <c r="GA72" s="301" t="e">
        <f t="shared" ca="1" si="70"/>
        <v>#VALUE!</v>
      </c>
      <c r="GB72" s="301" t="e">
        <f t="shared" ca="1" si="71"/>
        <v>#VALUE!</v>
      </c>
      <c r="GC72" s="301" t="e">
        <f t="shared" ca="1" si="71"/>
        <v>#VALUE!</v>
      </c>
      <c r="GD72" s="301" t="e">
        <f t="shared" ca="1" si="71"/>
        <v>#VALUE!</v>
      </c>
      <c r="GE72" s="301" t="e">
        <f t="shared" ca="1" si="71"/>
        <v>#VALUE!</v>
      </c>
      <c r="GF72" s="301" t="e">
        <f t="shared" ca="1" si="71"/>
        <v>#VALUE!</v>
      </c>
      <c r="GG72" s="301" t="e">
        <f t="shared" ca="1" si="71"/>
        <v>#VALUE!</v>
      </c>
      <c r="GH72" s="301" t="e">
        <f t="shared" ca="1" si="71"/>
        <v>#VALUE!</v>
      </c>
      <c r="GI72" s="301" t="e">
        <f t="shared" ca="1" si="71"/>
        <v>#VALUE!</v>
      </c>
      <c r="GJ72" s="301" t="e">
        <f t="shared" ca="1" si="71"/>
        <v>#VALUE!</v>
      </c>
      <c r="GK72" s="301" t="e">
        <f t="shared" ca="1" si="71"/>
        <v>#VALUE!</v>
      </c>
      <c r="GL72" s="301" t="e">
        <f t="shared" ca="1" si="71"/>
        <v>#VALUE!</v>
      </c>
      <c r="GM72" s="301" t="e">
        <f t="shared" ca="1" si="71"/>
        <v>#VALUE!</v>
      </c>
      <c r="GN72" s="302" t="e">
        <f t="shared" ca="1" si="71"/>
        <v>#VALUE!</v>
      </c>
      <c r="GO72" s="302" t="e">
        <f t="shared" ca="1" si="71"/>
        <v>#VALUE!</v>
      </c>
      <c r="GP72" s="301">
        <f t="shared" si="80"/>
        <v>90</v>
      </c>
      <c r="GQ72" s="301">
        <f t="shared" si="80"/>
        <v>180</v>
      </c>
      <c r="GR72" s="301">
        <f t="shared" si="80"/>
        <v>180</v>
      </c>
      <c r="GS72" s="301">
        <f t="shared" si="80"/>
        <v>180</v>
      </c>
      <c r="GT72" s="301">
        <f t="shared" si="80"/>
        <v>180</v>
      </c>
      <c r="GU72" s="303">
        <f t="shared" si="80"/>
        <v>180</v>
      </c>
      <c r="GV72" s="302">
        <f t="shared" si="80"/>
        <v>180</v>
      </c>
      <c r="GW72" s="302">
        <f t="shared" si="80"/>
        <v>135</v>
      </c>
      <c r="GX72" s="302">
        <f t="shared" si="80"/>
        <v>0</v>
      </c>
      <c r="GY72" s="302">
        <f t="shared" si="80"/>
        <v>0</v>
      </c>
      <c r="GZ72" s="302">
        <f t="shared" si="80"/>
        <v>0</v>
      </c>
      <c r="HA72" s="302">
        <f t="shared" si="80"/>
        <v>0</v>
      </c>
      <c r="HB72" s="302">
        <f t="shared" si="80"/>
        <v>0</v>
      </c>
      <c r="HC72" s="302">
        <f t="shared" si="80"/>
        <v>0</v>
      </c>
      <c r="HD72" s="302">
        <f t="shared" si="80"/>
        <v>0</v>
      </c>
      <c r="HE72" s="302">
        <f t="shared" si="80"/>
        <v>0</v>
      </c>
      <c r="HF72" s="304"/>
      <c r="HG72" s="305"/>
    </row>
    <row r="73" spans="1:215" s="306" customFormat="1" ht="15.75" customHeight="1">
      <c r="A73" s="307"/>
      <c r="B73" s="292" t="s">
        <v>85</v>
      </c>
      <c r="C73" s="292" t="s">
        <v>195</v>
      </c>
      <c r="D73" s="292" t="s">
        <v>218</v>
      </c>
      <c r="E73" s="292" t="s">
        <v>428</v>
      </c>
      <c r="F73" s="292" t="s">
        <v>184</v>
      </c>
      <c r="G73" s="292" t="s">
        <v>350</v>
      </c>
      <c r="H73" s="292" t="s">
        <v>351</v>
      </c>
      <c r="I73" s="292" t="s">
        <v>352</v>
      </c>
      <c r="J73" s="292" t="s">
        <v>184</v>
      </c>
      <c r="K73" s="292" t="s">
        <v>353</v>
      </c>
      <c r="L73" s="292" t="s">
        <v>359</v>
      </c>
      <c r="M73" s="292" t="s">
        <v>363</v>
      </c>
      <c r="N73" s="292" t="str">
        <f t="shared" si="72"/>
        <v>PTD-Delivery  Warehouse</v>
      </c>
      <c r="O73" s="292" t="str">
        <f t="shared" si="73"/>
        <v>Technology-Analyst-India-Consulting</v>
      </c>
      <c r="P73" s="292" t="str">
        <f t="shared" si="74"/>
        <v>PTD - Technology</v>
      </c>
      <c r="Q73" s="293">
        <f t="shared" si="42"/>
        <v>60480</v>
      </c>
      <c r="R73" s="294">
        <f t="shared" si="43"/>
        <v>0</v>
      </c>
      <c r="S73" s="295">
        <f t="shared" si="75"/>
        <v>630</v>
      </c>
      <c r="T73" s="295">
        <f t="shared" si="44"/>
        <v>1260</v>
      </c>
      <c r="U73" s="296" t="str">
        <f t="shared" si="76"/>
        <v>Technology - Analyst</v>
      </c>
      <c r="V73" s="295" t="str">
        <f t="shared" si="77"/>
        <v>0-1 years</v>
      </c>
      <c r="W73" s="292" t="str">
        <f t="shared" si="78"/>
        <v>Offshore</v>
      </c>
      <c r="X73" s="292" t="s">
        <v>261</v>
      </c>
      <c r="Y73" s="292" t="s">
        <v>259</v>
      </c>
      <c r="Z73" s="292" t="s">
        <v>384</v>
      </c>
      <c r="AA73" s="297">
        <f>[1]Resourcing!QD77</f>
        <v>43.1308333333333</v>
      </c>
      <c r="AB73" s="298">
        <f t="shared" si="79"/>
        <v>48</v>
      </c>
      <c r="AC73" s="299"/>
      <c r="AD73" s="299"/>
      <c r="AE73" s="299"/>
      <c r="AF73" s="299"/>
      <c r="AG73" s="299"/>
      <c r="AH73" s="299"/>
      <c r="AI73" s="299"/>
      <c r="AJ73" s="299"/>
      <c r="AK73" s="299"/>
      <c r="AL73" s="299"/>
      <c r="AM73" s="299"/>
      <c r="AN73" s="299"/>
      <c r="AO73" s="299"/>
      <c r="AP73" s="299"/>
      <c r="AQ73" s="299"/>
      <c r="AR73" s="299"/>
      <c r="AS73" s="299"/>
      <c r="AT73" s="299"/>
      <c r="AU73" s="299"/>
      <c r="AV73" s="299"/>
      <c r="AW73" s="299"/>
      <c r="AX73" s="299"/>
      <c r="AY73" s="299"/>
      <c r="AZ73" s="299"/>
      <c r="BA73" s="299"/>
      <c r="BB73" s="299"/>
      <c r="BC73" s="299"/>
      <c r="BD73" s="299"/>
      <c r="BE73" s="299"/>
      <c r="BF73" s="299"/>
      <c r="BG73" s="299"/>
      <c r="BH73" s="299"/>
      <c r="BI73" s="299"/>
      <c r="BJ73" s="299"/>
      <c r="BK73" s="299"/>
      <c r="BL73" s="299"/>
      <c r="BM73" s="299"/>
      <c r="BN73" s="299"/>
      <c r="BO73" s="299"/>
      <c r="BP73" s="299"/>
      <c r="BQ73" s="299"/>
      <c r="BR73" s="299"/>
      <c r="BS73" s="299"/>
      <c r="BT73" s="299"/>
      <c r="BU73" s="299"/>
      <c r="BV73" s="299"/>
      <c r="BW73" s="299"/>
      <c r="BX73" s="299"/>
      <c r="BY73" s="324">
        <v>0</v>
      </c>
      <c r="BZ73" s="324">
        <v>0</v>
      </c>
      <c r="CA73" s="324">
        <v>0</v>
      </c>
      <c r="CB73" s="324">
        <v>0</v>
      </c>
      <c r="CC73" s="324">
        <v>0</v>
      </c>
      <c r="CD73" s="324">
        <v>0</v>
      </c>
      <c r="CE73" s="324">
        <v>0</v>
      </c>
      <c r="CF73" s="324">
        <v>0</v>
      </c>
      <c r="CG73" s="324">
        <v>0</v>
      </c>
      <c r="CH73" s="324">
        <v>0</v>
      </c>
      <c r="CI73" s="324">
        <v>0</v>
      </c>
      <c r="CJ73" s="324">
        <v>0</v>
      </c>
      <c r="CK73" s="324">
        <v>0</v>
      </c>
      <c r="CL73" s="324">
        <v>0</v>
      </c>
      <c r="CM73" s="324">
        <v>0</v>
      </c>
      <c r="CN73" s="324">
        <v>0</v>
      </c>
      <c r="CO73" s="324">
        <v>0</v>
      </c>
      <c r="CP73" s="324">
        <v>0</v>
      </c>
      <c r="CQ73" s="324">
        <v>0</v>
      </c>
      <c r="CR73" s="324">
        <v>0</v>
      </c>
      <c r="CS73" s="324">
        <v>0</v>
      </c>
      <c r="CT73" s="324">
        <v>0</v>
      </c>
      <c r="CU73" s="324">
        <v>0</v>
      </c>
      <c r="CV73" s="324">
        <v>0</v>
      </c>
      <c r="CW73" s="324">
        <v>0</v>
      </c>
      <c r="CX73" s="324">
        <v>0</v>
      </c>
      <c r="CY73" s="324">
        <v>0</v>
      </c>
      <c r="CZ73" s="324">
        <v>0</v>
      </c>
      <c r="DA73" s="324">
        <v>0</v>
      </c>
      <c r="DB73" s="299">
        <v>45</v>
      </c>
      <c r="DC73" s="299">
        <v>45</v>
      </c>
      <c r="DD73" s="299">
        <v>45</v>
      </c>
      <c r="DE73" s="299">
        <v>45</v>
      </c>
      <c r="DF73" s="299">
        <v>45</v>
      </c>
      <c r="DG73" s="299">
        <v>45</v>
      </c>
      <c r="DH73" s="299">
        <v>45</v>
      </c>
      <c r="DI73" s="299">
        <v>45</v>
      </c>
      <c r="DJ73" s="299">
        <v>45</v>
      </c>
      <c r="DK73" s="299">
        <v>45</v>
      </c>
      <c r="DL73" s="299">
        <v>45</v>
      </c>
      <c r="DM73" s="299">
        <v>45</v>
      </c>
      <c r="DN73" s="299">
        <v>45</v>
      </c>
      <c r="DO73" s="299">
        <v>45</v>
      </c>
      <c r="DP73" s="299">
        <v>45</v>
      </c>
      <c r="DQ73" s="299">
        <v>45</v>
      </c>
      <c r="DR73" s="299"/>
      <c r="DS73" s="299"/>
      <c r="DT73" s="299">
        <v>45</v>
      </c>
      <c r="DU73" s="299">
        <v>45</v>
      </c>
      <c r="DV73" s="299">
        <v>45</v>
      </c>
      <c r="DW73" s="299">
        <v>45</v>
      </c>
      <c r="DX73" s="299">
        <v>45</v>
      </c>
      <c r="DY73" s="299">
        <v>45</v>
      </c>
      <c r="DZ73" s="299">
        <v>45</v>
      </c>
      <c r="EA73" s="299">
        <v>45</v>
      </c>
      <c r="EB73" s="299">
        <v>45</v>
      </c>
      <c r="EC73" s="299">
        <v>45</v>
      </c>
      <c r="ED73" s="299">
        <v>45</v>
      </c>
      <c r="EE73" s="299">
        <v>45</v>
      </c>
      <c r="EF73" s="299"/>
      <c r="EG73" s="299"/>
      <c r="EH73" s="299"/>
      <c r="EI73" s="299"/>
      <c r="EJ73" s="299"/>
      <c r="EK73" s="299"/>
      <c r="EL73" s="299"/>
      <c r="EM73" s="299"/>
      <c r="EN73" s="299"/>
      <c r="EO73" s="299"/>
      <c r="EP73" s="299"/>
      <c r="EQ73" s="299"/>
      <c r="ER73" s="299"/>
      <c r="ES73" s="299"/>
      <c r="ET73" s="299"/>
      <c r="EU73" s="299"/>
      <c r="EV73" s="299"/>
      <c r="EW73" s="299"/>
      <c r="EX73" s="299"/>
      <c r="EY73" s="299"/>
      <c r="EZ73" s="299"/>
      <c r="FA73" s="299"/>
      <c r="FB73" s="299"/>
      <c r="FC73" s="299"/>
      <c r="FD73" s="299"/>
      <c r="FE73" s="299"/>
      <c r="FF73" s="299"/>
      <c r="FG73" s="299"/>
      <c r="FH73" s="299"/>
      <c r="FI73" s="299"/>
      <c r="FJ73" s="299"/>
      <c r="FK73" s="299"/>
      <c r="FL73" s="299"/>
      <c r="FM73" s="299"/>
      <c r="FN73" s="299"/>
      <c r="FO73" s="299"/>
      <c r="FP73" s="299"/>
      <c r="FQ73" s="300" t="e">
        <f t="shared" ca="1" si="56"/>
        <v>#VALUE!</v>
      </c>
      <c r="FR73" s="300" t="e">
        <f t="shared" ref="FR73:GA82" ca="1" si="81">SUMIF($AC$11:$FP$11,FR$12,$AC73:$FP73)</f>
        <v>#VALUE!</v>
      </c>
      <c r="FS73" s="300" t="e">
        <f t="shared" ca="1" si="81"/>
        <v>#VALUE!</v>
      </c>
      <c r="FT73" s="300" t="e">
        <f t="shared" ca="1" si="81"/>
        <v>#VALUE!</v>
      </c>
      <c r="FU73" s="300" t="e">
        <f t="shared" ca="1" si="81"/>
        <v>#VALUE!</v>
      </c>
      <c r="FV73" s="300" t="e">
        <f t="shared" ca="1" si="81"/>
        <v>#VALUE!</v>
      </c>
      <c r="FW73" s="300" t="e">
        <f t="shared" ca="1" si="81"/>
        <v>#VALUE!</v>
      </c>
      <c r="FX73" s="300" t="e">
        <f t="shared" ca="1" si="81"/>
        <v>#VALUE!</v>
      </c>
      <c r="FY73" s="300" t="e">
        <f t="shared" ca="1" si="81"/>
        <v>#VALUE!</v>
      </c>
      <c r="FZ73" s="300" t="e">
        <f t="shared" ca="1" si="81"/>
        <v>#VALUE!</v>
      </c>
      <c r="GA73" s="301" t="e">
        <f t="shared" ca="1" si="81"/>
        <v>#VALUE!</v>
      </c>
      <c r="GB73" s="301" t="e">
        <f t="shared" ref="GB73:GO82" ca="1" si="82">SUMIF($AC$11:$FP$11,GB$12,$AC73:$FP73)</f>
        <v>#VALUE!</v>
      </c>
      <c r="GC73" s="301" t="e">
        <f t="shared" ca="1" si="82"/>
        <v>#VALUE!</v>
      </c>
      <c r="GD73" s="301" t="e">
        <f t="shared" ca="1" si="82"/>
        <v>#VALUE!</v>
      </c>
      <c r="GE73" s="301" t="e">
        <f t="shared" ca="1" si="82"/>
        <v>#VALUE!</v>
      </c>
      <c r="GF73" s="301" t="e">
        <f t="shared" ca="1" si="82"/>
        <v>#VALUE!</v>
      </c>
      <c r="GG73" s="301" t="e">
        <f t="shared" ca="1" si="82"/>
        <v>#VALUE!</v>
      </c>
      <c r="GH73" s="301" t="e">
        <f t="shared" ca="1" si="82"/>
        <v>#VALUE!</v>
      </c>
      <c r="GI73" s="301" t="e">
        <f t="shared" ca="1" si="82"/>
        <v>#VALUE!</v>
      </c>
      <c r="GJ73" s="301" t="e">
        <f t="shared" ca="1" si="82"/>
        <v>#VALUE!</v>
      </c>
      <c r="GK73" s="301" t="e">
        <f t="shared" ca="1" si="82"/>
        <v>#VALUE!</v>
      </c>
      <c r="GL73" s="301" t="e">
        <f t="shared" ca="1" si="82"/>
        <v>#VALUE!</v>
      </c>
      <c r="GM73" s="301" t="e">
        <f t="shared" ca="1" si="82"/>
        <v>#VALUE!</v>
      </c>
      <c r="GN73" s="302" t="e">
        <f t="shared" ca="1" si="82"/>
        <v>#VALUE!</v>
      </c>
      <c r="GO73" s="302" t="e">
        <f t="shared" ca="1" si="82"/>
        <v>#VALUE!</v>
      </c>
      <c r="GP73" s="301">
        <f t="shared" si="80"/>
        <v>90</v>
      </c>
      <c r="GQ73" s="301">
        <f t="shared" si="80"/>
        <v>180</v>
      </c>
      <c r="GR73" s="301">
        <f t="shared" si="80"/>
        <v>180</v>
      </c>
      <c r="GS73" s="301">
        <f t="shared" si="80"/>
        <v>180</v>
      </c>
      <c r="GT73" s="301">
        <f t="shared" si="80"/>
        <v>0</v>
      </c>
      <c r="GU73" s="303">
        <f t="shared" si="80"/>
        <v>0</v>
      </c>
      <c r="GV73" s="302">
        <f t="shared" si="80"/>
        <v>0</v>
      </c>
      <c r="GW73" s="302">
        <f t="shared" si="80"/>
        <v>0</v>
      </c>
      <c r="GX73" s="302">
        <f t="shared" si="80"/>
        <v>0</v>
      </c>
      <c r="GY73" s="302">
        <f t="shared" si="80"/>
        <v>0</v>
      </c>
      <c r="GZ73" s="302">
        <f t="shared" si="80"/>
        <v>0</v>
      </c>
      <c r="HA73" s="302">
        <f t="shared" si="80"/>
        <v>0</v>
      </c>
      <c r="HB73" s="302">
        <f t="shared" si="80"/>
        <v>0</v>
      </c>
      <c r="HC73" s="302">
        <f t="shared" si="80"/>
        <v>0</v>
      </c>
      <c r="HD73" s="302">
        <f t="shared" si="80"/>
        <v>0</v>
      </c>
      <c r="HE73" s="302">
        <f t="shared" si="80"/>
        <v>0</v>
      </c>
      <c r="HF73" s="304"/>
      <c r="HG73" s="305"/>
    </row>
    <row r="74" spans="1:215" s="306" customFormat="1" ht="15.75" customHeight="1">
      <c r="A74" s="307"/>
      <c r="B74" s="292" t="s">
        <v>85</v>
      </c>
      <c r="C74" s="292" t="s">
        <v>195</v>
      </c>
      <c r="D74" s="292" t="s">
        <v>219</v>
      </c>
      <c r="E74" s="325" t="s">
        <v>429</v>
      </c>
      <c r="F74" s="292" t="s">
        <v>184</v>
      </c>
      <c r="G74" s="292" t="s">
        <v>350</v>
      </c>
      <c r="H74" s="292" t="s">
        <v>351</v>
      </c>
      <c r="I74" s="292" t="s">
        <v>352</v>
      </c>
      <c r="J74" s="292" t="s">
        <v>184</v>
      </c>
      <c r="K74" s="292" t="s">
        <v>353</v>
      </c>
      <c r="L74" s="292" t="s">
        <v>359</v>
      </c>
      <c r="M74" s="292" t="s">
        <v>374</v>
      </c>
      <c r="N74" s="292" t="str">
        <f t="shared" si="72"/>
        <v xml:space="preserve">PTD-Logistics </v>
      </c>
      <c r="O74" s="292" t="str">
        <f t="shared" si="73"/>
        <v>Technology-Senior Consultant-India-Consulting</v>
      </c>
      <c r="P74" s="292" t="str">
        <f t="shared" si="74"/>
        <v>PTD - Technology</v>
      </c>
      <c r="Q74" s="293">
        <f t="shared" ref="Q74:Q105" si="83">AB74*SUM(AZ74:ET74)</f>
        <v>118215</v>
      </c>
      <c r="R74" s="294">
        <f t="shared" ref="R74:R105" si="84">AB74*SUM(BC74:BN74)</f>
        <v>0</v>
      </c>
      <c r="S74" s="295">
        <f t="shared" si="75"/>
        <v>1080</v>
      </c>
      <c r="T74" s="295">
        <f t="shared" ref="T74:T105" si="85">SUM(AZ74:EZ74)</f>
        <v>1665</v>
      </c>
      <c r="U74" s="296" t="str">
        <f t="shared" si="76"/>
        <v>Technology - Senior Consultant</v>
      </c>
      <c r="V74" s="295" t="str">
        <f t="shared" si="77"/>
        <v>3-5 years</v>
      </c>
      <c r="W74" s="292" t="str">
        <f t="shared" si="78"/>
        <v>Offshore</v>
      </c>
      <c r="X74" s="292" t="s">
        <v>261</v>
      </c>
      <c r="Y74" s="292" t="s">
        <v>259</v>
      </c>
      <c r="Z74" s="292" t="s">
        <v>364</v>
      </c>
      <c r="AA74" s="297">
        <f>[1]Resourcing!QD78</f>
        <v>62.522696629213499</v>
      </c>
      <c r="AB74" s="298">
        <f t="shared" si="79"/>
        <v>71</v>
      </c>
      <c r="AC74" s="299"/>
      <c r="AD74" s="299"/>
      <c r="AE74" s="299"/>
      <c r="AF74" s="299"/>
      <c r="AG74" s="299"/>
      <c r="AH74" s="299"/>
      <c r="AI74" s="299"/>
      <c r="AJ74" s="299"/>
      <c r="AK74" s="299"/>
      <c r="AL74" s="299"/>
      <c r="AM74" s="299"/>
      <c r="AN74" s="299"/>
      <c r="AO74" s="299"/>
      <c r="AP74" s="299"/>
      <c r="AQ74" s="299"/>
      <c r="AR74" s="299"/>
      <c r="AS74" s="299"/>
      <c r="AT74" s="299"/>
      <c r="AU74" s="299"/>
      <c r="AV74" s="299"/>
      <c r="AW74" s="299"/>
      <c r="AX74" s="299"/>
      <c r="AY74" s="299"/>
      <c r="AZ74" s="299"/>
      <c r="BA74" s="299"/>
      <c r="BB74" s="299"/>
      <c r="BC74" s="299"/>
      <c r="BD74" s="299"/>
      <c r="BE74" s="299"/>
      <c r="BF74" s="299"/>
      <c r="BG74" s="299"/>
      <c r="BH74" s="299"/>
      <c r="BI74" s="299"/>
      <c r="BJ74" s="299"/>
      <c r="BK74" s="299"/>
      <c r="BL74" s="299"/>
      <c r="BM74" s="299"/>
      <c r="BN74" s="299"/>
      <c r="BO74" s="299"/>
      <c r="BP74" s="299"/>
      <c r="BQ74" s="299"/>
      <c r="BR74" s="299"/>
      <c r="BS74" s="299"/>
      <c r="BT74" s="299"/>
      <c r="BU74" s="299"/>
      <c r="BV74" s="299"/>
      <c r="BW74" s="299"/>
      <c r="BX74" s="299"/>
      <c r="BY74" s="299"/>
      <c r="BZ74" s="299"/>
      <c r="CA74" s="299"/>
      <c r="CB74" s="299"/>
      <c r="CC74" s="299"/>
      <c r="CD74" s="299"/>
      <c r="CE74" s="299"/>
      <c r="CF74" s="299"/>
      <c r="CG74" s="299"/>
      <c r="CH74" s="299"/>
      <c r="CI74" s="299"/>
      <c r="CJ74" s="299"/>
      <c r="CK74" s="299"/>
      <c r="CL74" s="299"/>
      <c r="CM74" s="299"/>
      <c r="CN74" s="299"/>
      <c r="CO74" s="299"/>
      <c r="CP74" s="299"/>
      <c r="CQ74" s="299"/>
      <c r="CR74" s="299"/>
      <c r="CS74" s="299"/>
      <c r="CT74" s="299"/>
      <c r="CU74" s="299"/>
      <c r="CV74" s="299"/>
      <c r="CW74" s="299"/>
      <c r="CX74" s="299"/>
      <c r="CY74" s="299"/>
      <c r="CZ74" s="299"/>
      <c r="DA74" s="326"/>
      <c r="DB74" s="326"/>
      <c r="DC74" s="326">
        <v>45</v>
      </c>
      <c r="DD74" s="326">
        <v>45</v>
      </c>
      <c r="DE74" s="326">
        <v>45</v>
      </c>
      <c r="DF74" s="326">
        <v>45</v>
      </c>
      <c r="DG74" s="326">
        <v>45</v>
      </c>
      <c r="DH74" s="326">
        <v>45</v>
      </c>
      <c r="DI74" s="326">
        <v>45</v>
      </c>
      <c r="DJ74" s="326">
        <v>45</v>
      </c>
      <c r="DK74" s="326">
        <v>45</v>
      </c>
      <c r="DL74" s="326">
        <v>45</v>
      </c>
      <c r="DM74" s="326">
        <v>45</v>
      </c>
      <c r="DN74" s="326">
        <v>45</v>
      </c>
      <c r="DO74" s="326">
        <v>45</v>
      </c>
      <c r="DP74" s="326">
        <v>45</v>
      </c>
      <c r="DQ74" s="326">
        <v>45</v>
      </c>
      <c r="DR74" s="326"/>
      <c r="DS74" s="326"/>
      <c r="DT74" s="326">
        <v>45</v>
      </c>
      <c r="DU74" s="326">
        <v>45</v>
      </c>
      <c r="DV74" s="326">
        <v>45</v>
      </c>
      <c r="DW74" s="326">
        <v>45</v>
      </c>
      <c r="DX74" s="326">
        <v>45</v>
      </c>
      <c r="DY74" s="326">
        <v>45</v>
      </c>
      <c r="DZ74" s="326">
        <v>45</v>
      </c>
      <c r="EA74" s="326">
        <v>45</v>
      </c>
      <c r="EB74" s="326">
        <v>45</v>
      </c>
      <c r="EC74" s="326">
        <v>45</v>
      </c>
      <c r="ED74" s="326">
        <v>45</v>
      </c>
      <c r="EE74" s="326">
        <v>45</v>
      </c>
      <c r="EF74" s="326">
        <v>45</v>
      </c>
      <c r="EG74" s="326">
        <v>45</v>
      </c>
      <c r="EH74" s="326">
        <v>45</v>
      </c>
      <c r="EI74" s="326">
        <v>45</v>
      </c>
      <c r="EJ74" s="326">
        <v>45</v>
      </c>
      <c r="EK74" s="326">
        <v>45</v>
      </c>
      <c r="EL74" s="326">
        <v>45</v>
      </c>
      <c r="EM74" s="326">
        <v>45</v>
      </c>
      <c r="EN74" s="326">
        <v>45</v>
      </c>
      <c r="EO74" s="326">
        <v>45</v>
      </c>
      <c r="EP74" s="326"/>
      <c r="EQ74" s="326"/>
      <c r="ER74" s="326"/>
      <c r="ES74" s="326"/>
      <c r="ET74" s="326"/>
      <c r="EU74" s="299"/>
      <c r="EV74" s="299"/>
      <c r="EW74" s="299"/>
      <c r="EX74" s="299"/>
      <c r="EY74" s="299"/>
      <c r="EZ74" s="299"/>
      <c r="FA74" s="299"/>
      <c r="FB74" s="299"/>
      <c r="FC74" s="299"/>
      <c r="FD74" s="299"/>
      <c r="FE74" s="299"/>
      <c r="FF74" s="299"/>
      <c r="FG74" s="299"/>
      <c r="FH74" s="299"/>
      <c r="FI74" s="299"/>
      <c r="FJ74" s="299"/>
      <c r="FK74" s="299"/>
      <c r="FL74" s="299"/>
      <c r="FM74" s="299"/>
      <c r="FN74" s="299"/>
      <c r="FO74" s="299"/>
      <c r="FP74" s="299"/>
      <c r="FQ74" s="300" t="e">
        <f t="shared" ca="1" si="56"/>
        <v>#VALUE!</v>
      </c>
      <c r="FR74" s="300" t="e">
        <f t="shared" ca="1" si="81"/>
        <v>#VALUE!</v>
      </c>
      <c r="FS74" s="300" t="e">
        <f t="shared" ca="1" si="81"/>
        <v>#VALUE!</v>
      </c>
      <c r="FT74" s="300" t="e">
        <f t="shared" ca="1" si="81"/>
        <v>#VALUE!</v>
      </c>
      <c r="FU74" s="300" t="e">
        <f t="shared" ca="1" si="81"/>
        <v>#VALUE!</v>
      </c>
      <c r="FV74" s="300" t="e">
        <f t="shared" ca="1" si="81"/>
        <v>#VALUE!</v>
      </c>
      <c r="FW74" s="300" t="e">
        <f t="shared" ca="1" si="81"/>
        <v>#VALUE!</v>
      </c>
      <c r="FX74" s="300" t="e">
        <f t="shared" ca="1" si="81"/>
        <v>#VALUE!</v>
      </c>
      <c r="FY74" s="300" t="e">
        <f t="shared" ca="1" si="81"/>
        <v>#VALUE!</v>
      </c>
      <c r="FZ74" s="300" t="e">
        <f t="shared" ca="1" si="81"/>
        <v>#VALUE!</v>
      </c>
      <c r="GA74" s="301" t="e">
        <f t="shared" ca="1" si="81"/>
        <v>#VALUE!</v>
      </c>
      <c r="GB74" s="301" t="e">
        <f t="shared" ca="1" si="82"/>
        <v>#VALUE!</v>
      </c>
      <c r="GC74" s="301" t="e">
        <f t="shared" ca="1" si="82"/>
        <v>#VALUE!</v>
      </c>
      <c r="GD74" s="301" t="e">
        <f t="shared" ca="1" si="82"/>
        <v>#VALUE!</v>
      </c>
      <c r="GE74" s="301" t="e">
        <f t="shared" ca="1" si="82"/>
        <v>#VALUE!</v>
      </c>
      <c r="GF74" s="301" t="e">
        <f t="shared" ca="1" si="82"/>
        <v>#VALUE!</v>
      </c>
      <c r="GG74" s="301" t="e">
        <f t="shared" ca="1" si="82"/>
        <v>#VALUE!</v>
      </c>
      <c r="GH74" s="301" t="e">
        <f t="shared" ca="1" si="82"/>
        <v>#VALUE!</v>
      </c>
      <c r="GI74" s="301" t="e">
        <f t="shared" ca="1" si="82"/>
        <v>#VALUE!</v>
      </c>
      <c r="GJ74" s="301" t="e">
        <f t="shared" ca="1" si="82"/>
        <v>#VALUE!</v>
      </c>
      <c r="GK74" s="301" t="e">
        <f t="shared" ca="1" si="82"/>
        <v>#VALUE!</v>
      </c>
      <c r="GL74" s="301" t="e">
        <f t="shared" ca="1" si="82"/>
        <v>#VALUE!</v>
      </c>
      <c r="GM74" s="301" t="e">
        <f t="shared" ca="1" si="82"/>
        <v>#VALUE!</v>
      </c>
      <c r="GN74" s="302" t="e">
        <f t="shared" ca="1" si="82"/>
        <v>#VALUE!</v>
      </c>
      <c r="GO74" s="302" t="e">
        <f t="shared" ca="1" si="82"/>
        <v>#VALUE!</v>
      </c>
      <c r="GP74" s="301">
        <f t="shared" si="80"/>
        <v>90</v>
      </c>
      <c r="GQ74" s="301">
        <f t="shared" si="80"/>
        <v>180</v>
      </c>
      <c r="GR74" s="301">
        <f t="shared" si="80"/>
        <v>180</v>
      </c>
      <c r="GS74" s="301">
        <f t="shared" si="80"/>
        <v>180</v>
      </c>
      <c r="GT74" s="301">
        <f t="shared" si="80"/>
        <v>180</v>
      </c>
      <c r="GU74" s="303">
        <f t="shared" si="80"/>
        <v>180</v>
      </c>
      <c r="GV74" s="302">
        <f t="shared" si="80"/>
        <v>90</v>
      </c>
      <c r="GW74" s="302">
        <f t="shared" si="80"/>
        <v>0</v>
      </c>
      <c r="GX74" s="302">
        <f t="shared" si="80"/>
        <v>0</v>
      </c>
      <c r="GY74" s="302">
        <f t="shared" si="80"/>
        <v>0</v>
      </c>
      <c r="GZ74" s="302">
        <f t="shared" si="80"/>
        <v>0</v>
      </c>
      <c r="HA74" s="302">
        <f t="shared" si="80"/>
        <v>0</v>
      </c>
      <c r="HB74" s="302">
        <f t="shared" si="80"/>
        <v>0</v>
      </c>
      <c r="HC74" s="302">
        <f t="shared" si="80"/>
        <v>0</v>
      </c>
      <c r="HD74" s="302">
        <f t="shared" si="80"/>
        <v>0</v>
      </c>
      <c r="HE74" s="302">
        <f t="shared" si="80"/>
        <v>0</v>
      </c>
      <c r="HF74" s="304"/>
      <c r="HG74" s="305"/>
    </row>
    <row r="75" spans="1:215" s="306" customFormat="1" ht="15.75" customHeight="1">
      <c r="A75" s="307"/>
      <c r="B75" s="292" t="s">
        <v>85</v>
      </c>
      <c r="C75" s="292" t="s">
        <v>195</v>
      </c>
      <c r="D75" s="292" t="s">
        <v>219</v>
      </c>
      <c r="E75" s="325" t="s">
        <v>430</v>
      </c>
      <c r="F75" s="292" t="s">
        <v>184</v>
      </c>
      <c r="G75" s="292" t="s">
        <v>350</v>
      </c>
      <c r="H75" s="292" t="s">
        <v>351</v>
      </c>
      <c r="I75" s="292" t="s">
        <v>352</v>
      </c>
      <c r="J75" s="292" t="s">
        <v>184</v>
      </c>
      <c r="K75" s="292" t="s">
        <v>353</v>
      </c>
      <c r="L75" s="292" t="s">
        <v>359</v>
      </c>
      <c r="M75" s="292" t="s">
        <v>374</v>
      </c>
      <c r="N75" s="292" t="str">
        <f t="shared" si="72"/>
        <v xml:space="preserve">PTD-Logistics </v>
      </c>
      <c r="O75" s="292" t="str">
        <f t="shared" si="73"/>
        <v>Technology-Senior Consultant-India-Consulting</v>
      </c>
      <c r="P75" s="292" t="str">
        <f t="shared" si="74"/>
        <v>PTD - Technology</v>
      </c>
      <c r="Q75" s="293">
        <f t="shared" si="83"/>
        <v>118215</v>
      </c>
      <c r="R75" s="294">
        <f t="shared" si="84"/>
        <v>0</v>
      </c>
      <c r="S75" s="295">
        <f t="shared" si="75"/>
        <v>0</v>
      </c>
      <c r="T75" s="295">
        <f t="shared" si="85"/>
        <v>1665</v>
      </c>
      <c r="U75" s="296" t="str">
        <f t="shared" si="76"/>
        <v>Technology - Senior Consultant</v>
      </c>
      <c r="V75" s="295" t="str">
        <f t="shared" si="77"/>
        <v>3-5 years</v>
      </c>
      <c r="W75" s="292" t="str">
        <f t="shared" si="78"/>
        <v>Offshore</v>
      </c>
      <c r="X75" s="292" t="s">
        <v>261</v>
      </c>
      <c r="Y75" s="292" t="s">
        <v>259</v>
      </c>
      <c r="Z75" s="292" t="s">
        <v>364</v>
      </c>
      <c r="AA75" s="297">
        <f>[1]Resourcing!QD79</f>
        <v>54.18</v>
      </c>
      <c r="AB75" s="298">
        <f t="shared" si="79"/>
        <v>71</v>
      </c>
      <c r="AC75" s="299"/>
      <c r="AD75" s="299"/>
      <c r="AE75" s="299"/>
      <c r="AF75" s="299"/>
      <c r="AG75" s="299"/>
      <c r="AH75" s="299"/>
      <c r="AI75" s="299"/>
      <c r="AJ75" s="299"/>
      <c r="AK75" s="299"/>
      <c r="AL75" s="299"/>
      <c r="AM75" s="299"/>
      <c r="AN75" s="299"/>
      <c r="AO75" s="299"/>
      <c r="AP75" s="299"/>
      <c r="AQ75" s="299"/>
      <c r="AR75" s="299"/>
      <c r="AS75" s="299"/>
      <c r="AT75" s="299"/>
      <c r="AU75" s="299"/>
      <c r="AV75" s="299"/>
      <c r="AW75" s="299"/>
      <c r="AX75" s="299"/>
      <c r="AY75" s="299"/>
      <c r="AZ75" s="299"/>
      <c r="BA75" s="299"/>
      <c r="BB75" s="299"/>
      <c r="BC75" s="299"/>
      <c r="BD75" s="299"/>
      <c r="BE75" s="299"/>
      <c r="BF75" s="299"/>
      <c r="BG75" s="299"/>
      <c r="BH75" s="299"/>
      <c r="BI75" s="299"/>
      <c r="BJ75" s="299"/>
      <c r="BK75" s="299"/>
      <c r="BL75" s="299"/>
      <c r="BM75" s="299"/>
      <c r="BN75" s="299"/>
      <c r="BO75" s="299"/>
      <c r="BP75" s="299"/>
      <c r="BQ75" s="299"/>
      <c r="BR75" s="299"/>
      <c r="BS75" s="299"/>
      <c r="BT75" s="299"/>
      <c r="BU75" s="299"/>
      <c r="BV75" s="299"/>
      <c r="BW75" s="299"/>
      <c r="BX75" s="299"/>
      <c r="BY75" s="299"/>
      <c r="BZ75" s="299"/>
      <c r="CA75" s="299"/>
      <c r="CB75" s="299"/>
      <c r="CC75" s="299"/>
      <c r="CD75" s="299"/>
      <c r="CE75" s="299"/>
      <c r="CF75" s="299"/>
      <c r="CG75" s="299"/>
      <c r="CH75" s="299"/>
      <c r="CI75" s="299"/>
      <c r="CJ75" s="299"/>
      <c r="CK75" s="299"/>
      <c r="CL75" s="299"/>
      <c r="CM75" s="299"/>
      <c r="CN75" s="299"/>
      <c r="CO75" s="299"/>
      <c r="CP75" s="299"/>
      <c r="CQ75" s="299"/>
      <c r="CR75" s="299"/>
      <c r="CS75" s="299"/>
      <c r="CT75" s="299"/>
      <c r="CU75" s="299"/>
      <c r="CV75" s="299"/>
      <c r="CW75" s="299"/>
      <c r="CX75" s="299"/>
      <c r="CY75" s="299"/>
      <c r="CZ75" s="299"/>
      <c r="DA75" s="326"/>
      <c r="DB75" s="326"/>
      <c r="DC75" s="326">
        <v>45</v>
      </c>
      <c r="DD75" s="326">
        <v>45</v>
      </c>
      <c r="DE75" s="326">
        <v>45</v>
      </c>
      <c r="DF75" s="326">
        <v>45</v>
      </c>
      <c r="DG75" s="326">
        <v>45</v>
      </c>
      <c r="DH75" s="326">
        <v>45</v>
      </c>
      <c r="DI75" s="326">
        <v>45</v>
      </c>
      <c r="DJ75" s="326">
        <v>45</v>
      </c>
      <c r="DK75" s="326">
        <v>45</v>
      </c>
      <c r="DL75" s="326">
        <v>45</v>
      </c>
      <c r="DM75" s="326">
        <v>45</v>
      </c>
      <c r="DN75" s="326">
        <v>45</v>
      </c>
      <c r="DO75" s="326">
        <v>45</v>
      </c>
      <c r="DP75" s="326">
        <v>45</v>
      </c>
      <c r="DQ75" s="326">
        <v>45</v>
      </c>
      <c r="DR75" s="326"/>
      <c r="DS75" s="326"/>
      <c r="DT75" s="326">
        <v>45</v>
      </c>
      <c r="DU75" s="326">
        <v>45</v>
      </c>
      <c r="DV75" s="326">
        <v>45</v>
      </c>
      <c r="DW75" s="326">
        <v>45</v>
      </c>
      <c r="DX75" s="326">
        <v>45</v>
      </c>
      <c r="DY75" s="326">
        <v>45</v>
      </c>
      <c r="DZ75" s="326">
        <v>45</v>
      </c>
      <c r="EA75" s="326">
        <v>45</v>
      </c>
      <c r="EB75" s="326">
        <v>45</v>
      </c>
      <c r="EC75" s="326">
        <v>45</v>
      </c>
      <c r="ED75" s="326">
        <v>45</v>
      </c>
      <c r="EE75" s="326">
        <v>45</v>
      </c>
      <c r="EF75" s="326">
        <v>45</v>
      </c>
      <c r="EG75" s="326">
        <v>45</v>
      </c>
      <c r="EH75" s="326">
        <v>45</v>
      </c>
      <c r="EI75" s="326">
        <v>45</v>
      </c>
      <c r="EJ75" s="326">
        <v>45</v>
      </c>
      <c r="EK75" s="326">
        <v>45</v>
      </c>
      <c r="EL75" s="326">
        <v>45</v>
      </c>
      <c r="EM75" s="326">
        <v>45</v>
      </c>
      <c r="EN75" s="326">
        <v>45</v>
      </c>
      <c r="EO75" s="326">
        <v>45</v>
      </c>
      <c r="EP75" s="326"/>
      <c r="EQ75" s="326"/>
      <c r="ER75" s="326"/>
      <c r="ES75" s="326"/>
      <c r="ET75" s="326"/>
      <c r="EU75" s="299"/>
      <c r="EV75" s="299"/>
      <c r="EW75" s="299"/>
      <c r="EX75" s="299"/>
      <c r="EY75" s="299"/>
      <c r="EZ75" s="299"/>
      <c r="FA75" s="299"/>
      <c r="FB75" s="299"/>
      <c r="FC75" s="299"/>
      <c r="FD75" s="299"/>
      <c r="FE75" s="299"/>
      <c r="FF75" s="299"/>
      <c r="FG75" s="299"/>
      <c r="FH75" s="299"/>
      <c r="FI75" s="299"/>
      <c r="FJ75" s="299"/>
      <c r="FK75" s="299"/>
      <c r="FL75" s="299"/>
      <c r="FM75" s="299"/>
      <c r="FN75" s="299"/>
      <c r="FO75" s="299"/>
      <c r="FP75" s="299"/>
      <c r="FQ75" s="300" t="e">
        <f t="shared" ca="1" si="56"/>
        <v>#VALUE!</v>
      </c>
      <c r="FR75" s="300" t="e">
        <f t="shared" ca="1" si="81"/>
        <v>#VALUE!</v>
      </c>
      <c r="FS75" s="300" t="e">
        <f t="shared" ca="1" si="81"/>
        <v>#VALUE!</v>
      </c>
      <c r="FT75" s="300" t="e">
        <f t="shared" ca="1" si="81"/>
        <v>#VALUE!</v>
      </c>
      <c r="FU75" s="300" t="e">
        <f t="shared" ca="1" si="81"/>
        <v>#VALUE!</v>
      </c>
      <c r="FV75" s="300" t="e">
        <f t="shared" ca="1" si="81"/>
        <v>#VALUE!</v>
      </c>
      <c r="FW75" s="300" t="e">
        <f t="shared" ca="1" si="81"/>
        <v>#VALUE!</v>
      </c>
      <c r="FX75" s="300" t="e">
        <f t="shared" ca="1" si="81"/>
        <v>#VALUE!</v>
      </c>
      <c r="FY75" s="300" t="e">
        <f t="shared" ca="1" si="81"/>
        <v>#VALUE!</v>
      </c>
      <c r="FZ75" s="300" t="e">
        <f t="shared" ca="1" si="81"/>
        <v>#VALUE!</v>
      </c>
      <c r="GA75" s="301" t="e">
        <f t="shared" ca="1" si="81"/>
        <v>#VALUE!</v>
      </c>
      <c r="GB75" s="301" t="e">
        <f t="shared" ca="1" si="82"/>
        <v>#VALUE!</v>
      </c>
      <c r="GC75" s="301" t="e">
        <f t="shared" ca="1" si="82"/>
        <v>#VALUE!</v>
      </c>
      <c r="GD75" s="301" t="e">
        <f t="shared" ca="1" si="82"/>
        <v>#VALUE!</v>
      </c>
      <c r="GE75" s="301" t="e">
        <f t="shared" ca="1" si="82"/>
        <v>#VALUE!</v>
      </c>
      <c r="GF75" s="301" t="e">
        <f t="shared" ca="1" si="82"/>
        <v>#VALUE!</v>
      </c>
      <c r="GG75" s="301" t="e">
        <f t="shared" ca="1" si="82"/>
        <v>#VALUE!</v>
      </c>
      <c r="GH75" s="301" t="e">
        <f t="shared" ca="1" si="82"/>
        <v>#VALUE!</v>
      </c>
      <c r="GI75" s="301" t="e">
        <f t="shared" ca="1" si="82"/>
        <v>#VALUE!</v>
      </c>
      <c r="GJ75" s="301" t="e">
        <f t="shared" ca="1" si="82"/>
        <v>#VALUE!</v>
      </c>
      <c r="GK75" s="301" t="e">
        <f t="shared" ca="1" si="82"/>
        <v>#VALUE!</v>
      </c>
      <c r="GL75" s="301" t="e">
        <f t="shared" ca="1" si="82"/>
        <v>#VALUE!</v>
      </c>
      <c r="GM75" s="301" t="e">
        <f t="shared" ca="1" si="82"/>
        <v>#VALUE!</v>
      </c>
      <c r="GN75" s="302" t="e">
        <f t="shared" ca="1" si="82"/>
        <v>#VALUE!</v>
      </c>
      <c r="GO75" s="302" t="e">
        <f t="shared" ca="1" si="82"/>
        <v>#VALUE!</v>
      </c>
      <c r="GP75" s="301"/>
      <c r="GQ75" s="301"/>
      <c r="GR75" s="301"/>
      <c r="GS75" s="301"/>
      <c r="GT75" s="301"/>
      <c r="GU75" s="303"/>
      <c r="GV75" s="302"/>
      <c r="GW75" s="302"/>
      <c r="GX75" s="302"/>
      <c r="GY75" s="302"/>
      <c r="GZ75" s="302"/>
      <c r="HA75" s="302"/>
      <c r="HB75" s="302"/>
      <c r="HC75" s="302"/>
      <c r="HD75" s="302"/>
      <c r="HE75" s="302"/>
      <c r="HF75" s="304"/>
      <c r="HG75" s="305"/>
    </row>
    <row r="76" spans="1:215" s="306" customFormat="1" ht="15.75" customHeight="1">
      <c r="A76" s="307"/>
      <c r="B76" s="292" t="s">
        <v>85</v>
      </c>
      <c r="C76" s="292" t="s">
        <v>195</v>
      </c>
      <c r="D76" s="292" t="s">
        <v>219</v>
      </c>
      <c r="E76" s="325" t="s">
        <v>431</v>
      </c>
      <c r="F76" s="292" t="s">
        <v>184</v>
      </c>
      <c r="G76" s="292" t="s">
        <v>350</v>
      </c>
      <c r="H76" s="292" t="s">
        <v>351</v>
      </c>
      <c r="I76" s="292" t="s">
        <v>352</v>
      </c>
      <c r="J76" s="292" t="s">
        <v>184</v>
      </c>
      <c r="K76" s="292" t="s">
        <v>353</v>
      </c>
      <c r="L76" s="292" t="s">
        <v>359</v>
      </c>
      <c r="M76" s="292" t="s">
        <v>374</v>
      </c>
      <c r="N76" s="292" t="str">
        <f t="shared" si="72"/>
        <v xml:space="preserve">PTD-Logistics </v>
      </c>
      <c r="O76" s="292" t="str">
        <f t="shared" si="73"/>
        <v>Technology-Senior Consultant-India-Consulting</v>
      </c>
      <c r="P76" s="292" t="str">
        <f t="shared" si="74"/>
        <v>PTD - Technology</v>
      </c>
      <c r="Q76" s="293">
        <f t="shared" si="83"/>
        <v>118215</v>
      </c>
      <c r="R76" s="294">
        <f t="shared" si="84"/>
        <v>0</v>
      </c>
      <c r="S76" s="295">
        <f t="shared" si="75"/>
        <v>0</v>
      </c>
      <c r="T76" s="295">
        <f t="shared" si="85"/>
        <v>1665</v>
      </c>
      <c r="U76" s="296" t="str">
        <f t="shared" si="76"/>
        <v>Technology - Senior Consultant</v>
      </c>
      <c r="V76" s="295" t="str">
        <f t="shared" si="77"/>
        <v>3-5 years</v>
      </c>
      <c r="W76" s="292" t="str">
        <f t="shared" si="78"/>
        <v>Offshore</v>
      </c>
      <c r="X76" s="292" t="s">
        <v>261</v>
      </c>
      <c r="Y76" s="292" t="s">
        <v>259</v>
      </c>
      <c r="Z76" s="292" t="s">
        <v>364</v>
      </c>
      <c r="AA76" s="297">
        <f>[1]Resourcing!QD80</f>
        <v>43.46</v>
      </c>
      <c r="AB76" s="298">
        <f t="shared" si="79"/>
        <v>71</v>
      </c>
      <c r="AC76" s="299"/>
      <c r="AD76" s="299"/>
      <c r="AE76" s="299"/>
      <c r="AF76" s="299"/>
      <c r="AG76" s="299"/>
      <c r="AH76" s="299"/>
      <c r="AI76" s="299"/>
      <c r="AJ76" s="299"/>
      <c r="AK76" s="299"/>
      <c r="AL76" s="299"/>
      <c r="AM76" s="299"/>
      <c r="AN76" s="299"/>
      <c r="AO76" s="299"/>
      <c r="AP76" s="299"/>
      <c r="AQ76" s="299"/>
      <c r="AR76" s="299"/>
      <c r="AS76" s="299"/>
      <c r="AT76" s="299"/>
      <c r="AU76" s="299"/>
      <c r="AV76" s="299"/>
      <c r="AW76" s="299"/>
      <c r="AX76" s="299"/>
      <c r="AY76" s="299"/>
      <c r="AZ76" s="299"/>
      <c r="BA76" s="299"/>
      <c r="BB76" s="299"/>
      <c r="BC76" s="299"/>
      <c r="BD76" s="299"/>
      <c r="BE76" s="299"/>
      <c r="BF76" s="299"/>
      <c r="BG76" s="299"/>
      <c r="BH76" s="299"/>
      <c r="BI76" s="299"/>
      <c r="BJ76" s="299"/>
      <c r="BK76" s="299"/>
      <c r="BL76" s="299"/>
      <c r="BM76" s="299"/>
      <c r="BN76" s="299"/>
      <c r="BO76" s="299"/>
      <c r="BP76" s="299"/>
      <c r="BQ76" s="299"/>
      <c r="BR76" s="299"/>
      <c r="BS76" s="299"/>
      <c r="BT76" s="299"/>
      <c r="BU76" s="299"/>
      <c r="BV76" s="299"/>
      <c r="BW76" s="299"/>
      <c r="BX76" s="299"/>
      <c r="BY76" s="299"/>
      <c r="BZ76" s="299"/>
      <c r="CA76" s="299"/>
      <c r="CB76" s="299"/>
      <c r="CC76" s="299"/>
      <c r="CD76" s="299"/>
      <c r="CE76" s="299"/>
      <c r="CF76" s="299"/>
      <c r="CG76" s="299"/>
      <c r="CH76" s="299"/>
      <c r="CI76" s="299"/>
      <c r="CJ76" s="299"/>
      <c r="CK76" s="299"/>
      <c r="CL76" s="299"/>
      <c r="CM76" s="299"/>
      <c r="CN76" s="299"/>
      <c r="CO76" s="299"/>
      <c r="CP76" s="299"/>
      <c r="CQ76" s="299"/>
      <c r="CR76" s="299"/>
      <c r="CS76" s="299"/>
      <c r="CT76" s="299"/>
      <c r="CU76" s="299"/>
      <c r="CV76" s="299"/>
      <c r="CW76" s="299"/>
      <c r="CX76" s="299"/>
      <c r="CY76" s="299"/>
      <c r="CZ76" s="299"/>
      <c r="DA76" s="326"/>
      <c r="DB76" s="326"/>
      <c r="DC76" s="326">
        <v>45</v>
      </c>
      <c r="DD76" s="326">
        <v>45</v>
      </c>
      <c r="DE76" s="326">
        <v>45</v>
      </c>
      <c r="DF76" s="326">
        <v>45</v>
      </c>
      <c r="DG76" s="326">
        <v>45</v>
      </c>
      <c r="DH76" s="326">
        <v>45</v>
      </c>
      <c r="DI76" s="326">
        <v>45</v>
      </c>
      <c r="DJ76" s="326">
        <v>45</v>
      </c>
      <c r="DK76" s="326">
        <v>45</v>
      </c>
      <c r="DL76" s="326">
        <v>45</v>
      </c>
      <c r="DM76" s="326">
        <v>45</v>
      </c>
      <c r="DN76" s="326">
        <v>45</v>
      </c>
      <c r="DO76" s="326">
        <v>45</v>
      </c>
      <c r="DP76" s="326">
        <v>45</v>
      </c>
      <c r="DQ76" s="326">
        <v>45</v>
      </c>
      <c r="DR76" s="326"/>
      <c r="DS76" s="326"/>
      <c r="DT76" s="326">
        <v>45</v>
      </c>
      <c r="DU76" s="326">
        <v>45</v>
      </c>
      <c r="DV76" s="326">
        <v>45</v>
      </c>
      <c r="DW76" s="326">
        <v>45</v>
      </c>
      <c r="DX76" s="326">
        <v>45</v>
      </c>
      <c r="DY76" s="326">
        <v>45</v>
      </c>
      <c r="DZ76" s="326">
        <v>45</v>
      </c>
      <c r="EA76" s="326">
        <v>45</v>
      </c>
      <c r="EB76" s="326">
        <v>45</v>
      </c>
      <c r="EC76" s="326">
        <v>45</v>
      </c>
      <c r="ED76" s="326">
        <v>45</v>
      </c>
      <c r="EE76" s="326">
        <v>45</v>
      </c>
      <c r="EF76" s="326">
        <v>45</v>
      </c>
      <c r="EG76" s="326">
        <v>45</v>
      </c>
      <c r="EH76" s="326">
        <v>45</v>
      </c>
      <c r="EI76" s="326">
        <v>45</v>
      </c>
      <c r="EJ76" s="326">
        <v>45</v>
      </c>
      <c r="EK76" s="326">
        <v>45</v>
      </c>
      <c r="EL76" s="326">
        <v>45</v>
      </c>
      <c r="EM76" s="326">
        <v>45</v>
      </c>
      <c r="EN76" s="326">
        <v>45</v>
      </c>
      <c r="EO76" s="326">
        <v>45</v>
      </c>
      <c r="EP76" s="326"/>
      <c r="EQ76" s="326"/>
      <c r="ER76" s="326"/>
      <c r="ES76" s="326"/>
      <c r="ET76" s="326"/>
      <c r="EU76" s="299"/>
      <c r="EV76" s="299"/>
      <c r="EW76" s="299"/>
      <c r="EX76" s="299"/>
      <c r="EY76" s="299"/>
      <c r="EZ76" s="299"/>
      <c r="FA76" s="299"/>
      <c r="FB76" s="299"/>
      <c r="FC76" s="299"/>
      <c r="FD76" s="299"/>
      <c r="FE76" s="299"/>
      <c r="FF76" s="299"/>
      <c r="FG76" s="299"/>
      <c r="FH76" s="299"/>
      <c r="FI76" s="299"/>
      <c r="FJ76" s="299"/>
      <c r="FK76" s="299"/>
      <c r="FL76" s="299"/>
      <c r="FM76" s="299"/>
      <c r="FN76" s="299"/>
      <c r="FO76" s="299"/>
      <c r="FP76" s="299"/>
      <c r="FQ76" s="300" t="e">
        <f t="shared" ca="1" si="56"/>
        <v>#VALUE!</v>
      </c>
      <c r="FR76" s="300" t="e">
        <f t="shared" ca="1" si="81"/>
        <v>#VALUE!</v>
      </c>
      <c r="FS76" s="300" t="e">
        <f t="shared" ca="1" si="81"/>
        <v>#VALUE!</v>
      </c>
      <c r="FT76" s="300" t="e">
        <f t="shared" ca="1" si="81"/>
        <v>#VALUE!</v>
      </c>
      <c r="FU76" s="300" t="e">
        <f t="shared" ca="1" si="81"/>
        <v>#VALUE!</v>
      </c>
      <c r="FV76" s="300" t="e">
        <f t="shared" ca="1" si="81"/>
        <v>#VALUE!</v>
      </c>
      <c r="FW76" s="300" t="e">
        <f t="shared" ca="1" si="81"/>
        <v>#VALUE!</v>
      </c>
      <c r="FX76" s="300" t="e">
        <f t="shared" ca="1" si="81"/>
        <v>#VALUE!</v>
      </c>
      <c r="FY76" s="300" t="e">
        <f t="shared" ca="1" si="81"/>
        <v>#VALUE!</v>
      </c>
      <c r="FZ76" s="300" t="e">
        <f t="shared" ca="1" si="81"/>
        <v>#VALUE!</v>
      </c>
      <c r="GA76" s="301" t="e">
        <f t="shared" ca="1" si="81"/>
        <v>#VALUE!</v>
      </c>
      <c r="GB76" s="301" t="e">
        <f t="shared" ca="1" si="82"/>
        <v>#VALUE!</v>
      </c>
      <c r="GC76" s="301" t="e">
        <f t="shared" ca="1" si="82"/>
        <v>#VALUE!</v>
      </c>
      <c r="GD76" s="301" t="e">
        <f t="shared" ca="1" si="82"/>
        <v>#VALUE!</v>
      </c>
      <c r="GE76" s="301" t="e">
        <f t="shared" ca="1" si="82"/>
        <v>#VALUE!</v>
      </c>
      <c r="GF76" s="301" t="e">
        <f t="shared" ca="1" si="82"/>
        <v>#VALUE!</v>
      </c>
      <c r="GG76" s="301" t="e">
        <f t="shared" ca="1" si="82"/>
        <v>#VALUE!</v>
      </c>
      <c r="GH76" s="301" t="e">
        <f t="shared" ca="1" si="82"/>
        <v>#VALUE!</v>
      </c>
      <c r="GI76" s="301" t="e">
        <f t="shared" ca="1" si="82"/>
        <v>#VALUE!</v>
      </c>
      <c r="GJ76" s="301" t="e">
        <f t="shared" ca="1" si="82"/>
        <v>#VALUE!</v>
      </c>
      <c r="GK76" s="301" t="e">
        <f t="shared" ca="1" si="82"/>
        <v>#VALUE!</v>
      </c>
      <c r="GL76" s="301" t="e">
        <f t="shared" ca="1" si="82"/>
        <v>#VALUE!</v>
      </c>
      <c r="GM76" s="301" t="e">
        <f t="shared" ca="1" si="82"/>
        <v>#VALUE!</v>
      </c>
      <c r="GN76" s="302" t="e">
        <f t="shared" ca="1" si="82"/>
        <v>#VALUE!</v>
      </c>
      <c r="GO76" s="302" t="e">
        <f t="shared" ca="1" si="82"/>
        <v>#VALUE!</v>
      </c>
      <c r="GP76" s="301"/>
      <c r="GQ76" s="301"/>
      <c r="GR76" s="301"/>
      <c r="GS76" s="301"/>
      <c r="GT76" s="301"/>
      <c r="GU76" s="303"/>
      <c r="GV76" s="302"/>
      <c r="GW76" s="302"/>
      <c r="GX76" s="302"/>
      <c r="GY76" s="302"/>
      <c r="GZ76" s="302"/>
      <c r="HA76" s="302"/>
      <c r="HB76" s="302"/>
      <c r="HC76" s="302"/>
      <c r="HD76" s="302"/>
      <c r="HE76" s="302"/>
      <c r="HF76" s="304"/>
      <c r="HG76" s="305"/>
    </row>
    <row r="77" spans="1:215" s="306" customFormat="1" ht="15.75" customHeight="1">
      <c r="A77" s="307"/>
      <c r="B77" s="292"/>
      <c r="C77" s="292"/>
      <c r="D77" s="292"/>
      <c r="E77" s="292"/>
      <c r="F77" s="292"/>
      <c r="G77" s="292"/>
      <c r="H77" s="292"/>
      <c r="I77" s="292"/>
      <c r="J77" s="292"/>
      <c r="K77" s="292"/>
      <c r="L77" s="292"/>
      <c r="M77" s="292"/>
      <c r="N77" s="292"/>
      <c r="O77" s="292"/>
      <c r="P77" s="292"/>
      <c r="Q77" s="293">
        <f t="shared" si="83"/>
        <v>0</v>
      </c>
      <c r="R77" s="294">
        <f t="shared" si="84"/>
        <v>0</v>
      </c>
      <c r="S77" s="295"/>
      <c r="T77" s="295">
        <f t="shared" si="85"/>
        <v>0</v>
      </c>
      <c r="U77" s="296"/>
      <c r="V77" s="295"/>
      <c r="W77" s="292"/>
      <c r="X77" s="292"/>
      <c r="Y77" s="292"/>
      <c r="Z77" s="292"/>
      <c r="AA77" s="297">
        <f>[1]Resourcing!QD81</f>
        <v>63.7032432432432</v>
      </c>
      <c r="AB77" s="298"/>
      <c r="AC77" s="299"/>
      <c r="AD77" s="299"/>
      <c r="AE77" s="299"/>
      <c r="AF77" s="299"/>
      <c r="AG77" s="299"/>
      <c r="AH77" s="299"/>
      <c r="AI77" s="299"/>
      <c r="AJ77" s="299"/>
      <c r="AK77" s="299"/>
      <c r="AL77" s="299"/>
      <c r="AM77" s="299"/>
      <c r="AN77" s="299"/>
      <c r="AO77" s="299"/>
      <c r="AP77" s="299"/>
      <c r="AQ77" s="299"/>
      <c r="AR77" s="299"/>
      <c r="AS77" s="299"/>
      <c r="AT77" s="299"/>
      <c r="AU77" s="299"/>
      <c r="AV77" s="299"/>
      <c r="AW77" s="299"/>
      <c r="AX77" s="299"/>
      <c r="AY77" s="299"/>
      <c r="AZ77" s="299"/>
      <c r="BA77" s="299"/>
      <c r="BB77" s="299"/>
      <c r="BC77" s="299"/>
      <c r="BD77" s="299"/>
      <c r="BE77" s="299"/>
      <c r="BF77" s="299"/>
      <c r="BG77" s="299"/>
      <c r="BH77" s="299"/>
      <c r="BI77" s="299"/>
      <c r="BJ77" s="299"/>
      <c r="BK77" s="299"/>
      <c r="BL77" s="299"/>
      <c r="BM77" s="299"/>
      <c r="BN77" s="299"/>
      <c r="BO77" s="299"/>
      <c r="BP77" s="299"/>
      <c r="BQ77" s="299"/>
      <c r="BR77" s="299"/>
      <c r="BS77" s="299"/>
      <c r="BT77" s="299"/>
      <c r="BU77" s="299"/>
      <c r="BV77" s="299"/>
      <c r="BW77" s="299"/>
      <c r="BX77" s="299"/>
      <c r="BY77" s="299"/>
      <c r="BZ77" s="299"/>
      <c r="CA77" s="299"/>
      <c r="CB77" s="299"/>
      <c r="CC77" s="299"/>
      <c r="CD77" s="299"/>
      <c r="CE77" s="299"/>
      <c r="CF77" s="299"/>
      <c r="CG77" s="299"/>
      <c r="CH77" s="299"/>
      <c r="CI77" s="299"/>
      <c r="CJ77" s="299"/>
      <c r="CK77" s="299"/>
      <c r="CL77" s="299"/>
      <c r="CM77" s="299"/>
      <c r="CN77" s="299"/>
      <c r="CO77" s="299"/>
      <c r="CP77" s="299"/>
      <c r="CQ77" s="299"/>
      <c r="CR77" s="299"/>
      <c r="CS77" s="299"/>
      <c r="CT77" s="299"/>
      <c r="CU77" s="299"/>
      <c r="CV77" s="299"/>
      <c r="CW77" s="299"/>
      <c r="CX77" s="299"/>
      <c r="CY77" s="299"/>
      <c r="CZ77" s="299"/>
      <c r="DA77" s="326"/>
      <c r="DB77" s="326"/>
      <c r="DC77" s="326"/>
      <c r="DD77" s="326"/>
      <c r="DE77" s="326"/>
      <c r="DF77" s="326"/>
      <c r="DG77" s="326"/>
      <c r="DH77" s="326"/>
      <c r="DI77" s="326"/>
      <c r="DJ77" s="326"/>
      <c r="DK77" s="326"/>
      <c r="DL77" s="326"/>
      <c r="DM77" s="326"/>
      <c r="DN77" s="326"/>
      <c r="DO77" s="326"/>
      <c r="DP77" s="326"/>
      <c r="DQ77" s="326"/>
      <c r="DR77" s="326"/>
      <c r="DS77" s="326"/>
      <c r="DT77" s="326"/>
      <c r="DU77" s="326"/>
      <c r="DV77" s="326"/>
      <c r="DW77" s="326"/>
      <c r="DX77" s="326"/>
      <c r="DY77" s="326"/>
      <c r="DZ77" s="326"/>
      <c r="EA77" s="326"/>
      <c r="EB77" s="326"/>
      <c r="EC77" s="326"/>
      <c r="ED77" s="326"/>
      <c r="EE77" s="326"/>
      <c r="EF77" s="326"/>
      <c r="EG77" s="326"/>
      <c r="EH77" s="326"/>
      <c r="EI77" s="326"/>
      <c r="EJ77" s="326"/>
      <c r="EK77" s="326"/>
      <c r="EL77" s="326"/>
      <c r="EM77" s="326"/>
      <c r="EN77" s="326"/>
      <c r="EO77" s="326"/>
      <c r="EP77" s="326"/>
      <c r="EQ77" s="326"/>
      <c r="ER77" s="326"/>
      <c r="ES77" s="326"/>
      <c r="ET77" s="326"/>
      <c r="EU77" s="299"/>
      <c r="EV77" s="299"/>
      <c r="EW77" s="299"/>
      <c r="EX77" s="299"/>
      <c r="EY77" s="299"/>
      <c r="EZ77" s="299"/>
      <c r="FA77" s="299"/>
      <c r="FB77" s="299"/>
      <c r="FC77" s="299"/>
      <c r="FD77" s="299"/>
      <c r="FE77" s="299"/>
      <c r="FF77" s="299"/>
      <c r="FG77" s="299"/>
      <c r="FH77" s="299"/>
      <c r="FI77" s="299"/>
      <c r="FJ77" s="299"/>
      <c r="FK77" s="299"/>
      <c r="FL77" s="299"/>
      <c r="FM77" s="299"/>
      <c r="FN77" s="299"/>
      <c r="FO77" s="299"/>
      <c r="FP77" s="299"/>
      <c r="FQ77" s="300" t="e">
        <f t="shared" ca="1" si="56"/>
        <v>#VALUE!</v>
      </c>
      <c r="FR77" s="300" t="e">
        <f t="shared" ca="1" si="81"/>
        <v>#VALUE!</v>
      </c>
      <c r="FS77" s="300" t="e">
        <f t="shared" ca="1" si="81"/>
        <v>#VALUE!</v>
      </c>
      <c r="FT77" s="300" t="e">
        <f t="shared" ca="1" si="81"/>
        <v>#VALUE!</v>
      </c>
      <c r="FU77" s="300" t="e">
        <f t="shared" ca="1" si="81"/>
        <v>#VALUE!</v>
      </c>
      <c r="FV77" s="300" t="e">
        <f t="shared" ca="1" si="81"/>
        <v>#VALUE!</v>
      </c>
      <c r="FW77" s="300" t="e">
        <f t="shared" ca="1" si="81"/>
        <v>#VALUE!</v>
      </c>
      <c r="FX77" s="300" t="e">
        <f t="shared" ca="1" si="81"/>
        <v>#VALUE!</v>
      </c>
      <c r="FY77" s="300" t="e">
        <f t="shared" ca="1" si="81"/>
        <v>#VALUE!</v>
      </c>
      <c r="FZ77" s="300" t="e">
        <f t="shared" ca="1" si="81"/>
        <v>#VALUE!</v>
      </c>
      <c r="GA77" s="301" t="e">
        <f t="shared" ca="1" si="81"/>
        <v>#VALUE!</v>
      </c>
      <c r="GB77" s="301" t="e">
        <f t="shared" ca="1" si="82"/>
        <v>#VALUE!</v>
      </c>
      <c r="GC77" s="301" t="e">
        <f t="shared" ca="1" si="82"/>
        <v>#VALUE!</v>
      </c>
      <c r="GD77" s="301" t="e">
        <f t="shared" ca="1" si="82"/>
        <v>#VALUE!</v>
      </c>
      <c r="GE77" s="301" t="e">
        <f t="shared" ca="1" si="82"/>
        <v>#VALUE!</v>
      </c>
      <c r="GF77" s="301" t="e">
        <f t="shared" ca="1" si="82"/>
        <v>#VALUE!</v>
      </c>
      <c r="GG77" s="301" t="e">
        <f t="shared" ca="1" si="82"/>
        <v>#VALUE!</v>
      </c>
      <c r="GH77" s="301" t="e">
        <f t="shared" ca="1" si="82"/>
        <v>#VALUE!</v>
      </c>
      <c r="GI77" s="301" t="e">
        <f t="shared" ca="1" si="82"/>
        <v>#VALUE!</v>
      </c>
      <c r="GJ77" s="301" t="e">
        <f t="shared" ca="1" si="82"/>
        <v>#VALUE!</v>
      </c>
      <c r="GK77" s="301" t="e">
        <f t="shared" ca="1" si="82"/>
        <v>#VALUE!</v>
      </c>
      <c r="GL77" s="301" t="e">
        <f t="shared" ca="1" si="82"/>
        <v>#VALUE!</v>
      </c>
      <c r="GM77" s="301" t="e">
        <f t="shared" ca="1" si="82"/>
        <v>#VALUE!</v>
      </c>
      <c r="GN77" s="302" t="e">
        <f t="shared" ca="1" si="82"/>
        <v>#VALUE!</v>
      </c>
      <c r="GO77" s="302" t="e">
        <f t="shared" ca="1" si="82"/>
        <v>#VALUE!</v>
      </c>
      <c r="GP77" s="301"/>
      <c r="GQ77" s="301"/>
      <c r="GR77" s="301"/>
      <c r="GS77" s="301"/>
      <c r="GT77" s="301"/>
      <c r="GU77" s="303"/>
      <c r="GV77" s="302"/>
      <c r="GW77" s="302"/>
      <c r="GX77" s="302"/>
      <c r="GY77" s="302"/>
      <c r="GZ77" s="302"/>
      <c r="HA77" s="302"/>
      <c r="HB77" s="302"/>
      <c r="HC77" s="302"/>
      <c r="HD77" s="302"/>
      <c r="HE77" s="302"/>
      <c r="HF77" s="304"/>
      <c r="HG77" s="305"/>
    </row>
    <row r="78" spans="1:215" s="306" customFormat="1" ht="15.75" customHeight="1">
      <c r="A78" s="307"/>
      <c r="B78" s="292" t="s">
        <v>85</v>
      </c>
      <c r="C78" s="292" t="s">
        <v>195</v>
      </c>
      <c r="D78" s="292" t="s">
        <v>221</v>
      </c>
      <c r="E78" s="292" t="s">
        <v>432</v>
      </c>
      <c r="F78" s="292" t="s">
        <v>186</v>
      </c>
      <c r="G78" s="292" t="s">
        <v>350</v>
      </c>
      <c r="H78" s="292" t="s">
        <v>351</v>
      </c>
      <c r="I78" s="292" t="s">
        <v>352</v>
      </c>
      <c r="J78" s="292" t="s">
        <v>186</v>
      </c>
      <c r="K78" s="292" t="s">
        <v>353</v>
      </c>
      <c r="L78" s="292" t="s">
        <v>359</v>
      </c>
      <c r="M78" s="292" t="s">
        <v>371</v>
      </c>
      <c r="N78" s="292" t="str">
        <f t="shared" ref="N78:N97" si="86">_xlfn.CONCAT(C78,"-",D78)</f>
        <v>PTD-Manufacturing - PP</v>
      </c>
      <c r="O78" s="292" t="str">
        <f t="shared" ref="O78:O97" si="87">_xlfn.CONCAT(Y78,"-",Z78,"-",F78,"-",X78)</f>
        <v>Technology-Manager-US-Consulting</v>
      </c>
      <c r="P78" s="292" t="str">
        <f t="shared" ref="P78:P97" si="88">_xlfn.CONCAT(C78," - ",Y78)</f>
        <v>PTD - Technology</v>
      </c>
      <c r="Q78" s="293">
        <f t="shared" si="83"/>
        <v>1126080</v>
      </c>
      <c r="R78" s="294">
        <f t="shared" si="84"/>
        <v>146880</v>
      </c>
      <c r="S78" s="295">
        <f t="shared" ref="S78:S97" si="89">SUM(GP78:HN78)</f>
        <v>0</v>
      </c>
      <c r="T78" s="295">
        <f t="shared" si="85"/>
        <v>3680</v>
      </c>
      <c r="U78" s="296" t="str">
        <f t="shared" ref="U78:U97" si="90">_xlfn.CONCAT(Y78," - ",Z78)</f>
        <v>Technology - Manager</v>
      </c>
      <c r="V78" s="295" t="str">
        <f t="shared" ref="V78:V97" si="91">VLOOKUP(O78,$B$187:$H$848,4,0)</f>
        <v>5-7 years</v>
      </c>
      <c r="W78" s="292" t="str">
        <f t="shared" ref="W78:W97" si="92">IF(F78="US", "Onshore",IF(F78="India","Offshore", "Nearshore"))</f>
        <v>Onshore</v>
      </c>
      <c r="X78" s="292" t="s">
        <v>261</v>
      </c>
      <c r="Y78" s="292" t="s">
        <v>259</v>
      </c>
      <c r="Z78" s="292" t="s">
        <v>376</v>
      </c>
      <c r="AA78" s="297">
        <f>[1]Resourcing!QD82</f>
        <v>63.7032432432432</v>
      </c>
      <c r="AB78" s="298">
        <f t="shared" ref="AB78:AB97" si="93">IFERROR(VLOOKUP(O78,$B$187:$S$848,6,FALSE()),"combination not found")</f>
        <v>306</v>
      </c>
      <c r="AC78" s="327"/>
      <c r="AD78" s="327"/>
      <c r="AE78" s="327"/>
      <c r="AF78" s="327"/>
      <c r="AG78" s="327"/>
      <c r="AH78" s="327"/>
      <c r="AI78" s="327"/>
      <c r="AJ78" s="327"/>
      <c r="AK78" s="327"/>
      <c r="AL78" s="327"/>
      <c r="AM78" s="327"/>
      <c r="AN78" s="327"/>
      <c r="AO78" s="327"/>
      <c r="AP78" s="327"/>
      <c r="AQ78" s="327"/>
      <c r="AR78" s="327"/>
      <c r="AS78" s="327"/>
      <c r="AT78" s="327"/>
      <c r="AU78" s="327"/>
      <c r="AV78" s="327"/>
      <c r="AW78" s="327"/>
      <c r="AX78" s="327"/>
      <c r="AY78" s="327"/>
      <c r="AZ78" s="327"/>
      <c r="BA78" s="327"/>
      <c r="BB78" s="327"/>
      <c r="BC78" s="328">
        <v>40</v>
      </c>
      <c r="BD78" s="299">
        <v>40</v>
      </c>
      <c r="BE78" s="299">
        <v>40</v>
      </c>
      <c r="BF78" s="299">
        <v>40</v>
      </c>
      <c r="BG78" s="299">
        <v>40</v>
      </c>
      <c r="BH78" s="299">
        <v>40</v>
      </c>
      <c r="BI78" s="299">
        <v>40</v>
      </c>
      <c r="BJ78" s="299">
        <v>40</v>
      </c>
      <c r="BK78" s="299">
        <v>40</v>
      </c>
      <c r="BL78" s="299">
        <v>40</v>
      </c>
      <c r="BM78" s="299">
        <v>40</v>
      </c>
      <c r="BN78" s="299">
        <v>40</v>
      </c>
      <c r="BO78" s="299">
        <v>40</v>
      </c>
      <c r="BP78" s="299">
        <v>40</v>
      </c>
      <c r="BQ78" s="299">
        <v>40</v>
      </c>
      <c r="BR78" s="299"/>
      <c r="BS78" s="299"/>
      <c r="BT78" s="299">
        <v>40</v>
      </c>
      <c r="BU78" s="299">
        <v>40</v>
      </c>
      <c r="BV78" s="299">
        <v>40</v>
      </c>
      <c r="BW78" s="299">
        <v>40</v>
      </c>
      <c r="BX78" s="299">
        <v>40</v>
      </c>
      <c r="BY78" s="299">
        <v>40</v>
      </c>
      <c r="BZ78" s="299">
        <v>40</v>
      </c>
      <c r="CA78" s="299">
        <v>40</v>
      </c>
      <c r="CB78" s="299">
        <v>40</v>
      </c>
      <c r="CC78" s="299">
        <v>40</v>
      </c>
      <c r="CD78" s="299">
        <v>40</v>
      </c>
      <c r="CE78" s="299">
        <v>40</v>
      </c>
      <c r="CF78" s="299">
        <v>40</v>
      </c>
      <c r="CG78" s="299">
        <v>40</v>
      </c>
      <c r="CH78" s="299">
        <v>40</v>
      </c>
      <c r="CI78" s="299">
        <v>40</v>
      </c>
      <c r="CJ78" s="299">
        <v>40</v>
      </c>
      <c r="CK78" s="299">
        <v>40</v>
      </c>
      <c r="CL78" s="299">
        <v>40</v>
      </c>
      <c r="CM78" s="299">
        <v>40</v>
      </c>
      <c r="CN78" s="299">
        <v>40</v>
      </c>
      <c r="CO78" s="299">
        <v>40</v>
      </c>
      <c r="CP78" s="299">
        <v>40</v>
      </c>
      <c r="CQ78" s="299">
        <v>40</v>
      </c>
      <c r="CR78" s="299">
        <v>40</v>
      </c>
      <c r="CS78" s="299">
        <v>40</v>
      </c>
      <c r="CT78" s="299">
        <v>40</v>
      </c>
      <c r="CU78" s="299">
        <v>40</v>
      </c>
      <c r="CV78" s="299">
        <v>40</v>
      </c>
      <c r="CW78" s="299">
        <v>40</v>
      </c>
      <c r="CX78" s="299">
        <v>40</v>
      </c>
      <c r="CY78" s="299">
        <v>40</v>
      </c>
      <c r="CZ78" s="299">
        <v>40</v>
      </c>
      <c r="DA78" s="299">
        <v>40</v>
      </c>
      <c r="DB78" s="299">
        <v>40</v>
      </c>
      <c r="DC78" s="299">
        <v>40</v>
      </c>
      <c r="DD78" s="299">
        <v>40</v>
      </c>
      <c r="DE78" s="299">
        <v>40</v>
      </c>
      <c r="DF78" s="299">
        <v>40</v>
      </c>
      <c r="DG78" s="299">
        <v>40</v>
      </c>
      <c r="DH78" s="299">
        <v>40</v>
      </c>
      <c r="DI78" s="299">
        <v>40</v>
      </c>
      <c r="DJ78" s="299">
        <v>40</v>
      </c>
      <c r="DK78" s="299">
        <v>40</v>
      </c>
      <c r="DL78" s="299">
        <v>40</v>
      </c>
      <c r="DM78" s="299">
        <v>40</v>
      </c>
      <c r="DN78" s="299">
        <v>40</v>
      </c>
      <c r="DO78" s="299">
        <v>40</v>
      </c>
      <c r="DP78" s="299">
        <v>40</v>
      </c>
      <c r="DQ78" s="299">
        <v>40</v>
      </c>
      <c r="DR78" s="299"/>
      <c r="DS78" s="299"/>
      <c r="DT78" s="299">
        <v>40</v>
      </c>
      <c r="DU78" s="299">
        <v>40</v>
      </c>
      <c r="DV78" s="299">
        <v>40</v>
      </c>
      <c r="DW78" s="299">
        <v>40</v>
      </c>
      <c r="DX78" s="299">
        <v>40</v>
      </c>
      <c r="DY78" s="299">
        <v>40</v>
      </c>
      <c r="DZ78" s="299">
        <v>40</v>
      </c>
      <c r="EA78" s="299">
        <v>40</v>
      </c>
      <c r="EB78" s="299">
        <v>40</v>
      </c>
      <c r="EC78" s="299">
        <v>40</v>
      </c>
      <c r="ED78" s="299">
        <v>40</v>
      </c>
      <c r="EE78" s="299">
        <v>40</v>
      </c>
      <c r="EF78" s="299">
        <v>40</v>
      </c>
      <c r="EG78" s="299">
        <v>40</v>
      </c>
      <c r="EH78" s="299">
        <v>40</v>
      </c>
      <c r="EI78" s="299">
        <v>40</v>
      </c>
      <c r="EJ78" s="299">
        <v>40</v>
      </c>
      <c r="EK78" s="299">
        <v>40</v>
      </c>
      <c r="EL78" s="299">
        <v>40</v>
      </c>
      <c r="EM78" s="299">
        <v>40</v>
      </c>
      <c r="EN78" s="299">
        <v>40</v>
      </c>
      <c r="EO78" s="299">
        <v>40</v>
      </c>
      <c r="EP78" s="299">
        <v>40</v>
      </c>
      <c r="EQ78" s="299">
        <v>40</v>
      </c>
      <c r="ER78" s="299">
        <v>40</v>
      </c>
      <c r="ES78" s="299">
        <v>40</v>
      </c>
      <c r="ET78" s="329">
        <v>40</v>
      </c>
      <c r="EU78" s="327"/>
      <c r="EV78" s="327"/>
      <c r="EW78" s="327"/>
      <c r="EX78" s="327"/>
      <c r="EY78" s="327"/>
      <c r="EZ78" s="327"/>
      <c r="FA78" s="327"/>
      <c r="FB78" s="327"/>
      <c r="FC78" s="327"/>
      <c r="FD78" s="327"/>
      <c r="FE78" s="327"/>
      <c r="FF78" s="327"/>
      <c r="FG78" s="327"/>
      <c r="FH78" s="327"/>
      <c r="FI78" s="327"/>
      <c r="FJ78" s="327"/>
      <c r="FK78" s="327"/>
      <c r="FL78" s="327"/>
      <c r="FM78" s="327"/>
      <c r="FN78" s="327"/>
      <c r="FO78" s="327"/>
      <c r="FP78" s="327"/>
      <c r="FQ78" s="300" t="e">
        <f t="shared" ref="FQ78:FQ109" ca="1" si="94">SUMIF($AC$11:$FP$11,FQ$12,$AC78:$FP78)</f>
        <v>#VALUE!</v>
      </c>
      <c r="FR78" s="300" t="e">
        <f t="shared" ca="1" si="81"/>
        <v>#VALUE!</v>
      </c>
      <c r="FS78" s="300" t="e">
        <f t="shared" ca="1" si="81"/>
        <v>#VALUE!</v>
      </c>
      <c r="FT78" s="300" t="e">
        <f t="shared" ca="1" si="81"/>
        <v>#VALUE!</v>
      </c>
      <c r="FU78" s="300" t="e">
        <f t="shared" ca="1" si="81"/>
        <v>#VALUE!</v>
      </c>
      <c r="FV78" s="300" t="e">
        <f t="shared" ca="1" si="81"/>
        <v>#VALUE!</v>
      </c>
      <c r="FW78" s="300" t="e">
        <f t="shared" ca="1" si="81"/>
        <v>#VALUE!</v>
      </c>
      <c r="FX78" s="300" t="e">
        <f t="shared" ca="1" si="81"/>
        <v>#VALUE!</v>
      </c>
      <c r="FY78" s="300" t="e">
        <f t="shared" ca="1" si="81"/>
        <v>#VALUE!</v>
      </c>
      <c r="FZ78" s="300" t="e">
        <f t="shared" ca="1" si="81"/>
        <v>#VALUE!</v>
      </c>
      <c r="GA78" s="301" t="e">
        <f t="shared" ca="1" si="81"/>
        <v>#VALUE!</v>
      </c>
      <c r="GB78" s="301" t="e">
        <f t="shared" ca="1" si="82"/>
        <v>#VALUE!</v>
      </c>
      <c r="GC78" s="301" t="e">
        <f t="shared" ca="1" si="82"/>
        <v>#VALUE!</v>
      </c>
      <c r="GD78" s="301" t="e">
        <f t="shared" ca="1" si="82"/>
        <v>#VALUE!</v>
      </c>
      <c r="GE78" s="301" t="e">
        <f t="shared" ca="1" si="82"/>
        <v>#VALUE!</v>
      </c>
      <c r="GF78" s="301" t="e">
        <f t="shared" ca="1" si="82"/>
        <v>#VALUE!</v>
      </c>
      <c r="GG78" s="301" t="e">
        <f t="shared" ca="1" si="82"/>
        <v>#VALUE!</v>
      </c>
      <c r="GH78" s="301" t="e">
        <f t="shared" ca="1" si="82"/>
        <v>#VALUE!</v>
      </c>
      <c r="GI78" s="301" t="e">
        <f t="shared" ca="1" si="82"/>
        <v>#VALUE!</v>
      </c>
      <c r="GJ78" s="301" t="e">
        <f t="shared" ca="1" si="82"/>
        <v>#VALUE!</v>
      </c>
      <c r="GK78" s="301" t="e">
        <f t="shared" ca="1" si="82"/>
        <v>#VALUE!</v>
      </c>
      <c r="GL78" s="301" t="e">
        <f t="shared" ca="1" si="82"/>
        <v>#VALUE!</v>
      </c>
      <c r="GM78" s="301" t="e">
        <f t="shared" ca="1" si="82"/>
        <v>#VALUE!</v>
      </c>
      <c r="GN78" s="302" t="e">
        <f t="shared" ca="1" si="82"/>
        <v>#VALUE!</v>
      </c>
      <c r="GO78" s="302" t="e">
        <f t="shared" ca="1" si="82"/>
        <v>#VALUE!</v>
      </c>
      <c r="GP78" s="301"/>
      <c r="GQ78" s="301"/>
      <c r="GR78" s="301"/>
      <c r="GS78" s="301"/>
      <c r="GT78" s="301"/>
      <c r="GU78" s="303"/>
      <c r="GV78" s="302"/>
      <c r="GW78" s="302"/>
      <c r="GX78" s="302"/>
      <c r="GY78" s="302"/>
      <c r="GZ78" s="302"/>
      <c r="HA78" s="302"/>
      <c r="HB78" s="302"/>
      <c r="HC78" s="302"/>
      <c r="HD78" s="302"/>
      <c r="HE78" s="302"/>
      <c r="HF78" s="304"/>
      <c r="HG78" s="305"/>
    </row>
    <row r="79" spans="1:215">
      <c r="A79" s="291"/>
      <c r="B79" s="292" t="s">
        <v>85</v>
      </c>
      <c r="C79" s="292" t="s">
        <v>195</v>
      </c>
      <c r="D79" s="292" t="s">
        <v>221</v>
      </c>
      <c r="E79" s="292" t="s">
        <v>433</v>
      </c>
      <c r="F79" s="292" t="s">
        <v>184</v>
      </c>
      <c r="G79" s="292" t="s">
        <v>350</v>
      </c>
      <c r="H79" s="292" t="s">
        <v>351</v>
      </c>
      <c r="I79" s="292" t="s">
        <v>352</v>
      </c>
      <c r="J79" s="292" t="s">
        <v>184</v>
      </c>
      <c r="K79" s="292" t="s">
        <v>353</v>
      </c>
      <c r="L79" s="292" t="s">
        <v>359</v>
      </c>
      <c r="M79" s="292" t="s">
        <v>371</v>
      </c>
      <c r="N79" s="292" t="str">
        <f t="shared" si="86"/>
        <v>PTD-Manufacturing - PP</v>
      </c>
      <c r="O79" s="292" t="str">
        <f t="shared" si="87"/>
        <v>Technology-Manager-India-Consulting</v>
      </c>
      <c r="P79" s="292" t="str">
        <f t="shared" si="88"/>
        <v>PTD - Technology</v>
      </c>
      <c r="Q79" s="293">
        <f t="shared" si="83"/>
        <v>365310</v>
      </c>
      <c r="R79" s="294">
        <f t="shared" si="84"/>
        <v>8910</v>
      </c>
      <c r="S79" s="295">
        <f t="shared" si="89"/>
        <v>1305</v>
      </c>
      <c r="T79" s="295">
        <f t="shared" si="85"/>
        <v>3690</v>
      </c>
      <c r="U79" s="296" t="str">
        <f t="shared" si="90"/>
        <v>Technology - Manager</v>
      </c>
      <c r="V79" s="295" t="str">
        <f t="shared" si="91"/>
        <v>5-7 years</v>
      </c>
      <c r="W79" s="292" t="str">
        <f t="shared" si="92"/>
        <v>Offshore</v>
      </c>
      <c r="X79" s="292" t="s">
        <v>261</v>
      </c>
      <c r="Y79" s="292" t="s">
        <v>259</v>
      </c>
      <c r="Z79" s="292" t="s">
        <v>376</v>
      </c>
      <c r="AA79" s="297">
        <f>[1]Resourcing!QD83</f>
        <v>63.7032432432432</v>
      </c>
      <c r="AB79" s="298">
        <f t="shared" si="93"/>
        <v>99</v>
      </c>
      <c r="AC79" s="327"/>
      <c r="AD79" s="327"/>
      <c r="AE79" s="327"/>
      <c r="AF79" s="327"/>
      <c r="AG79" s="327"/>
      <c r="AH79" s="327"/>
      <c r="AI79" s="327"/>
      <c r="AJ79" s="327"/>
      <c r="AK79" s="327"/>
      <c r="AL79" s="327"/>
      <c r="AM79" s="327"/>
      <c r="AN79" s="327"/>
      <c r="AO79" s="327"/>
      <c r="AP79" s="327"/>
      <c r="AQ79" s="327"/>
      <c r="AR79" s="327"/>
      <c r="AS79" s="327"/>
      <c r="AT79" s="327"/>
      <c r="AU79" s="327"/>
      <c r="AV79" s="327"/>
      <c r="AW79" s="327"/>
      <c r="AX79" s="327"/>
      <c r="AY79" s="327"/>
      <c r="AZ79" s="327"/>
      <c r="BA79" s="327"/>
      <c r="BB79" s="327"/>
      <c r="BC79" s="328"/>
      <c r="BD79" s="299"/>
      <c r="BE79" s="299"/>
      <c r="BF79" s="299"/>
      <c r="BG79" s="299"/>
      <c r="BH79" s="299"/>
      <c r="BI79" s="299"/>
      <c r="BJ79" s="299"/>
      <c r="BK79" s="299"/>
      <c r="BL79" s="299"/>
      <c r="BM79" s="299">
        <v>45</v>
      </c>
      <c r="BN79" s="299">
        <v>45</v>
      </c>
      <c r="BO79" s="299">
        <v>45</v>
      </c>
      <c r="BP79" s="299">
        <v>45</v>
      </c>
      <c r="BQ79" s="299">
        <v>45</v>
      </c>
      <c r="BR79" s="299"/>
      <c r="BS79" s="299"/>
      <c r="BT79" s="299">
        <v>45</v>
      </c>
      <c r="BU79" s="299">
        <v>45</v>
      </c>
      <c r="BV79" s="299">
        <v>45</v>
      </c>
      <c r="BW79" s="299">
        <v>45</v>
      </c>
      <c r="BX79" s="299">
        <v>45</v>
      </c>
      <c r="BY79" s="299">
        <v>45</v>
      </c>
      <c r="BZ79" s="299">
        <v>45</v>
      </c>
      <c r="CA79" s="299">
        <v>45</v>
      </c>
      <c r="CB79" s="299">
        <v>45</v>
      </c>
      <c r="CC79" s="299">
        <v>45</v>
      </c>
      <c r="CD79" s="299">
        <v>45</v>
      </c>
      <c r="CE79" s="299">
        <v>45</v>
      </c>
      <c r="CF79" s="299">
        <v>45</v>
      </c>
      <c r="CG79" s="299">
        <v>45</v>
      </c>
      <c r="CH79" s="299">
        <v>45</v>
      </c>
      <c r="CI79" s="299">
        <v>45</v>
      </c>
      <c r="CJ79" s="299">
        <v>45</v>
      </c>
      <c r="CK79" s="299">
        <v>45</v>
      </c>
      <c r="CL79" s="299">
        <v>45</v>
      </c>
      <c r="CM79" s="299">
        <v>45</v>
      </c>
      <c r="CN79" s="299">
        <v>45</v>
      </c>
      <c r="CO79" s="299">
        <v>45</v>
      </c>
      <c r="CP79" s="299">
        <v>45</v>
      </c>
      <c r="CQ79" s="299">
        <v>45</v>
      </c>
      <c r="CR79" s="299">
        <v>45</v>
      </c>
      <c r="CS79" s="299">
        <v>45</v>
      </c>
      <c r="CT79" s="299">
        <v>45</v>
      </c>
      <c r="CU79" s="299">
        <v>45</v>
      </c>
      <c r="CV79" s="299">
        <v>45</v>
      </c>
      <c r="CW79" s="299">
        <v>45</v>
      </c>
      <c r="CX79" s="299">
        <v>45</v>
      </c>
      <c r="CY79" s="299">
        <v>45</v>
      </c>
      <c r="CZ79" s="299">
        <v>45</v>
      </c>
      <c r="DA79" s="299">
        <v>45</v>
      </c>
      <c r="DB79" s="299">
        <v>45</v>
      </c>
      <c r="DC79" s="299">
        <v>45</v>
      </c>
      <c r="DD79" s="299">
        <v>45</v>
      </c>
      <c r="DE79" s="299">
        <v>45</v>
      </c>
      <c r="DF79" s="299">
        <v>45</v>
      </c>
      <c r="DG79" s="299">
        <v>45</v>
      </c>
      <c r="DH79" s="299">
        <v>45</v>
      </c>
      <c r="DI79" s="299">
        <v>45</v>
      </c>
      <c r="DJ79" s="299">
        <v>45</v>
      </c>
      <c r="DK79" s="299">
        <v>45</v>
      </c>
      <c r="DL79" s="299">
        <v>45</v>
      </c>
      <c r="DM79" s="299">
        <v>45</v>
      </c>
      <c r="DN79" s="299">
        <v>45</v>
      </c>
      <c r="DO79" s="299">
        <v>45</v>
      </c>
      <c r="DP79" s="299">
        <v>45</v>
      </c>
      <c r="DQ79" s="299">
        <v>45</v>
      </c>
      <c r="DR79" s="299"/>
      <c r="DS79" s="299"/>
      <c r="DT79" s="299">
        <v>45</v>
      </c>
      <c r="DU79" s="299">
        <v>45</v>
      </c>
      <c r="DV79" s="299">
        <v>45</v>
      </c>
      <c r="DW79" s="299">
        <v>45</v>
      </c>
      <c r="DX79" s="299">
        <v>45</v>
      </c>
      <c r="DY79" s="299">
        <v>45</v>
      </c>
      <c r="DZ79" s="299">
        <v>45</v>
      </c>
      <c r="EA79" s="299">
        <v>45</v>
      </c>
      <c r="EB79" s="299">
        <v>45</v>
      </c>
      <c r="EC79" s="299">
        <v>45</v>
      </c>
      <c r="ED79" s="299">
        <v>45</v>
      </c>
      <c r="EE79" s="299">
        <v>45</v>
      </c>
      <c r="EF79" s="299">
        <v>45</v>
      </c>
      <c r="EG79" s="299">
        <v>45</v>
      </c>
      <c r="EH79" s="299">
        <v>45</v>
      </c>
      <c r="EI79" s="299">
        <v>45</v>
      </c>
      <c r="EJ79" s="299">
        <v>45</v>
      </c>
      <c r="EK79" s="299">
        <v>45</v>
      </c>
      <c r="EL79" s="299">
        <v>45</v>
      </c>
      <c r="EM79" s="299">
        <v>45</v>
      </c>
      <c r="EN79" s="299">
        <v>45</v>
      </c>
      <c r="EO79" s="299">
        <v>45</v>
      </c>
      <c r="EP79" s="299">
        <v>45</v>
      </c>
      <c r="EQ79" s="299">
        <v>45</v>
      </c>
      <c r="ER79" s="299">
        <v>45</v>
      </c>
      <c r="ES79" s="299">
        <v>45</v>
      </c>
      <c r="ET79" s="329">
        <v>45</v>
      </c>
      <c r="EU79" s="327"/>
      <c r="EV79" s="327"/>
      <c r="EW79" s="327"/>
      <c r="EX79" s="327"/>
      <c r="EY79" s="327"/>
      <c r="EZ79" s="327"/>
      <c r="FA79" s="327"/>
      <c r="FB79" s="327"/>
      <c r="FC79" s="327"/>
      <c r="FD79" s="327"/>
      <c r="FE79" s="327"/>
      <c r="FF79" s="327"/>
      <c r="FG79" s="327"/>
      <c r="FH79" s="327"/>
      <c r="FI79" s="327"/>
      <c r="FJ79" s="327"/>
      <c r="FK79" s="327"/>
      <c r="FL79" s="327"/>
      <c r="FM79" s="327"/>
      <c r="FN79" s="327"/>
      <c r="FO79" s="327"/>
      <c r="FP79" s="327"/>
      <c r="FQ79" s="300" t="e">
        <f t="shared" ca="1" si="94"/>
        <v>#VALUE!</v>
      </c>
      <c r="FR79" s="300" t="e">
        <f t="shared" ca="1" si="81"/>
        <v>#VALUE!</v>
      </c>
      <c r="FS79" s="300" t="e">
        <f t="shared" ca="1" si="81"/>
        <v>#VALUE!</v>
      </c>
      <c r="FT79" s="300" t="e">
        <f t="shared" ca="1" si="81"/>
        <v>#VALUE!</v>
      </c>
      <c r="FU79" s="300" t="e">
        <f t="shared" ca="1" si="81"/>
        <v>#VALUE!</v>
      </c>
      <c r="FV79" s="300" t="e">
        <f t="shared" ca="1" si="81"/>
        <v>#VALUE!</v>
      </c>
      <c r="FW79" s="300" t="e">
        <f t="shared" ca="1" si="81"/>
        <v>#VALUE!</v>
      </c>
      <c r="FX79" s="300" t="e">
        <f t="shared" ca="1" si="81"/>
        <v>#VALUE!</v>
      </c>
      <c r="FY79" s="300" t="e">
        <f t="shared" ca="1" si="81"/>
        <v>#VALUE!</v>
      </c>
      <c r="FZ79" s="300" t="e">
        <f t="shared" ca="1" si="81"/>
        <v>#VALUE!</v>
      </c>
      <c r="GA79" s="301" t="e">
        <f t="shared" ca="1" si="81"/>
        <v>#VALUE!</v>
      </c>
      <c r="GB79" s="301" t="e">
        <f t="shared" ca="1" si="82"/>
        <v>#VALUE!</v>
      </c>
      <c r="GC79" s="301" t="e">
        <f t="shared" ca="1" si="82"/>
        <v>#VALUE!</v>
      </c>
      <c r="GD79" s="301" t="e">
        <f t="shared" ca="1" si="82"/>
        <v>#VALUE!</v>
      </c>
      <c r="GE79" s="301" t="e">
        <f t="shared" ca="1" si="82"/>
        <v>#VALUE!</v>
      </c>
      <c r="GF79" s="301" t="e">
        <f t="shared" ca="1" si="82"/>
        <v>#VALUE!</v>
      </c>
      <c r="GG79" s="301" t="e">
        <f t="shared" ca="1" si="82"/>
        <v>#VALUE!</v>
      </c>
      <c r="GH79" s="301" t="e">
        <f t="shared" ca="1" si="82"/>
        <v>#VALUE!</v>
      </c>
      <c r="GI79" s="301" t="e">
        <f t="shared" ca="1" si="82"/>
        <v>#VALUE!</v>
      </c>
      <c r="GJ79" s="301" t="e">
        <f t="shared" ca="1" si="82"/>
        <v>#VALUE!</v>
      </c>
      <c r="GK79" s="301" t="e">
        <f t="shared" ca="1" si="82"/>
        <v>#VALUE!</v>
      </c>
      <c r="GL79" s="301" t="e">
        <f t="shared" ca="1" si="82"/>
        <v>#VALUE!</v>
      </c>
      <c r="GM79" s="301" t="e">
        <f t="shared" ca="1" si="82"/>
        <v>#VALUE!</v>
      </c>
      <c r="GN79" s="302" t="e">
        <f t="shared" ca="1" si="82"/>
        <v>#VALUE!</v>
      </c>
      <c r="GO79" s="302" t="e">
        <f t="shared" ca="1" si="82"/>
        <v>#VALUE!</v>
      </c>
      <c r="GP79" s="220">
        <f t="shared" ref="GP79:HE79" si="95">SUMIF($AB$8:$FO$8,GP$9,$AB79:$FO79)</f>
        <v>90</v>
      </c>
      <c r="GQ79" s="220">
        <f t="shared" si="95"/>
        <v>180</v>
      </c>
      <c r="GR79" s="220">
        <f t="shared" si="95"/>
        <v>180</v>
      </c>
      <c r="GS79" s="220">
        <f t="shared" si="95"/>
        <v>180</v>
      </c>
      <c r="GT79" s="220">
        <f t="shared" si="95"/>
        <v>180</v>
      </c>
      <c r="GU79" s="220">
        <f t="shared" si="95"/>
        <v>180</v>
      </c>
      <c r="GV79" s="220">
        <f t="shared" si="95"/>
        <v>180</v>
      </c>
      <c r="GW79" s="220">
        <f t="shared" si="95"/>
        <v>135</v>
      </c>
      <c r="GX79" s="220">
        <f t="shared" si="95"/>
        <v>0</v>
      </c>
      <c r="GY79" s="220">
        <f t="shared" si="95"/>
        <v>0</v>
      </c>
      <c r="GZ79" s="220">
        <f t="shared" si="95"/>
        <v>0</v>
      </c>
      <c r="HA79" s="220">
        <f t="shared" si="95"/>
        <v>0</v>
      </c>
      <c r="HB79" s="220">
        <f t="shared" si="95"/>
        <v>0</v>
      </c>
      <c r="HC79" s="220">
        <f t="shared" si="95"/>
        <v>0</v>
      </c>
      <c r="HD79" s="220">
        <f t="shared" si="95"/>
        <v>0</v>
      </c>
      <c r="HE79" s="220">
        <f t="shared" si="95"/>
        <v>0</v>
      </c>
    </row>
    <row r="80" spans="1:215">
      <c r="A80" s="291"/>
      <c r="B80" s="292" t="s">
        <v>85</v>
      </c>
      <c r="C80" s="292" t="s">
        <v>195</v>
      </c>
      <c r="D80" s="292" t="s">
        <v>221</v>
      </c>
      <c r="E80" s="292" t="s">
        <v>434</v>
      </c>
      <c r="F80" s="292" t="s">
        <v>184</v>
      </c>
      <c r="G80" s="292" t="s">
        <v>350</v>
      </c>
      <c r="H80" s="292" t="s">
        <v>351</v>
      </c>
      <c r="I80" s="292" t="s">
        <v>352</v>
      </c>
      <c r="J80" s="292" t="s">
        <v>184</v>
      </c>
      <c r="K80" s="292" t="s">
        <v>353</v>
      </c>
      <c r="L80" s="292" t="s">
        <v>359</v>
      </c>
      <c r="M80" s="292" t="s">
        <v>374</v>
      </c>
      <c r="N80" s="292" t="str">
        <f t="shared" si="86"/>
        <v>PTD-Manufacturing - PP</v>
      </c>
      <c r="O80" s="292" t="str">
        <f t="shared" si="87"/>
        <v>Technology-Consultant-India-Consulting</v>
      </c>
      <c r="P80" s="292" t="str">
        <f t="shared" si="88"/>
        <v>PTD - Technology</v>
      </c>
      <c r="Q80" s="293">
        <f t="shared" si="83"/>
        <v>194400</v>
      </c>
      <c r="R80" s="294">
        <f t="shared" si="84"/>
        <v>0</v>
      </c>
      <c r="S80" s="295">
        <f t="shared" si="89"/>
        <v>0</v>
      </c>
      <c r="T80" s="295">
        <f t="shared" si="85"/>
        <v>3240</v>
      </c>
      <c r="U80" s="296" t="str">
        <f t="shared" si="90"/>
        <v>Technology - Consultant</v>
      </c>
      <c r="V80" s="295" t="str">
        <f t="shared" si="91"/>
        <v>1-3 years</v>
      </c>
      <c r="W80" s="292" t="str">
        <f t="shared" si="92"/>
        <v>Offshore</v>
      </c>
      <c r="X80" s="292" t="s">
        <v>261</v>
      </c>
      <c r="Y80" s="292" t="s">
        <v>259</v>
      </c>
      <c r="Z80" s="292" t="s">
        <v>368</v>
      </c>
      <c r="AA80" s="297">
        <f>[1]Resourcing!QD84</f>
        <v>0</v>
      </c>
      <c r="AB80" s="298">
        <f t="shared" si="93"/>
        <v>60</v>
      </c>
      <c r="AC80" s="327"/>
      <c r="AD80" s="327"/>
      <c r="AE80" s="327"/>
      <c r="AF80" s="327"/>
      <c r="AG80" s="327"/>
      <c r="AH80" s="327"/>
      <c r="AI80" s="327"/>
      <c r="AJ80" s="327"/>
      <c r="AK80" s="327"/>
      <c r="AL80" s="327"/>
      <c r="AM80" s="327"/>
      <c r="AN80" s="327"/>
      <c r="AO80" s="327"/>
      <c r="AP80" s="327"/>
      <c r="AQ80" s="327"/>
      <c r="AR80" s="327"/>
      <c r="AS80" s="327"/>
      <c r="AT80" s="327"/>
      <c r="AU80" s="327"/>
      <c r="AV80" s="327"/>
      <c r="AW80" s="327"/>
      <c r="AX80" s="299"/>
      <c r="AY80" s="299"/>
      <c r="AZ80" s="299"/>
      <c r="BA80" s="299"/>
      <c r="BB80" s="299"/>
      <c r="BC80" s="328"/>
      <c r="BD80" s="299"/>
      <c r="BE80" s="299"/>
      <c r="BF80" s="299"/>
      <c r="BG80" s="299"/>
      <c r="BH80" s="299"/>
      <c r="BI80" s="299"/>
      <c r="BJ80" s="299"/>
      <c r="BK80" s="299"/>
      <c r="BL80" s="299"/>
      <c r="BM80" s="299"/>
      <c r="BN80" s="299"/>
      <c r="BO80" s="299"/>
      <c r="BP80" s="299"/>
      <c r="BQ80" s="299"/>
      <c r="BR80" s="299"/>
      <c r="BS80" s="299"/>
      <c r="BT80" s="299"/>
      <c r="BU80" s="299"/>
      <c r="BV80" s="299"/>
      <c r="BW80" s="299"/>
      <c r="BX80" s="299"/>
      <c r="BY80" s="299">
        <v>45</v>
      </c>
      <c r="BZ80" s="299">
        <v>45</v>
      </c>
      <c r="CA80" s="299">
        <v>45</v>
      </c>
      <c r="CB80" s="299">
        <v>45</v>
      </c>
      <c r="CC80" s="299">
        <v>45</v>
      </c>
      <c r="CD80" s="299">
        <v>45</v>
      </c>
      <c r="CE80" s="299">
        <v>45</v>
      </c>
      <c r="CF80" s="299">
        <v>45</v>
      </c>
      <c r="CG80" s="299">
        <v>45</v>
      </c>
      <c r="CH80" s="299">
        <v>45</v>
      </c>
      <c r="CI80" s="299">
        <v>45</v>
      </c>
      <c r="CJ80" s="299">
        <v>45</v>
      </c>
      <c r="CK80" s="299">
        <v>45</v>
      </c>
      <c r="CL80" s="299">
        <v>45</v>
      </c>
      <c r="CM80" s="299">
        <v>45</v>
      </c>
      <c r="CN80" s="299">
        <v>45</v>
      </c>
      <c r="CO80" s="299">
        <v>45</v>
      </c>
      <c r="CP80" s="299">
        <v>45</v>
      </c>
      <c r="CQ80" s="299">
        <v>45</v>
      </c>
      <c r="CR80" s="299">
        <v>45</v>
      </c>
      <c r="CS80" s="299">
        <v>45</v>
      </c>
      <c r="CT80" s="299">
        <v>45</v>
      </c>
      <c r="CU80" s="299">
        <v>45</v>
      </c>
      <c r="CV80" s="299">
        <v>45</v>
      </c>
      <c r="CW80" s="299">
        <v>45</v>
      </c>
      <c r="CX80" s="299">
        <v>45</v>
      </c>
      <c r="CY80" s="299">
        <v>45</v>
      </c>
      <c r="CZ80" s="299">
        <v>45</v>
      </c>
      <c r="DA80" s="299">
        <v>45</v>
      </c>
      <c r="DB80" s="299">
        <v>45</v>
      </c>
      <c r="DC80" s="299">
        <v>45</v>
      </c>
      <c r="DD80" s="299">
        <v>45</v>
      </c>
      <c r="DE80" s="299">
        <v>45</v>
      </c>
      <c r="DF80" s="299">
        <v>45</v>
      </c>
      <c r="DG80" s="299">
        <v>45</v>
      </c>
      <c r="DH80" s="299">
        <v>45</v>
      </c>
      <c r="DI80" s="299">
        <v>45</v>
      </c>
      <c r="DJ80" s="299">
        <v>45</v>
      </c>
      <c r="DK80" s="299">
        <v>45</v>
      </c>
      <c r="DL80" s="299">
        <v>45</v>
      </c>
      <c r="DM80" s="299">
        <v>45</v>
      </c>
      <c r="DN80" s="299">
        <v>45</v>
      </c>
      <c r="DO80" s="299">
        <v>45</v>
      </c>
      <c r="DP80" s="299">
        <v>45</v>
      </c>
      <c r="DQ80" s="299">
        <v>45</v>
      </c>
      <c r="DR80" s="299"/>
      <c r="DS80" s="299"/>
      <c r="DT80" s="299">
        <v>45</v>
      </c>
      <c r="DU80" s="299">
        <v>45</v>
      </c>
      <c r="DV80" s="299">
        <v>45</v>
      </c>
      <c r="DW80" s="299">
        <v>45</v>
      </c>
      <c r="DX80" s="299">
        <v>45</v>
      </c>
      <c r="DY80" s="299">
        <v>45</v>
      </c>
      <c r="DZ80" s="299">
        <v>45</v>
      </c>
      <c r="EA80" s="299">
        <v>45</v>
      </c>
      <c r="EB80" s="299">
        <v>45</v>
      </c>
      <c r="EC80" s="299">
        <v>45</v>
      </c>
      <c r="ED80" s="299">
        <v>45</v>
      </c>
      <c r="EE80" s="299">
        <v>45</v>
      </c>
      <c r="EF80" s="299">
        <v>45</v>
      </c>
      <c r="EG80" s="299">
        <v>45</v>
      </c>
      <c r="EH80" s="299">
        <v>45</v>
      </c>
      <c r="EI80" s="299">
        <v>45</v>
      </c>
      <c r="EJ80" s="299">
        <v>45</v>
      </c>
      <c r="EK80" s="299">
        <v>45</v>
      </c>
      <c r="EL80" s="299">
        <v>45</v>
      </c>
      <c r="EM80" s="299">
        <v>45</v>
      </c>
      <c r="EN80" s="299">
        <v>45</v>
      </c>
      <c r="EO80" s="299">
        <v>45</v>
      </c>
      <c r="EP80" s="299">
        <v>45</v>
      </c>
      <c r="EQ80" s="299">
        <v>45</v>
      </c>
      <c r="ER80" s="299">
        <v>45</v>
      </c>
      <c r="ES80" s="299">
        <v>45</v>
      </c>
      <c r="ET80" s="329">
        <v>45</v>
      </c>
      <c r="EU80" s="327"/>
      <c r="EV80" s="327"/>
      <c r="EW80" s="327"/>
      <c r="EX80" s="327"/>
      <c r="EY80" s="327"/>
      <c r="EZ80" s="327"/>
      <c r="FA80" s="327"/>
      <c r="FB80" s="327"/>
      <c r="FC80" s="327"/>
      <c r="FD80" s="327"/>
      <c r="FE80" s="327"/>
      <c r="FF80" s="327"/>
      <c r="FG80" s="327"/>
      <c r="FH80" s="327"/>
      <c r="FI80" s="327"/>
      <c r="FJ80" s="327"/>
      <c r="FK80" s="327"/>
      <c r="FL80" s="327"/>
      <c r="FM80" s="327"/>
      <c r="FN80" s="327"/>
      <c r="FO80" s="327"/>
      <c r="FP80" s="327"/>
      <c r="FQ80" s="300" t="e">
        <f t="shared" ca="1" si="94"/>
        <v>#VALUE!</v>
      </c>
      <c r="FR80" s="300" t="e">
        <f t="shared" ca="1" si="81"/>
        <v>#VALUE!</v>
      </c>
      <c r="FS80" s="300" t="e">
        <f t="shared" ca="1" si="81"/>
        <v>#VALUE!</v>
      </c>
      <c r="FT80" s="300" t="e">
        <f t="shared" ca="1" si="81"/>
        <v>#VALUE!</v>
      </c>
      <c r="FU80" s="300" t="e">
        <f t="shared" ca="1" si="81"/>
        <v>#VALUE!</v>
      </c>
      <c r="FV80" s="300" t="e">
        <f t="shared" ca="1" si="81"/>
        <v>#VALUE!</v>
      </c>
      <c r="FW80" s="300" t="e">
        <f t="shared" ca="1" si="81"/>
        <v>#VALUE!</v>
      </c>
      <c r="FX80" s="300" t="e">
        <f t="shared" ca="1" si="81"/>
        <v>#VALUE!</v>
      </c>
      <c r="FY80" s="300" t="e">
        <f t="shared" ca="1" si="81"/>
        <v>#VALUE!</v>
      </c>
      <c r="FZ80" s="300" t="e">
        <f t="shared" ca="1" si="81"/>
        <v>#VALUE!</v>
      </c>
      <c r="GA80" s="301" t="e">
        <f t="shared" ca="1" si="81"/>
        <v>#VALUE!</v>
      </c>
      <c r="GB80" s="301" t="e">
        <f t="shared" ca="1" si="82"/>
        <v>#VALUE!</v>
      </c>
      <c r="GC80" s="301" t="e">
        <f t="shared" ca="1" si="82"/>
        <v>#VALUE!</v>
      </c>
      <c r="GD80" s="301" t="e">
        <f t="shared" ca="1" si="82"/>
        <v>#VALUE!</v>
      </c>
      <c r="GE80" s="301" t="e">
        <f t="shared" ca="1" si="82"/>
        <v>#VALUE!</v>
      </c>
      <c r="GF80" s="301" t="e">
        <f t="shared" ca="1" si="82"/>
        <v>#VALUE!</v>
      </c>
      <c r="GG80" s="301" t="e">
        <f t="shared" ca="1" si="82"/>
        <v>#VALUE!</v>
      </c>
      <c r="GH80" s="301" t="e">
        <f t="shared" ca="1" si="82"/>
        <v>#VALUE!</v>
      </c>
      <c r="GI80" s="301" t="e">
        <f t="shared" ca="1" si="82"/>
        <v>#VALUE!</v>
      </c>
      <c r="GJ80" s="301" t="e">
        <f t="shared" ca="1" si="82"/>
        <v>#VALUE!</v>
      </c>
      <c r="GK80" s="301" t="e">
        <f t="shared" ca="1" si="82"/>
        <v>#VALUE!</v>
      </c>
      <c r="GL80" s="301" t="e">
        <f t="shared" ca="1" si="82"/>
        <v>#VALUE!</v>
      </c>
      <c r="GM80" s="301" t="e">
        <f t="shared" ca="1" si="82"/>
        <v>#VALUE!</v>
      </c>
      <c r="GN80" s="302" t="e">
        <f t="shared" ca="1" si="82"/>
        <v>#VALUE!</v>
      </c>
      <c r="GO80" s="302" t="e">
        <f t="shared" ca="1" si="82"/>
        <v>#VALUE!</v>
      </c>
    </row>
    <row r="81" spans="1:197">
      <c r="A81" s="291"/>
      <c r="B81" s="292" t="s">
        <v>85</v>
      </c>
      <c r="C81" s="292" t="s">
        <v>195</v>
      </c>
      <c r="D81" s="292" t="s">
        <v>221</v>
      </c>
      <c r="E81" s="292" t="s">
        <v>435</v>
      </c>
      <c r="F81" s="292" t="s">
        <v>184</v>
      </c>
      <c r="G81" s="292" t="s">
        <v>350</v>
      </c>
      <c r="H81" s="292" t="s">
        <v>351</v>
      </c>
      <c r="I81" s="292" t="s">
        <v>352</v>
      </c>
      <c r="J81" s="292" t="s">
        <v>184</v>
      </c>
      <c r="K81" s="292" t="s">
        <v>353</v>
      </c>
      <c r="L81" s="292" t="s">
        <v>359</v>
      </c>
      <c r="M81" s="292" t="s">
        <v>374</v>
      </c>
      <c r="N81" s="292" t="str">
        <f t="shared" si="86"/>
        <v>PTD-Manufacturing - PP</v>
      </c>
      <c r="O81" s="292" t="str">
        <f t="shared" si="87"/>
        <v>Technology-Senior Consultant-India-Consulting</v>
      </c>
      <c r="P81" s="292" t="str">
        <f t="shared" si="88"/>
        <v>PTD - Technology</v>
      </c>
      <c r="Q81" s="293">
        <f t="shared" si="83"/>
        <v>293940</v>
      </c>
      <c r="R81" s="294">
        <f t="shared" si="84"/>
        <v>38340</v>
      </c>
      <c r="S81" s="295">
        <f t="shared" si="89"/>
        <v>0</v>
      </c>
      <c r="T81" s="295">
        <f t="shared" si="85"/>
        <v>4140</v>
      </c>
      <c r="U81" s="296" t="str">
        <f t="shared" si="90"/>
        <v>Technology - Senior Consultant</v>
      </c>
      <c r="V81" s="295" t="str">
        <f t="shared" si="91"/>
        <v>3-5 years</v>
      </c>
      <c r="W81" s="292" t="str">
        <f t="shared" si="92"/>
        <v>Offshore</v>
      </c>
      <c r="X81" s="292" t="s">
        <v>261</v>
      </c>
      <c r="Y81" s="292" t="s">
        <v>259</v>
      </c>
      <c r="Z81" s="292" t="s">
        <v>364</v>
      </c>
      <c r="AA81" s="297">
        <f>[1]Resourcing!QD85</f>
        <v>358.95478260869601</v>
      </c>
      <c r="AB81" s="298">
        <f t="shared" si="93"/>
        <v>71</v>
      </c>
      <c r="AC81" s="327"/>
      <c r="AD81" s="327"/>
      <c r="AE81" s="327"/>
      <c r="AF81" s="327"/>
      <c r="AG81" s="327"/>
      <c r="AH81" s="327"/>
      <c r="AI81" s="327"/>
      <c r="AJ81" s="327"/>
      <c r="AK81" s="327"/>
      <c r="AL81" s="327"/>
      <c r="AM81" s="327"/>
      <c r="AN81" s="327"/>
      <c r="AO81" s="327"/>
      <c r="AP81" s="327"/>
      <c r="AQ81" s="327"/>
      <c r="AR81" s="327"/>
      <c r="AS81" s="327"/>
      <c r="AT81" s="327"/>
      <c r="AU81" s="327"/>
      <c r="AV81" s="327"/>
      <c r="AW81" s="327"/>
      <c r="AX81" s="327"/>
      <c r="AY81" s="327"/>
      <c r="AZ81" s="327"/>
      <c r="BA81" s="327"/>
      <c r="BB81" s="327"/>
      <c r="BC81" s="328">
        <v>45</v>
      </c>
      <c r="BD81" s="299">
        <v>45</v>
      </c>
      <c r="BE81" s="299">
        <v>45</v>
      </c>
      <c r="BF81" s="299">
        <v>45</v>
      </c>
      <c r="BG81" s="299">
        <v>45</v>
      </c>
      <c r="BH81" s="299">
        <v>45</v>
      </c>
      <c r="BI81" s="299">
        <v>45</v>
      </c>
      <c r="BJ81" s="299">
        <v>45</v>
      </c>
      <c r="BK81" s="299">
        <v>45</v>
      </c>
      <c r="BL81" s="299">
        <v>45</v>
      </c>
      <c r="BM81" s="299">
        <v>45</v>
      </c>
      <c r="BN81" s="299">
        <v>45</v>
      </c>
      <c r="BO81" s="299">
        <v>45</v>
      </c>
      <c r="BP81" s="299">
        <v>45</v>
      </c>
      <c r="BQ81" s="299">
        <v>45</v>
      </c>
      <c r="BR81" s="299"/>
      <c r="BS81" s="299"/>
      <c r="BT81" s="299">
        <v>45</v>
      </c>
      <c r="BU81" s="299">
        <v>45</v>
      </c>
      <c r="BV81" s="299">
        <v>45</v>
      </c>
      <c r="BW81" s="299">
        <v>45</v>
      </c>
      <c r="BX81" s="299">
        <v>45</v>
      </c>
      <c r="BY81" s="299">
        <v>45</v>
      </c>
      <c r="BZ81" s="299">
        <v>45</v>
      </c>
      <c r="CA81" s="299">
        <v>45</v>
      </c>
      <c r="CB81" s="299">
        <v>45</v>
      </c>
      <c r="CC81" s="299">
        <v>45</v>
      </c>
      <c r="CD81" s="299">
        <v>45</v>
      </c>
      <c r="CE81" s="299">
        <v>45</v>
      </c>
      <c r="CF81" s="299">
        <v>45</v>
      </c>
      <c r="CG81" s="299">
        <v>45</v>
      </c>
      <c r="CH81" s="299">
        <v>45</v>
      </c>
      <c r="CI81" s="299">
        <v>45</v>
      </c>
      <c r="CJ81" s="299">
        <v>45</v>
      </c>
      <c r="CK81" s="299">
        <v>45</v>
      </c>
      <c r="CL81" s="299">
        <v>45</v>
      </c>
      <c r="CM81" s="299">
        <v>45</v>
      </c>
      <c r="CN81" s="299">
        <v>45</v>
      </c>
      <c r="CO81" s="299">
        <v>45</v>
      </c>
      <c r="CP81" s="299">
        <v>45</v>
      </c>
      <c r="CQ81" s="299">
        <v>45</v>
      </c>
      <c r="CR81" s="299">
        <v>45</v>
      </c>
      <c r="CS81" s="299">
        <v>45</v>
      </c>
      <c r="CT81" s="299">
        <v>45</v>
      </c>
      <c r="CU81" s="299">
        <v>45</v>
      </c>
      <c r="CV81" s="299">
        <v>45</v>
      </c>
      <c r="CW81" s="299">
        <v>45</v>
      </c>
      <c r="CX81" s="299">
        <v>45</v>
      </c>
      <c r="CY81" s="299">
        <v>45</v>
      </c>
      <c r="CZ81" s="299">
        <v>45</v>
      </c>
      <c r="DA81" s="299">
        <v>45</v>
      </c>
      <c r="DB81" s="299">
        <v>45</v>
      </c>
      <c r="DC81" s="299">
        <v>45</v>
      </c>
      <c r="DD81" s="299">
        <v>45</v>
      </c>
      <c r="DE81" s="299">
        <v>45</v>
      </c>
      <c r="DF81" s="299">
        <v>45</v>
      </c>
      <c r="DG81" s="299">
        <v>45</v>
      </c>
      <c r="DH81" s="299">
        <v>45</v>
      </c>
      <c r="DI81" s="299">
        <v>45</v>
      </c>
      <c r="DJ81" s="299">
        <v>45</v>
      </c>
      <c r="DK81" s="299">
        <v>45</v>
      </c>
      <c r="DL81" s="299">
        <v>45</v>
      </c>
      <c r="DM81" s="299">
        <v>45</v>
      </c>
      <c r="DN81" s="299">
        <v>45</v>
      </c>
      <c r="DO81" s="299">
        <v>45</v>
      </c>
      <c r="DP81" s="299">
        <v>45</v>
      </c>
      <c r="DQ81" s="299">
        <v>45</v>
      </c>
      <c r="DR81" s="299"/>
      <c r="DS81" s="299"/>
      <c r="DT81" s="299">
        <v>45</v>
      </c>
      <c r="DU81" s="299">
        <v>45</v>
      </c>
      <c r="DV81" s="299">
        <v>45</v>
      </c>
      <c r="DW81" s="299">
        <v>45</v>
      </c>
      <c r="DX81" s="299">
        <v>45</v>
      </c>
      <c r="DY81" s="299">
        <v>45</v>
      </c>
      <c r="DZ81" s="299">
        <v>45</v>
      </c>
      <c r="EA81" s="299">
        <v>45</v>
      </c>
      <c r="EB81" s="299">
        <v>45</v>
      </c>
      <c r="EC81" s="299">
        <v>45</v>
      </c>
      <c r="ED81" s="299">
        <v>45</v>
      </c>
      <c r="EE81" s="299">
        <v>45</v>
      </c>
      <c r="EF81" s="299">
        <v>45</v>
      </c>
      <c r="EG81" s="299">
        <v>45</v>
      </c>
      <c r="EH81" s="299">
        <v>45</v>
      </c>
      <c r="EI81" s="299">
        <v>45</v>
      </c>
      <c r="EJ81" s="299">
        <v>45</v>
      </c>
      <c r="EK81" s="299">
        <v>45</v>
      </c>
      <c r="EL81" s="299">
        <v>45</v>
      </c>
      <c r="EM81" s="299">
        <v>45</v>
      </c>
      <c r="EN81" s="299">
        <v>45</v>
      </c>
      <c r="EO81" s="299">
        <v>45</v>
      </c>
      <c r="EP81" s="299">
        <v>45</v>
      </c>
      <c r="EQ81" s="299">
        <v>45</v>
      </c>
      <c r="ER81" s="299">
        <v>45</v>
      </c>
      <c r="ES81" s="299">
        <v>45</v>
      </c>
      <c r="ET81" s="329">
        <v>45</v>
      </c>
      <c r="EU81" s="327"/>
      <c r="EV81" s="327"/>
      <c r="EW81" s="327"/>
      <c r="EX81" s="327"/>
      <c r="EY81" s="327"/>
      <c r="EZ81" s="327"/>
      <c r="FA81" s="327"/>
      <c r="FB81" s="327"/>
      <c r="FC81" s="327"/>
      <c r="FD81" s="327"/>
      <c r="FE81" s="327"/>
      <c r="FF81" s="327"/>
      <c r="FG81" s="327"/>
      <c r="FH81" s="327"/>
      <c r="FI81" s="327"/>
      <c r="FJ81" s="327"/>
      <c r="FK81" s="327"/>
      <c r="FL81" s="327"/>
      <c r="FM81" s="327"/>
      <c r="FN81" s="327"/>
      <c r="FO81" s="327"/>
      <c r="FP81" s="327"/>
      <c r="FQ81" s="300" t="e">
        <f t="shared" ca="1" si="94"/>
        <v>#VALUE!</v>
      </c>
      <c r="FR81" s="300" t="e">
        <f t="shared" ca="1" si="81"/>
        <v>#VALUE!</v>
      </c>
      <c r="FS81" s="300" t="e">
        <f t="shared" ca="1" si="81"/>
        <v>#VALUE!</v>
      </c>
      <c r="FT81" s="300" t="e">
        <f t="shared" ca="1" si="81"/>
        <v>#VALUE!</v>
      </c>
      <c r="FU81" s="300" t="e">
        <f t="shared" ca="1" si="81"/>
        <v>#VALUE!</v>
      </c>
      <c r="FV81" s="300" t="e">
        <f t="shared" ca="1" si="81"/>
        <v>#VALUE!</v>
      </c>
      <c r="FW81" s="300" t="e">
        <f t="shared" ca="1" si="81"/>
        <v>#VALUE!</v>
      </c>
      <c r="FX81" s="300" t="e">
        <f t="shared" ca="1" si="81"/>
        <v>#VALUE!</v>
      </c>
      <c r="FY81" s="300" t="e">
        <f t="shared" ca="1" si="81"/>
        <v>#VALUE!</v>
      </c>
      <c r="FZ81" s="300" t="e">
        <f t="shared" ca="1" si="81"/>
        <v>#VALUE!</v>
      </c>
      <c r="GA81" s="301" t="e">
        <f t="shared" ca="1" si="81"/>
        <v>#VALUE!</v>
      </c>
      <c r="GB81" s="301" t="e">
        <f t="shared" ca="1" si="82"/>
        <v>#VALUE!</v>
      </c>
      <c r="GC81" s="301" t="e">
        <f t="shared" ca="1" si="82"/>
        <v>#VALUE!</v>
      </c>
      <c r="GD81" s="301" t="e">
        <f t="shared" ca="1" si="82"/>
        <v>#VALUE!</v>
      </c>
      <c r="GE81" s="301" t="e">
        <f t="shared" ca="1" si="82"/>
        <v>#VALUE!</v>
      </c>
      <c r="GF81" s="301" t="e">
        <f t="shared" ca="1" si="82"/>
        <v>#VALUE!</v>
      </c>
      <c r="GG81" s="301" t="e">
        <f t="shared" ca="1" si="82"/>
        <v>#VALUE!</v>
      </c>
      <c r="GH81" s="301" t="e">
        <f t="shared" ca="1" si="82"/>
        <v>#VALUE!</v>
      </c>
      <c r="GI81" s="301" t="e">
        <f t="shared" ca="1" si="82"/>
        <v>#VALUE!</v>
      </c>
      <c r="GJ81" s="301" t="e">
        <f t="shared" ca="1" si="82"/>
        <v>#VALUE!</v>
      </c>
      <c r="GK81" s="301" t="e">
        <f t="shared" ca="1" si="82"/>
        <v>#VALUE!</v>
      </c>
      <c r="GL81" s="301" t="e">
        <f t="shared" ca="1" si="82"/>
        <v>#VALUE!</v>
      </c>
      <c r="GM81" s="301" t="e">
        <f t="shared" ca="1" si="82"/>
        <v>#VALUE!</v>
      </c>
      <c r="GN81" s="302" t="e">
        <f t="shared" ca="1" si="82"/>
        <v>#VALUE!</v>
      </c>
      <c r="GO81" s="302" t="e">
        <f t="shared" ca="1" si="82"/>
        <v>#VALUE!</v>
      </c>
    </row>
    <row r="82" spans="1:197">
      <c r="A82" s="291"/>
      <c r="B82" s="292" t="s">
        <v>85</v>
      </c>
      <c r="C82" s="292" t="s">
        <v>195</v>
      </c>
      <c r="D82" s="292" t="s">
        <v>221</v>
      </c>
      <c r="E82" s="292" t="s">
        <v>435</v>
      </c>
      <c r="F82" s="292" t="s">
        <v>184</v>
      </c>
      <c r="G82" s="292" t="s">
        <v>350</v>
      </c>
      <c r="H82" s="292" t="s">
        <v>351</v>
      </c>
      <c r="I82" s="292" t="s">
        <v>352</v>
      </c>
      <c r="J82" s="292" t="s">
        <v>184</v>
      </c>
      <c r="K82" s="292" t="s">
        <v>353</v>
      </c>
      <c r="L82" s="292" t="s">
        <v>359</v>
      </c>
      <c r="M82" s="292" t="s">
        <v>367</v>
      </c>
      <c r="N82" s="292" t="str">
        <f t="shared" si="86"/>
        <v>PTD-Manufacturing - PP</v>
      </c>
      <c r="O82" s="292" t="str">
        <f t="shared" si="87"/>
        <v>Technology-Analyst-India-Consulting</v>
      </c>
      <c r="P82" s="292" t="str">
        <f t="shared" si="88"/>
        <v>PTD - Technology</v>
      </c>
      <c r="Q82" s="293">
        <f t="shared" si="83"/>
        <v>120960</v>
      </c>
      <c r="R82" s="294">
        <f t="shared" si="84"/>
        <v>0</v>
      </c>
      <c r="S82" s="295">
        <f t="shared" si="89"/>
        <v>0</v>
      </c>
      <c r="T82" s="295">
        <f t="shared" si="85"/>
        <v>2520</v>
      </c>
      <c r="U82" s="296" t="str">
        <f t="shared" si="90"/>
        <v>Technology - Analyst</v>
      </c>
      <c r="V82" s="295" t="str">
        <f t="shared" si="91"/>
        <v>0-1 years</v>
      </c>
      <c r="W82" s="292" t="str">
        <f t="shared" si="92"/>
        <v>Offshore</v>
      </c>
      <c r="X82" s="292" t="s">
        <v>261</v>
      </c>
      <c r="Y82" s="292" t="s">
        <v>259</v>
      </c>
      <c r="Z82" s="292" t="s">
        <v>384</v>
      </c>
      <c r="AA82" s="297">
        <f>[1]Resourcing!QD86</f>
        <v>85.741951219512202</v>
      </c>
      <c r="AB82" s="298">
        <f t="shared" si="93"/>
        <v>48</v>
      </c>
      <c r="AC82" s="327"/>
      <c r="AD82" s="327"/>
      <c r="AE82" s="327"/>
      <c r="AF82" s="327"/>
      <c r="AG82" s="327"/>
      <c r="AH82" s="327"/>
      <c r="AI82" s="327"/>
      <c r="AJ82" s="327"/>
      <c r="AK82" s="327"/>
      <c r="AL82" s="327"/>
      <c r="AM82" s="327"/>
      <c r="AN82" s="327"/>
      <c r="AO82" s="327"/>
      <c r="AP82" s="327"/>
      <c r="AQ82" s="327"/>
      <c r="AR82" s="327"/>
      <c r="AS82" s="327"/>
      <c r="AT82" s="327"/>
      <c r="AU82" s="327"/>
      <c r="AV82" s="327"/>
      <c r="AW82" s="327"/>
      <c r="AX82" s="299"/>
      <c r="AY82" s="299"/>
      <c r="AZ82" s="299"/>
      <c r="BA82" s="299"/>
      <c r="BB82" s="299"/>
      <c r="BC82" s="328"/>
      <c r="BD82" s="299"/>
      <c r="BE82" s="299"/>
      <c r="BF82" s="299"/>
      <c r="BG82" s="299"/>
      <c r="BH82" s="299"/>
      <c r="BI82" s="299"/>
      <c r="BJ82" s="299"/>
      <c r="BK82" s="299"/>
      <c r="BL82" s="299"/>
      <c r="BM82" s="299"/>
      <c r="BN82" s="299"/>
      <c r="BO82" s="299"/>
      <c r="BP82" s="299"/>
      <c r="BQ82" s="299"/>
      <c r="BR82" s="299"/>
      <c r="BS82" s="299"/>
      <c r="BT82" s="299"/>
      <c r="BU82" s="299"/>
      <c r="BV82" s="299"/>
      <c r="BW82" s="299"/>
      <c r="BX82" s="299"/>
      <c r="BY82" s="299"/>
      <c r="BZ82" s="299"/>
      <c r="CA82" s="299"/>
      <c r="CB82" s="299"/>
      <c r="CC82" s="299"/>
      <c r="CD82" s="299"/>
      <c r="CE82" s="299"/>
      <c r="CF82" s="299"/>
      <c r="CG82" s="299"/>
      <c r="CH82" s="299"/>
      <c r="CI82" s="299"/>
      <c r="CJ82" s="299"/>
      <c r="CK82" s="299"/>
      <c r="CL82" s="299"/>
      <c r="CM82" s="299"/>
      <c r="CN82" s="299"/>
      <c r="CO82" s="299">
        <v>45</v>
      </c>
      <c r="CP82" s="299">
        <v>45</v>
      </c>
      <c r="CQ82" s="299">
        <v>45</v>
      </c>
      <c r="CR82" s="299">
        <v>45</v>
      </c>
      <c r="CS82" s="299">
        <v>45</v>
      </c>
      <c r="CT82" s="299">
        <v>45</v>
      </c>
      <c r="CU82" s="299">
        <v>45</v>
      </c>
      <c r="CV82" s="299">
        <v>45</v>
      </c>
      <c r="CW82" s="299">
        <v>45</v>
      </c>
      <c r="CX82" s="299">
        <v>45</v>
      </c>
      <c r="CY82" s="299">
        <v>45</v>
      </c>
      <c r="CZ82" s="299">
        <v>45</v>
      </c>
      <c r="DA82" s="299">
        <v>45</v>
      </c>
      <c r="DB82" s="299">
        <v>45</v>
      </c>
      <c r="DC82" s="299">
        <v>45</v>
      </c>
      <c r="DD82" s="299">
        <v>45</v>
      </c>
      <c r="DE82" s="299">
        <v>45</v>
      </c>
      <c r="DF82" s="299">
        <v>45</v>
      </c>
      <c r="DG82" s="299">
        <v>45</v>
      </c>
      <c r="DH82" s="299">
        <v>45</v>
      </c>
      <c r="DI82" s="299">
        <v>45</v>
      </c>
      <c r="DJ82" s="299">
        <v>45</v>
      </c>
      <c r="DK82" s="299">
        <v>45</v>
      </c>
      <c r="DL82" s="299">
        <v>45</v>
      </c>
      <c r="DM82" s="299">
        <v>45</v>
      </c>
      <c r="DN82" s="299">
        <v>45</v>
      </c>
      <c r="DO82" s="299">
        <v>45</v>
      </c>
      <c r="DP82" s="299">
        <v>45</v>
      </c>
      <c r="DQ82" s="299">
        <v>45</v>
      </c>
      <c r="DR82" s="299"/>
      <c r="DS82" s="299"/>
      <c r="DT82" s="299">
        <v>45</v>
      </c>
      <c r="DU82" s="299">
        <v>45</v>
      </c>
      <c r="DV82" s="299">
        <v>45</v>
      </c>
      <c r="DW82" s="299">
        <v>45</v>
      </c>
      <c r="DX82" s="299">
        <v>45</v>
      </c>
      <c r="DY82" s="299">
        <v>45</v>
      </c>
      <c r="DZ82" s="299">
        <v>45</v>
      </c>
      <c r="EA82" s="299">
        <v>45</v>
      </c>
      <c r="EB82" s="299">
        <v>45</v>
      </c>
      <c r="EC82" s="299">
        <v>45</v>
      </c>
      <c r="ED82" s="299">
        <v>45</v>
      </c>
      <c r="EE82" s="299">
        <v>45</v>
      </c>
      <c r="EF82" s="299">
        <v>45</v>
      </c>
      <c r="EG82" s="299">
        <v>45</v>
      </c>
      <c r="EH82" s="299">
        <v>45</v>
      </c>
      <c r="EI82" s="299">
        <v>45</v>
      </c>
      <c r="EJ82" s="299">
        <v>45</v>
      </c>
      <c r="EK82" s="299">
        <v>45</v>
      </c>
      <c r="EL82" s="299">
        <v>45</v>
      </c>
      <c r="EM82" s="299">
        <v>45</v>
      </c>
      <c r="EN82" s="299">
        <v>45</v>
      </c>
      <c r="EO82" s="299">
        <v>45</v>
      </c>
      <c r="EP82" s="299">
        <v>45</v>
      </c>
      <c r="EQ82" s="299">
        <v>45</v>
      </c>
      <c r="ER82" s="299">
        <v>45</v>
      </c>
      <c r="ES82" s="299">
        <v>45</v>
      </c>
      <c r="ET82" s="329">
        <v>45</v>
      </c>
      <c r="EU82" s="327"/>
      <c r="EV82" s="327"/>
      <c r="EW82" s="327"/>
      <c r="EX82" s="327"/>
      <c r="EY82" s="327"/>
      <c r="EZ82" s="327"/>
      <c r="FA82" s="327"/>
      <c r="FB82" s="327"/>
      <c r="FC82" s="327"/>
      <c r="FD82" s="327"/>
      <c r="FE82" s="327"/>
      <c r="FF82" s="327"/>
      <c r="FG82" s="327"/>
      <c r="FH82" s="327"/>
      <c r="FI82" s="327"/>
      <c r="FJ82" s="327"/>
      <c r="FK82" s="327"/>
      <c r="FL82" s="327"/>
      <c r="FM82" s="327"/>
      <c r="FN82" s="327"/>
      <c r="FO82" s="327"/>
      <c r="FP82" s="327"/>
      <c r="FQ82" s="300" t="e">
        <f t="shared" ca="1" si="94"/>
        <v>#VALUE!</v>
      </c>
      <c r="FR82" s="300" t="e">
        <f t="shared" ca="1" si="81"/>
        <v>#VALUE!</v>
      </c>
      <c r="FS82" s="300" t="e">
        <f t="shared" ca="1" si="81"/>
        <v>#VALUE!</v>
      </c>
      <c r="FT82" s="300" t="e">
        <f t="shared" ca="1" si="81"/>
        <v>#VALUE!</v>
      </c>
      <c r="FU82" s="300" t="e">
        <f t="shared" ca="1" si="81"/>
        <v>#VALUE!</v>
      </c>
      <c r="FV82" s="300" t="e">
        <f t="shared" ca="1" si="81"/>
        <v>#VALUE!</v>
      </c>
      <c r="FW82" s="300" t="e">
        <f t="shared" ca="1" si="81"/>
        <v>#VALUE!</v>
      </c>
      <c r="FX82" s="300" t="e">
        <f t="shared" ca="1" si="81"/>
        <v>#VALUE!</v>
      </c>
      <c r="FY82" s="300" t="e">
        <f t="shared" ca="1" si="81"/>
        <v>#VALUE!</v>
      </c>
      <c r="FZ82" s="300" t="e">
        <f t="shared" ca="1" si="81"/>
        <v>#VALUE!</v>
      </c>
      <c r="GA82" s="301" t="e">
        <f t="shared" ca="1" si="81"/>
        <v>#VALUE!</v>
      </c>
      <c r="GB82" s="301" t="e">
        <f t="shared" ca="1" si="82"/>
        <v>#VALUE!</v>
      </c>
      <c r="GC82" s="301" t="e">
        <f t="shared" ca="1" si="82"/>
        <v>#VALUE!</v>
      </c>
      <c r="GD82" s="301" t="e">
        <f t="shared" ca="1" si="82"/>
        <v>#VALUE!</v>
      </c>
      <c r="GE82" s="301" t="e">
        <f t="shared" ca="1" si="82"/>
        <v>#VALUE!</v>
      </c>
      <c r="GF82" s="301" t="e">
        <f t="shared" ca="1" si="82"/>
        <v>#VALUE!</v>
      </c>
      <c r="GG82" s="301" t="e">
        <f t="shared" ca="1" si="82"/>
        <v>#VALUE!</v>
      </c>
      <c r="GH82" s="301" t="e">
        <f t="shared" ca="1" si="82"/>
        <v>#VALUE!</v>
      </c>
      <c r="GI82" s="301" t="e">
        <f t="shared" ca="1" si="82"/>
        <v>#VALUE!</v>
      </c>
      <c r="GJ82" s="301" t="e">
        <f t="shared" ca="1" si="82"/>
        <v>#VALUE!</v>
      </c>
      <c r="GK82" s="301" t="e">
        <f t="shared" ca="1" si="82"/>
        <v>#VALUE!</v>
      </c>
      <c r="GL82" s="301" t="e">
        <f t="shared" ca="1" si="82"/>
        <v>#VALUE!</v>
      </c>
      <c r="GM82" s="301" t="e">
        <f t="shared" ca="1" si="82"/>
        <v>#VALUE!</v>
      </c>
      <c r="GN82" s="302" t="e">
        <f t="shared" ca="1" si="82"/>
        <v>#VALUE!</v>
      </c>
      <c r="GO82" s="302" t="e">
        <f t="shared" ca="1" si="82"/>
        <v>#VALUE!</v>
      </c>
    </row>
    <row r="83" spans="1:197">
      <c r="A83" s="291"/>
      <c r="B83" s="292" t="s">
        <v>85</v>
      </c>
      <c r="C83" s="292" t="s">
        <v>195</v>
      </c>
      <c r="D83" s="292" t="s">
        <v>221</v>
      </c>
      <c r="E83" s="292" t="s">
        <v>435</v>
      </c>
      <c r="F83" s="292" t="s">
        <v>184</v>
      </c>
      <c r="G83" s="292" t="s">
        <v>350</v>
      </c>
      <c r="H83" s="292" t="s">
        <v>351</v>
      </c>
      <c r="I83" s="292" t="s">
        <v>352</v>
      </c>
      <c r="J83" s="292" t="s">
        <v>184</v>
      </c>
      <c r="K83" s="292" t="s">
        <v>353</v>
      </c>
      <c r="L83" s="292" t="s">
        <v>359</v>
      </c>
      <c r="M83" s="292" t="s">
        <v>367</v>
      </c>
      <c r="N83" s="292" t="str">
        <f t="shared" si="86"/>
        <v>PTD-Manufacturing - PP</v>
      </c>
      <c r="O83" s="292" t="str">
        <f t="shared" si="87"/>
        <v>Technology-Analyst-India-Consulting</v>
      </c>
      <c r="P83" s="292" t="str">
        <f t="shared" si="88"/>
        <v>PTD - Technology</v>
      </c>
      <c r="Q83" s="293">
        <f t="shared" si="83"/>
        <v>45360</v>
      </c>
      <c r="R83" s="294">
        <f t="shared" si="84"/>
        <v>0</v>
      </c>
      <c r="S83" s="295">
        <f t="shared" si="89"/>
        <v>0</v>
      </c>
      <c r="T83" s="295">
        <f t="shared" si="85"/>
        <v>945</v>
      </c>
      <c r="U83" s="296" t="str">
        <f t="shared" si="90"/>
        <v>Technology - Analyst</v>
      </c>
      <c r="V83" s="295" t="str">
        <f t="shared" si="91"/>
        <v>0-1 years</v>
      </c>
      <c r="W83" s="292" t="str">
        <f t="shared" si="92"/>
        <v>Offshore</v>
      </c>
      <c r="X83" s="292" t="s">
        <v>261</v>
      </c>
      <c r="Y83" s="292" t="s">
        <v>259</v>
      </c>
      <c r="Z83" s="292" t="s">
        <v>384</v>
      </c>
      <c r="AA83" s="297">
        <f>[1]Resourcing!QD87</f>
        <v>63.118333333333297</v>
      </c>
      <c r="AB83" s="298">
        <f t="shared" si="93"/>
        <v>48</v>
      </c>
      <c r="AC83" s="327"/>
      <c r="AD83" s="327"/>
      <c r="AE83" s="327"/>
      <c r="AF83" s="327"/>
      <c r="AG83" s="327"/>
      <c r="AH83" s="327"/>
      <c r="AI83" s="327"/>
      <c r="AJ83" s="327"/>
      <c r="AK83" s="327"/>
      <c r="AL83" s="327"/>
      <c r="AM83" s="327"/>
      <c r="AN83" s="327"/>
      <c r="AO83" s="327"/>
      <c r="AP83" s="327"/>
      <c r="AQ83" s="327"/>
      <c r="AR83" s="327"/>
      <c r="AS83" s="327"/>
      <c r="AT83" s="327"/>
      <c r="AU83" s="327"/>
      <c r="AV83" s="327"/>
      <c r="AW83" s="327"/>
      <c r="AX83" s="299"/>
      <c r="AY83" s="299"/>
      <c r="AZ83" s="299"/>
      <c r="BA83" s="299"/>
      <c r="BB83" s="299"/>
      <c r="BC83" s="328"/>
      <c r="BD83" s="299"/>
      <c r="BE83" s="299"/>
      <c r="BF83" s="299"/>
      <c r="BG83" s="299"/>
      <c r="BH83" s="299"/>
      <c r="BI83" s="299"/>
      <c r="BJ83" s="299"/>
      <c r="BK83" s="299"/>
      <c r="BL83" s="299"/>
      <c r="BM83" s="299"/>
      <c r="BN83" s="299"/>
      <c r="BO83" s="299"/>
      <c r="BP83" s="299"/>
      <c r="BQ83" s="299"/>
      <c r="BR83" s="299"/>
      <c r="BS83" s="299"/>
      <c r="BT83" s="299"/>
      <c r="BU83" s="299"/>
      <c r="BV83" s="299"/>
      <c r="BW83" s="299"/>
      <c r="BX83" s="299"/>
      <c r="BY83" s="299"/>
      <c r="BZ83" s="299"/>
      <c r="CA83" s="299"/>
      <c r="CB83" s="299"/>
      <c r="CC83" s="299"/>
      <c r="CD83" s="299"/>
      <c r="CE83" s="299"/>
      <c r="CF83" s="299"/>
      <c r="CG83" s="299"/>
      <c r="CH83" s="299"/>
      <c r="CI83" s="299"/>
      <c r="CJ83" s="299"/>
      <c r="CK83" s="299"/>
      <c r="CL83" s="299"/>
      <c r="CM83" s="299"/>
      <c r="CN83" s="299"/>
      <c r="CO83" s="299"/>
      <c r="CP83" s="299"/>
      <c r="CQ83" s="299"/>
      <c r="CR83" s="299"/>
      <c r="CS83" s="299"/>
      <c r="CT83" s="299"/>
      <c r="CU83" s="299"/>
      <c r="CV83" s="299"/>
      <c r="CW83" s="299"/>
      <c r="CX83" s="299"/>
      <c r="CY83" s="299"/>
      <c r="CZ83" s="299"/>
      <c r="DA83" s="299">
        <v>45</v>
      </c>
      <c r="DB83" s="299">
        <v>45</v>
      </c>
      <c r="DC83" s="299">
        <v>45</v>
      </c>
      <c r="DD83" s="299">
        <v>45</v>
      </c>
      <c r="DE83" s="299">
        <v>45</v>
      </c>
      <c r="DF83" s="299">
        <v>45</v>
      </c>
      <c r="DG83" s="299">
        <v>45</v>
      </c>
      <c r="DH83" s="299">
        <v>45</v>
      </c>
      <c r="DI83" s="299">
        <v>45</v>
      </c>
      <c r="DJ83" s="299">
        <v>45</v>
      </c>
      <c r="DK83" s="299">
        <v>45</v>
      </c>
      <c r="DL83" s="299">
        <v>45</v>
      </c>
      <c r="DM83" s="299">
        <v>45</v>
      </c>
      <c r="DN83" s="299">
        <v>45</v>
      </c>
      <c r="DO83" s="299">
        <v>45</v>
      </c>
      <c r="DP83" s="299">
        <v>45</v>
      </c>
      <c r="DQ83" s="299">
        <v>45</v>
      </c>
      <c r="DR83" s="299"/>
      <c r="DS83" s="299"/>
      <c r="DT83" s="299">
        <v>45</v>
      </c>
      <c r="DU83" s="299">
        <v>45</v>
      </c>
      <c r="DV83" s="299">
        <v>45</v>
      </c>
      <c r="DW83" s="299">
        <v>45</v>
      </c>
      <c r="DX83" s="299"/>
      <c r="DY83" s="299"/>
      <c r="DZ83" s="299"/>
      <c r="EA83" s="299"/>
      <c r="EB83" s="299"/>
      <c r="EC83" s="299"/>
      <c r="ED83" s="299"/>
      <c r="EE83" s="299"/>
      <c r="EF83" s="299"/>
      <c r="EG83" s="299"/>
      <c r="EH83" s="299"/>
      <c r="EI83" s="299"/>
      <c r="EJ83" s="299"/>
      <c r="EK83" s="299"/>
      <c r="EL83" s="299"/>
      <c r="EM83" s="299"/>
      <c r="EN83" s="299"/>
      <c r="EO83" s="299"/>
      <c r="EP83" s="299"/>
      <c r="EQ83" s="299"/>
      <c r="ER83" s="299"/>
      <c r="ES83" s="299"/>
      <c r="ET83" s="329"/>
      <c r="EU83" s="327"/>
      <c r="EV83" s="327"/>
      <c r="EW83" s="327"/>
      <c r="EX83" s="327"/>
      <c r="EY83" s="327"/>
      <c r="EZ83" s="327"/>
      <c r="FA83" s="327"/>
      <c r="FB83" s="327"/>
      <c r="FC83" s="327"/>
      <c r="FD83" s="327"/>
      <c r="FE83" s="327"/>
      <c r="FF83" s="327"/>
      <c r="FG83" s="327"/>
      <c r="FH83" s="327"/>
      <c r="FI83" s="327"/>
      <c r="FJ83" s="327"/>
      <c r="FK83" s="327"/>
      <c r="FL83" s="327"/>
      <c r="FM83" s="327"/>
      <c r="FN83" s="327"/>
      <c r="FO83" s="327"/>
      <c r="FP83" s="327"/>
      <c r="FQ83" s="300" t="e">
        <f t="shared" ca="1" si="94"/>
        <v>#VALUE!</v>
      </c>
      <c r="FR83" s="300" t="e">
        <f t="shared" ref="FR83:GA92" ca="1" si="96">SUMIF($AC$11:$FP$11,FR$12,$AC83:$FP83)</f>
        <v>#VALUE!</v>
      </c>
      <c r="FS83" s="300" t="e">
        <f t="shared" ca="1" si="96"/>
        <v>#VALUE!</v>
      </c>
      <c r="FT83" s="300" t="e">
        <f t="shared" ca="1" si="96"/>
        <v>#VALUE!</v>
      </c>
      <c r="FU83" s="300" t="e">
        <f t="shared" ca="1" si="96"/>
        <v>#VALUE!</v>
      </c>
      <c r="FV83" s="300" t="e">
        <f t="shared" ca="1" si="96"/>
        <v>#VALUE!</v>
      </c>
      <c r="FW83" s="300" t="e">
        <f t="shared" ca="1" si="96"/>
        <v>#VALUE!</v>
      </c>
      <c r="FX83" s="300" t="e">
        <f t="shared" ca="1" si="96"/>
        <v>#VALUE!</v>
      </c>
      <c r="FY83" s="300" t="e">
        <f t="shared" ca="1" si="96"/>
        <v>#VALUE!</v>
      </c>
      <c r="FZ83" s="300" t="e">
        <f t="shared" ca="1" si="96"/>
        <v>#VALUE!</v>
      </c>
      <c r="GA83" s="301" t="e">
        <f t="shared" ca="1" si="96"/>
        <v>#VALUE!</v>
      </c>
      <c r="GB83" s="301" t="e">
        <f t="shared" ref="GB83:GO92" ca="1" si="97">SUMIF($AC$11:$FP$11,GB$12,$AC83:$FP83)</f>
        <v>#VALUE!</v>
      </c>
      <c r="GC83" s="301" t="e">
        <f t="shared" ca="1" si="97"/>
        <v>#VALUE!</v>
      </c>
      <c r="GD83" s="301" t="e">
        <f t="shared" ca="1" si="97"/>
        <v>#VALUE!</v>
      </c>
      <c r="GE83" s="301" t="e">
        <f t="shared" ca="1" si="97"/>
        <v>#VALUE!</v>
      </c>
      <c r="GF83" s="301" t="e">
        <f t="shared" ca="1" si="97"/>
        <v>#VALUE!</v>
      </c>
      <c r="GG83" s="301" t="e">
        <f t="shared" ca="1" si="97"/>
        <v>#VALUE!</v>
      </c>
      <c r="GH83" s="301" t="e">
        <f t="shared" ca="1" si="97"/>
        <v>#VALUE!</v>
      </c>
      <c r="GI83" s="301" t="e">
        <f t="shared" ca="1" si="97"/>
        <v>#VALUE!</v>
      </c>
      <c r="GJ83" s="301" t="e">
        <f t="shared" ca="1" si="97"/>
        <v>#VALUE!</v>
      </c>
      <c r="GK83" s="301" t="e">
        <f t="shared" ca="1" si="97"/>
        <v>#VALUE!</v>
      </c>
      <c r="GL83" s="301" t="e">
        <f t="shared" ca="1" si="97"/>
        <v>#VALUE!</v>
      </c>
      <c r="GM83" s="301" t="e">
        <f t="shared" ca="1" si="97"/>
        <v>#VALUE!</v>
      </c>
      <c r="GN83" s="302" t="e">
        <f t="shared" ca="1" si="97"/>
        <v>#VALUE!</v>
      </c>
      <c r="GO83" s="302" t="e">
        <f t="shared" ca="1" si="97"/>
        <v>#VALUE!</v>
      </c>
    </row>
    <row r="84" spans="1:197">
      <c r="A84" s="291"/>
      <c r="B84" s="292" t="s">
        <v>85</v>
      </c>
      <c r="C84" s="292" t="s">
        <v>195</v>
      </c>
      <c r="D84" s="292" t="s">
        <v>221</v>
      </c>
      <c r="E84" s="292" t="s">
        <v>436</v>
      </c>
      <c r="F84" s="292" t="s">
        <v>184</v>
      </c>
      <c r="G84" s="292" t="s">
        <v>350</v>
      </c>
      <c r="H84" s="292" t="s">
        <v>351</v>
      </c>
      <c r="I84" s="292" t="s">
        <v>352</v>
      </c>
      <c r="J84" s="292" t="s">
        <v>184</v>
      </c>
      <c r="K84" s="292" t="s">
        <v>353</v>
      </c>
      <c r="L84" s="292" t="s">
        <v>359</v>
      </c>
      <c r="M84" s="292" t="s">
        <v>374</v>
      </c>
      <c r="N84" s="292" t="str">
        <f t="shared" si="86"/>
        <v>PTD-Manufacturing - PP</v>
      </c>
      <c r="O84" s="292" t="str">
        <f t="shared" si="87"/>
        <v>Technology-Consultant-India-Consulting</v>
      </c>
      <c r="P84" s="292" t="str">
        <f t="shared" si="88"/>
        <v>PTD - Technology</v>
      </c>
      <c r="Q84" s="293">
        <f t="shared" si="83"/>
        <v>183600</v>
      </c>
      <c r="R84" s="294">
        <f t="shared" si="84"/>
        <v>0</v>
      </c>
      <c r="S84" s="295">
        <f t="shared" si="89"/>
        <v>0</v>
      </c>
      <c r="T84" s="295">
        <f t="shared" si="85"/>
        <v>3060</v>
      </c>
      <c r="U84" s="296" t="str">
        <f t="shared" si="90"/>
        <v>Technology - Consultant</v>
      </c>
      <c r="V84" s="295" t="str">
        <f t="shared" si="91"/>
        <v>1-3 years</v>
      </c>
      <c r="W84" s="292" t="str">
        <f t="shared" si="92"/>
        <v>Offshore</v>
      </c>
      <c r="X84" s="292" t="s">
        <v>261</v>
      </c>
      <c r="Y84" s="292" t="s">
        <v>259</v>
      </c>
      <c r="Z84" s="292" t="s">
        <v>368</v>
      </c>
      <c r="AA84" s="297">
        <f>[1]Resourcing!QD88</f>
        <v>62.440434782608698</v>
      </c>
      <c r="AB84" s="298">
        <f t="shared" si="93"/>
        <v>60</v>
      </c>
      <c r="AC84" s="327"/>
      <c r="AD84" s="327"/>
      <c r="AE84" s="327"/>
      <c r="AF84" s="327"/>
      <c r="AG84" s="327"/>
      <c r="AH84" s="327"/>
      <c r="AI84" s="327"/>
      <c r="AJ84" s="327"/>
      <c r="AK84" s="327"/>
      <c r="AL84" s="327"/>
      <c r="AM84" s="327"/>
      <c r="AN84" s="327"/>
      <c r="AO84" s="327"/>
      <c r="AP84" s="327"/>
      <c r="AQ84" s="327"/>
      <c r="AR84" s="327"/>
      <c r="AS84" s="327"/>
      <c r="AT84" s="327"/>
      <c r="AU84" s="327"/>
      <c r="AV84" s="327"/>
      <c r="AW84" s="327"/>
      <c r="AX84" s="327"/>
      <c r="AY84" s="327"/>
      <c r="AZ84" s="327"/>
      <c r="BA84" s="327"/>
      <c r="BB84" s="327"/>
      <c r="BC84" s="328"/>
      <c r="BD84" s="299"/>
      <c r="BE84" s="299"/>
      <c r="BF84" s="299"/>
      <c r="BG84" s="299">
        <v>0</v>
      </c>
      <c r="BH84" s="299">
        <v>0</v>
      </c>
      <c r="BI84" s="299">
        <v>0</v>
      </c>
      <c r="BJ84" s="299">
        <v>0</v>
      </c>
      <c r="BK84" s="299">
        <v>0</v>
      </c>
      <c r="BL84" s="299">
        <v>0</v>
      </c>
      <c r="BM84" s="299">
        <v>0</v>
      </c>
      <c r="BN84" s="299">
        <v>0</v>
      </c>
      <c r="BO84" s="299">
        <v>0</v>
      </c>
      <c r="BP84" s="299">
        <v>0</v>
      </c>
      <c r="BQ84" s="299">
        <v>0</v>
      </c>
      <c r="BR84" s="299"/>
      <c r="BS84" s="299"/>
      <c r="BT84" s="299">
        <v>0</v>
      </c>
      <c r="BU84" s="299">
        <v>0</v>
      </c>
      <c r="BV84" s="299">
        <v>0</v>
      </c>
      <c r="BW84" s="299">
        <v>0</v>
      </c>
      <c r="BX84" s="299">
        <v>0</v>
      </c>
      <c r="BY84" s="299">
        <v>0</v>
      </c>
      <c r="BZ84" s="299">
        <v>0</v>
      </c>
      <c r="CA84" s="299">
        <v>0</v>
      </c>
      <c r="CB84" s="299">
        <v>0</v>
      </c>
      <c r="CC84" s="299">
        <v>45</v>
      </c>
      <c r="CD84" s="299">
        <v>45</v>
      </c>
      <c r="CE84" s="299">
        <v>45</v>
      </c>
      <c r="CF84" s="299">
        <v>45</v>
      </c>
      <c r="CG84" s="299">
        <v>45</v>
      </c>
      <c r="CH84" s="299">
        <v>45</v>
      </c>
      <c r="CI84" s="299">
        <v>45</v>
      </c>
      <c r="CJ84" s="299">
        <v>45</v>
      </c>
      <c r="CK84" s="299">
        <v>45</v>
      </c>
      <c r="CL84" s="299">
        <v>45</v>
      </c>
      <c r="CM84" s="299">
        <v>45</v>
      </c>
      <c r="CN84" s="299">
        <v>45</v>
      </c>
      <c r="CO84" s="299">
        <v>45</v>
      </c>
      <c r="CP84" s="299">
        <v>45</v>
      </c>
      <c r="CQ84" s="299">
        <v>45</v>
      </c>
      <c r="CR84" s="299">
        <v>45</v>
      </c>
      <c r="CS84" s="299">
        <v>45</v>
      </c>
      <c r="CT84" s="299">
        <v>45</v>
      </c>
      <c r="CU84" s="299">
        <v>45</v>
      </c>
      <c r="CV84" s="299">
        <v>45</v>
      </c>
      <c r="CW84" s="299">
        <v>45</v>
      </c>
      <c r="CX84" s="299">
        <v>45</v>
      </c>
      <c r="CY84" s="299">
        <v>45</v>
      </c>
      <c r="CZ84" s="299">
        <v>45</v>
      </c>
      <c r="DA84" s="299">
        <v>45</v>
      </c>
      <c r="DB84" s="299">
        <v>45</v>
      </c>
      <c r="DC84" s="299">
        <v>45</v>
      </c>
      <c r="DD84" s="299">
        <v>45</v>
      </c>
      <c r="DE84" s="299">
        <v>45</v>
      </c>
      <c r="DF84" s="299">
        <v>45</v>
      </c>
      <c r="DG84" s="299">
        <v>45</v>
      </c>
      <c r="DH84" s="299">
        <v>45</v>
      </c>
      <c r="DI84" s="299">
        <v>45</v>
      </c>
      <c r="DJ84" s="299">
        <v>45</v>
      </c>
      <c r="DK84" s="299">
        <v>45</v>
      </c>
      <c r="DL84" s="299">
        <v>45</v>
      </c>
      <c r="DM84" s="299">
        <v>45</v>
      </c>
      <c r="DN84" s="299">
        <v>45</v>
      </c>
      <c r="DO84" s="299">
        <v>45</v>
      </c>
      <c r="DP84" s="299">
        <v>45</v>
      </c>
      <c r="DQ84" s="299">
        <v>45</v>
      </c>
      <c r="DR84" s="299"/>
      <c r="DS84" s="299"/>
      <c r="DT84" s="299">
        <v>45</v>
      </c>
      <c r="DU84" s="299">
        <v>45</v>
      </c>
      <c r="DV84" s="299">
        <v>45</v>
      </c>
      <c r="DW84" s="299">
        <v>45</v>
      </c>
      <c r="DX84" s="299">
        <v>45</v>
      </c>
      <c r="DY84" s="299">
        <v>45</v>
      </c>
      <c r="DZ84" s="299">
        <v>45</v>
      </c>
      <c r="EA84" s="299">
        <v>45</v>
      </c>
      <c r="EB84" s="299">
        <v>45</v>
      </c>
      <c r="EC84" s="299">
        <v>45</v>
      </c>
      <c r="ED84" s="299">
        <v>45</v>
      </c>
      <c r="EE84" s="299">
        <v>45</v>
      </c>
      <c r="EF84" s="299">
        <v>45</v>
      </c>
      <c r="EG84" s="299">
        <v>45</v>
      </c>
      <c r="EH84" s="299">
        <v>45</v>
      </c>
      <c r="EI84" s="299">
        <v>45</v>
      </c>
      <c r="EJ84" s="299">
        <v>45</v>
      </c>
      <c r="EK84" s="299">
        <v>45</v>
      </c>
      <c r="EL84" s="299">
        <v>45</v>
      </c>
      <c r="EM84" s="299">
        <v>45</v>
      </c>
      <c r="EN84" s="299">
        <v>45</v>
      </c>
      <c r="EO84" s="299">
        <v>45</v>
      </c>
      <c r="EP84" s="299">
        <v>45</v>
      </c>
      <c r="EQ84" s="299">
        <v>45</v>
      </c>
      <c r="ER84" s="299">
        <v>45</v>
      </c>
      <c r="ES84" s="299">
        <v>45</v>
      </c>
      <c r="ET84" s="329">
        <v>45</v>
      </c>
      <c r="EU84" s="327"/>
      <c r="EV84" s="327"/>
      <c r="EW84" s="327"/>
      <c r="EX84" s="327"/>
      <c r="EY84" s="327"/>
      <c r="EZ84" s="327"/>
      <c r="FA84" s="327"/>
      <c r="FB84" s="327"/>
      <c r="FC84" s="327"/>
      <c r="FD84" s="327"/>
      <c r="FE84" s="327"/>
      <c r="FF84" s="327"/>
      <c r="FG84" s="327"/>
      <c r="FH84" s="327"/>
      <c r="FI84" s="327"/>
      <c r="FJ84" s="327"/>
      <c r="FK84" s="327"/>
      <c r="FL84" s="327"/>
      <c r="FM84" s="327"/>
      <c r="FN84" s="327"/>
      <c r="FO84" s="327"/>
      <c r="FP84" s="327"/>
      <c r="FQ84" s="300" t="e">
        <f t="shared" ca="1" si="94"/>
        <v>#VALUE!</v>
      </c>
      <c r="FR84" s="300" t="e">
        <f t="shared" ca="1" si="96"/>
        <v>#VALUE!</v>
      </c>
      <c r="FS84" s="300" t="e">
        <f t="shared" ca="1" si="96"/>
        <v>#VALUE!</v>
      </c>
      <c r="FT84" s="300" t="e">
        <f t="shared" ca="1" si="96"/>
        <v>#VALUE!</v>
      </c>
      <c r="FU84" s="300" t="e">
        <f t="shared" ca="1" si="96"/>
        <v>#VALUE!</v>
      </c>
      <c r="FV84" s="300" t="e">
        <f t="shared" ca="1" si="96"/>
        <v>#VALUE!</v>
      </c>
      <c r="FW84" s="300" t="e">
        <f t="shared" ca="1" si="96"/>
        <v>#VALUE!</v>
      </c>
      <c r="FX84" s="300" t="e">
        <f t="shared" ca="1" si="96"/>
        <v>#VALUE!</v>
      </c>
      <c r="FY84" s="300" t="e">
        <f t="shared" ca="1" si="96"/>
        <v>#VALUE!</v>
      </c>
      <c r="FZ84" s="300" t="e">
        <f t="shared" ca="1" si="96"/>
        <v>#VALUE!</v>
      </c>
      <c r="GA84" s="301" t="e">
        <f t="shared" ca="1" si="96"/>
        <v>#VALUE!</v>
      </c>
      <c r="GB84" s="301" t="e">
        <f t="shared" ca="1" si="97"/>
        <v>#VALUE!</v>
      </c>
      <c r="GC84" s="301" t="e">
        <f t="shared" ca="1" si="97"/>
        <v>#VALUE!</v>
      </c>
      <c r="GD84" s="301" t="e">
        <f t="shared" ca="1" si="97"/>
        <v>#VALUE!</v>
      </c>
      <c r="GE84" s="301" t="e">
        <f t="shared" ca="1" si="97"/>
        <v>#VALUE!</v>
      </c>
      <c r="GF84" s="301" t="e">
        <f t="shared" ca="1" si="97"/>
        <v>#VALUE!</v>
      </c>
      <c r="GG84" s="301" t="e">
        <f t="shared" ca="1" si="97"/>
        <v>#VALUE!</v>
      </c>
      <c r="GH84" s="301" t="e">
        <f t="shared" ca="1" si="97"/>
        <v>#VALUE!</v>
      </c>
      <c r="GI84" s="301" t="e">
        <f t="shared" ca="1" si="97"/>
        <v>#VALUE!</v>
      </c>
      <c r="GJ84" s="301" t="e">
        <f t="shared" ca="1" si="97"/>
        <v>#VALUE!</v>
      </c>
      <c r="GK84" s="301" t="e">
        <f t="shared" ca="1" si="97"/>
        <v>#VALUE!</v>
      </c>
      <c r="GL84" s="301" t="e">
        <f t="shared" ca="1" si="97"/>
        <v>#VALUE!</v>
      </c>
      <c r="GM84" s="301" t="e">
        <f t="shared" ca="1" si="97"/>
        <v>#VALUE!</v>
      </c>
      <c r="GN84" s="302" t="e">
        <f t="shared" ca="1" si="97"/>
        <v>#VALUE!</v>
      </c>
      <c r="GO84" s="302" t="e">
        <f t="shared" ca="1" si="97"/>
        <v>#VALUE!</v>
      </c>
    </row>
    <row r="85" spans="1:197">
      <c r="A85" s="291"/>
      <c r="B85" s="292" t="s">
        <v>85</v>
      </c>
      <c r="C85" s="292" t="s">
        <v>195</v>
      </c>
      <c r="D85" s="292" t="s">
        <v>221</v>
      </c>
      <c r="E85" s="292" t="s">
        <v>436</v>
      </c>
      <c r="F85" s="292" t="s">
        <v>184</v>
      </c>
      <c r="G85" s="292" t="s">
        <v>350</v>
      </c>
      <c r="H85" s="292" t="s">
        <v>351</v>
      </c>
      <c r="I85" s="292" t="s">
        <v>352</v>
      </c>
      <c r="J85" s="292" t="s">
        <v>184</v>
      </c>
      <c r="K85" s="292" t="s">
        <v>353</v>
      </c>
      <c r="L85" s="292" t="s">
        <v>359</v>
      </c>
      <c r="M85" s="292" t="s">
        <v>367</v>
      </c>
      <c r="N85" s="292" t="str">
        <f t="shared" si="86"/>
        <v>PTD-Manufacturing - PP</v>
      </c>
      <c r="O85" s="292" t="str">
        <f t="shared" si="87"/>
        <v>Technology-Consultant-India-Consulting</v>
      </c>
      <c r="P85" s="292" t="str">
        <f t="shared" si="88"/>
        <v>PTD - Technology</v>
      </c>
      <c r="Q85" s="293">
        <f t="shared" si="83"/>
        <v>140400</v>
      </c>
      <c r="R85" s="294">
        <f t="shared" si="84"/>
        <v>0</v>
      </c>
      <c r="S85" s="295">
        <f t="shared" si="89"/>
        <v>0</v>
      </c>
      <c r="T85" s="295">
        <f t="shared" si="85"/>
        <v>2340</v>
      </c>
      <c r="U85" s="296" t="str">
        <f t="shared" si="90"/>
        <v>Technology - Consultant</v>
      </c>
      <c r="V85" s="295" t="str">
        <f t="shared" si="91"/>
        <v>1-3 years</v>
      </c>
      <c r="W85" s="292" t="str">
        <f t="shared" si="92"/>
        <v>Offshore</v>
      </c>
      <c r="X85" s="292" t="s">
        <v>261</v>
      </c>
      <c r="Y85" s="292" t="s">
        <v>259</v>
      </c>
      <c r="Z85" s="292" t="s">
        <v>368</v>
      </c>
      <c r="AA85" s="297">
        <f>[1]Resourcing!QD89</f>
        <v>54.407142857142901</v>
      </c>
      <c r="AB85" s="298">
        <f t="shared" si="93"/>
        <v>60</v>
      </c>
      <c r="AC85" s="327"/>
      <c r="AD85" s="327"/>
      <c r="AE85" s="327"/>
      <c r="AF85" s="327"/>
      <c r="AG85" s="327"/>
      <c r="AH85" s="327"/>
      <c r="AI85" s="327"/>
      <c r="AJ85" s="327"/>
      <c r="AK85" s="327"/>
      <c r="AL85" s="327"/>
      <c r="AM85" s="327"/>
      <c r="AN85" s="327"/>
      <c r="AO85" s="327"/>
      <c r="AP85" s="327"/>
      <c r="AQ85" s="327"/>
      <c r="AR85" s="327"/>
      <c r="AS85" s="327"/>
      <c r="AT85" s="327"/>
      <c r="AU85" s="327"/>
      <c r="AV85" s="327"/>
      <c r="AW85" s="327"/>
      <c r="AX85" s="299"/>
      <c r="AY85" s="299"/>
      <c r="AZ85" s="299"/>
      <c r="BA85" s="299"/>
      <c r="BB85" s="299"/>
      <c r="BC85" s="328"/>
      <c r="BD85" s="299"/>
      <c r="BE85" s="299"/>
      <c r="BF85" s="299"/>
      <c r="BG85" s="299"/>
      <c r="BH85" s="299"/>
      <c r="BI85" s="299"/>
      <c r="BJ85" s="299"/>
      <c r="BK85" s="299"/>
      <c r="BL85" s="299"/>
      <c r="BM85" s="299"/>
      <c r="BN85" s="299"/>
      <c r="BO85" s="299"/>
      <c r="BP85" s="299"/>
      <c r="BQ85" s="299"/>
      <c r="BR85" s="299"/>
      <c r="BS85" s="299"/>
      <c r="BT85" s="299"/>
      <c r="BU85" s="299"/>
      <c r="BV85" s="299"/>
      <c r="BW85" s="299"/>
      <c r="BX85" s="299"/>
      <c r="BY85" s="299"/>
      <c r="BZ85" s="299"/>
      <c r="CA85" s="299"/>
      <c r="CB85" s="299"/>
      <c r="CC85" s="299"/>
      <c r="CD85" s="299"/>
      <c r="CE85" s="299"/>
      <c r="CF85" s="299"/>
      <c r="CG85" s="299"/>
      <c r="CH85" s="299"/>
      <c r="CI85" s="299"/>
      <c r="CJ85" s="299"/>
      <c r="CK85" s="299"/>
      <c r="CL85" s="299"/>
      <c r="CM85" s="299"/>
      <c r="CN85" s="299"/>
      <c r="CO85" s="324">
        <v>0</v>
      </c>
      <c r="CP85" s="324">
        <v>0</v>
      </c>
      <c r="CQ85" s="324">
        <v>0</v>
      </c>
      <c r="CR85" s="324">
        <v>0</v>
      </c>
      <c r="CS85" s="299">
        <v>45</v>
      </c>
      <c r="CT85" s="299">
        <v>45</v>
      </c>
      <c r="CU85" s="299">
        <v>45</v>
      </c>
      <c r="CV85" s="299">
        <v>45</v>
      </c>
      <c r="CW85" s="299">
        <v>45</v>
      </c>
      <c r="CX85" s="299">
        <v>45</v>
      </c>
      <c r="CY85" s="299">
        <v>45</v>
      </c>
      <c r="CZ85" s="299">
        <v>45</v>
      </c>
      <c r="DA85" s="299">
        <v>45</v>
      </c>
      <c r="DB85" s="299">
        <v>45</v>
      </c>
      <c r="DC85" s="299">
        <v>45</v>
      </c>
      <c r="DD85" s="299">
        <v>45</v>
      </c>
      <c r="DE85" s="299">
        <v>45</v>
      </c>
      <c r="DF85" s="299">
        <v>45</v>
      </c>
      <c r="DG85" s="299">
        <v>45</v>
      </c>
      <c r="DH85" s="299">
        <v>45</v>
      </c>
      <c r="DI85" s="299">
        <v>45</v>
      </c>
      <c r="DJ85" s="299">
        <v>45</v>
      </c>
      <c r="DK85" s="299">
        <v>45</v>
      </c>
      <c r="DL85" s="299">
        <v>45</v>
      </c>
      <c r="DM85" s="299">
        <v>45</v>
      </c>
      <c r="DN85" s="299">
        <v>45</v>
      </c>
      <c r="DO85" s="299">
        <v>45</v>
      </c>
      <c r="DP85" s="299">
        <v>45</v>
      </c>
      <c r="DQ85" s="299">
        <v>45</v>
      </c>
      <c r="DR85" s="299"/>
      <c r="DS85" s="299"/>
      <c r="DT85" s="299">
        <v>45</v>
      </c>
      <c r="DU85" s="299">
        <v>45</v>
      </c>
      <c r="DV85" s="299">
        <v>45</v>
      </c>
      <c r="DW85" s="299">
        <v>45</v>
      </c>
      <c r="DX85" s="299">
        <v>45</v>
      </c>
      <c r="DY85" s="299">
        <v>45</v>
      </c>
      <c r="DZ85" s="299">
        <v>45</v>
      </c>
      <c r="EA85" s="299">
        <v>45</v>
      </c>
      <c r="EB85" s="299">
        <v>45</v>
      </c>
      <c r="EC85" s="299">
        <v>45</v>
      </c>
      <c r="ED85" s="299">
        <v>45</v>
      </c>
      <c r="EE85" s="299">
        <v>45</v>
      </c>
      <c r="EF85" s="299">
        <v>45</v>
      </c>
      <c r="EG85" s="299">
        <v>45</v>
      </c>
      <c r="EH85" s="299">
        <v>45</v>
      </c>
      <c r="EI85" s="299">
        <v>45</v>
      </c>
      <c r="EJ85" s="299">
        <v>45</v>
      </c>
      <c r="EK85" s="299">
        <v>45</v>
      </c>
      <c r="EL85" s="299">
        <v>45</v>
      </c>
      <c r="EM85" s="299">
        <v>45</v>
      </c>
      <c r="EN85" s="299">
        <v>45</v>
      </c>
      <c r="EO85" s="299">
        <v>45</v>
      </c>
      <c r="EP85" s="299">
        <v>45</v>
      </c>
      <c r="EQ85" s="299">
        <v>45</v>
      </c>
      <c r="ER85" s="299">
        <v>45</v>
      </c>
      <c r="ES85" s="299">
        <v>45</v>
      </c>
      <c r="ET85" s="329">
        <v>45</v>
      </c>
      <c r="EU85" s="327"/>
      <c r="EV85" s="327"/>
      <c r="EW85" s="327"/>
      <c r="EX85" s="327"/>
      <c r="EY85" s="327"/>
      <c r="EZ85" s="327"/>
      <c r="FA85" s="327"/>
      <c r="FB85" s="327"/>
      <c r="FC85" s="327"/>
      <c r="FD85" s="327"/>
      <c r="FE85" s="327"/>
      <c r="FF85" s="327"/>
      <c r="FG85" s="327"/>
      <c r="FH85" s="327"/>
      <c r="FI85" s="327"/>
      <c r="FJ85" s="327"/>
      <c r="FK85" s="327"/>
      <c r="FL85" s="327"/>
      <c r="FM85" s="327"/>
      <c r="FN85" s="327"/>
      <c r="FO85" s="327"/>
      <c r="FP85" s="327"/>
      <c r="FQ85" s="300" t="e">
        <f t="shared" ca="1" si="94"/>
        <v>#VALUE!</v>
      </c>
      <c r="FR85" s="300" t="e">
        <f t="shared" ca="1" si="96"/>
        <v>#VALUE!</v>
      </c>
      <c r="FS85" s="300" t="e">
        <f t="shared" ca="1" si="96"/>
        <v>#VALUE!</v>
      </c>
      <c r="FT85" s="300" t="e">
        <f t="shared" ca="1" si="96"/>
        <v>#VALUE!</v>
      </c>
      <c r="FU85" s="300" t="e">
        <f t="shared" ca="1" si="96"/>
        <v>#VALUE!</v>
      </c>
      <c r="FV85" s="300" t="e">
        <f t="shared" ca="1" si="96"/>
        <v>#VALUE!</v>
      </c>
      <c r="FW85" s="300" t="e">
        <f t="shared" ca="1" si="96"/>
        <v>#VALUE!</v>
      </c>
      <c r="FX85" s="300" t="e">
        <f t="shared" ca="1" si="96"/>
        <v>#VALUE!</v>
      </c>
      <c r="FY85" s="300" t="e">
        <f t="shared" ca="1" si="96"/>
        <v>#VALUE!</v>
      </c>
      <c r="FZ85" s="300" t="e">
        <f t="shared" ca="1" si="96"/>
        <v>#VALUE!</v>
      </c>
      <c r="GA85" s="301" t="e">
        <f t="shared" ca="1" si="96"/>
        <v>#VALUE!</v>
      </c>
      <c r="GB85" s="301" t="e">
        <f t="shared" ca="1" si="97"/>
        <v>#VALUE!</v>
      </c>
      <c r="GC85" s="301" t="e">
        <f t="shared" ca="1" si="97"/>
        <v>#VALUE!</v>
      </c>
      <c r="GD85" s="301" t="e">
        <f t="shared" ca="1" si="97"/>
        <v>#VALUE!</v>
      </c>
      <c r="GE85" s="301" t="e">
        <f t="shared" ca="1" si="97"/>
        <v>#VALUE!</v>
      </c>
      <c r="GF85" s="301" t="e">
        <f t="shared" ca="1" si="97"/>
        <v>#VALUE!</v>
      </c>
      <c r="GG85" s="301" t="e">
        <f t="shared" ca="1" si="97"/>
        <v>#VALUE!</v>
      </c>
      <c r="GH85" s="301" t="e">
        <f t="shared" ca="1" si="97"/>
        <v>#VALUE!</v>
      </c>
      <c r="GI85" s="301" t="e">
        <f t="shared" ca="1" si="97"/>
        <v>#VALUE!</v>
      </c>
      <c r="GJ85" s="301" t="e">
        <f t="shared" ca="1" si="97"/>
        <v>#VALUE!</v>
      </c>
      <c r="GK85" s="301" t="e">
        <f t="shared" ca="1" si="97"/>
        <v>#VALUE!</v>
      </c>
      <c r="GL85" s="301" t="e">
        <f t="shared" ca="1" si="97"/>
        <v>#VALUE!</v>
      </c>
      <c r="GM85" s="301" t="e">
        <f t="shared" ca="1" si="97"/>
        <v>#VALUE!</v>
      </c>
      <c r="GN85" s="302" t="e">
        <f t="shared" ca="1" si="97"/>
        <v>#VALUE!</v>
      </c>
      <c r="GO85" s="302" t="e">
        <f t="shared" ca="1" si="97"/>
        <v>#VALUE!</v>
      </c>
    </row>
    <row r="86" spans="1:197">
      <c r="A86" s="291"/>
      <c r="B86" s="292" t="s">
        <v>85</v>
      </c>
      <c r="C86" s="292" t="s">
        <v>195</v>
      </c>
      <c r="D86" s="292" t="s">
        <v>221</v>
      </c>
      <c r="E86" s="292" t="s">
        <v>436</v>
      </c>
      <c r="F86" s="292" t="s">
        <v>184</v>
      </c>
      <c r="G86" s="292" t="s">
        <v>350</v>
      </c>
      <c r="H86" s="292" t="s">
        <v>351</v>
      </c>
      <c r="I86" s="292" t="s">
        <v>352</v>
      </c>
      <c r="J86" s="292" t="s">
        <v>184</v>
      </c>
      <c r="K86" s="292" t="s">
        <v>353</v>
      </c>
      <c r="L86" s="292" t="s">
        <v>359</v>
      </c>
      <c r="M86" s="292" t="s">
        <v>363</v>
      </c>
      <c r="N86" s="292" t="str">
        <f t="shared" si="86"/>
        <v>PTD-Manufacturing - PP</v>
      </c>
      <c r="O86" s="292" t="str">
        <f t="shared" si="87"/>
        <v>Technology-Consultant-India-Consulting</v>
      </c>
      <c r="P86" s="292" t="str">
        <f t="shared" si="88"/>
        <v>PTD - Technology</v>
      </c>
      <c r="Q86" s="293">
        <f t="shared" si="83"/>
        <v>56700</v>
      </c>
      <c r="R86" s="294">
        <f t="shared" si="84"/>
        <v>0</v>
      </c>
      <c r="S86" s="295">
        <f t="shared" si="89"/>
        <v>0</v>
      </c>
      <c r="T86" s="295">
        <f t="shared" si="85"/>
        <v>945</v>
      </c>
      <c r="U86" s="296" t="str">
        <f t="shared" si="90"/>
        <v>Technology - Consultant</v>
      </c>
      <c r="V86" s="295" t="str">
        <f t="shared" si="91"/>
        <v>1-3 years</v>
      </c>
      <c r="W86" s="292" t="str">
        <f t="shared" si="92"/>
        <v>Offshore</v>
      </c>
      <c r="X86" s="292" t="s">
        <v>261</v>
      </c>
      <c r="Y86" s="292" t="s">
        <v>259</v>
      </c>
      <c r="Z86" s="292" t="s">
        <v>368</v>
      </c>
      <c r="AA86" s="297">
        <f>[1]Resourcing!QD90</f>
        <v>54.06</v>
      </c>
      <c r="AB86" s="298">
        <f t="shared" si="93"/>
        <v>60</v>
      </c>
      <c r="AC86" s="327"/>
      <c r="AD86" s="327"/>
      <c r="AE86" s="327"/>
      <c r="AF86" s="327"/>
      <c r="AG86" s="327"/>
      <c r="AH86" s="327"/>
      <c r="AI86" s="327"/>
      <c r="AJ86" s="327"/>
      <c r="AK86" s="327"/>
      <c r="AL86" s="327"/>
      <c r="AM86" s="327"/>
      <c r="AN86" s="327"/>
      <c r="AO86" s="327"/>
      <c r="AP86" s="327"/>
      <c r="AQ86" s="327"/>
      <c r="AR86" s="327"/>
      <c r="AS86" s="327"/>
      <c r="AT86" s="327"/>
      <c r="AU86" s="327"/>
      <c r="AV86" s="327"/>
      <c r="AW86" s="327"/>
      <c r="AX86" s="299"/>
      <c r="AY86" s="299"/>
      <c r="AZ86" s="299"/>
      <c r="BA86" s="299"/>
      <c r="BB86" s="299"/>
      <c r="BC86" s="328"/>
      <c r="BD86" s="299"/>
      <c r="BE86" s="299"/>
      <c r="BF86" s="299"/>
      <c r="BG86" s="299"/>
      <c r="BH86" s="299"/>
      <c r="BI86" s="299"/>
      <c r="BJ86" s="299"/>
      <c r="BK86" s="299"/>
      <c r="BL86" s="299"/>
      <c r="BM86" s="299"/>
      <c r="BN86" s="299"/>
      <c r="BO86" s="299"/>
      <c r="BP86" s="299"/>
      <c r="BQ86" s="299"/>
      <c r="BR86" s="299"/>
      <c r="BS86" s="299"/>
      <c r="BT86" s="299"/>
      <c r="BU86" s="299"/>
      <c r="BV86" s="299"/>
      <c r="BW86" s="299"/>
      <c r="BX86" s="299"/>
      <c r="BY86" s="299"/>
      <c r="BZ86" s="299"/>
      <c r="CA86" s="299"/>
      <c r="CB86" s="299"/>
      <c r="CC86" s="299"/>
      <c r="CD86" s="299"/>
      <c r="CE86" s="299"/>
      <c r="CF86" s="299"/>
      <c r="CG86" s="299"/>
      <c r="CH86" s="299"/>
      <c r="CI86" s="299"/>
      <c r="CJ86" s="299"/>
      <c r="CK86" s="299"/>
      <c r="CL86" s="299"/>
      <c r="CM86" s="299"/>
      <c r="CN86" s="299"/>
      <c r="CO86" s="299"/>
      <c r="CP86" s="299"/>
      <c r="CQ86" s="299"/>
      <c r="CR86" s="299"/>
      <c r="CS86" s="299"/>
      <c r="CT86" s="299"/>
      <c r="CU86" s="299"/>
      <c r="CV86" s="299"/>
      <c r="CW86" s="299"/>
      <c r="CX86" s="299"/>
      <c r="CY86" s="299"/>
      <c r="CZ86" s="299"/>
      <c r="DA86" s="299">
        <v>45</v>
      </c>
      <c r="DB86" s="299">
        <v>45</v>
      </c>
      <c r="DC86" s="299">
        <v>45</v>
      </c>
      <c r="DD86" s="299">
        <v>45</v>
      </c>
      <c r="DE86" s="299">
        <v>45</v>
      </c>
      <c r="DF86" s="299">
        <v>45</v>
      </c>
      <c r="DG86" s="299">
        <v>45</v>
      </c>
      <c r="DH86" s="299">
        <v>45</v>
      </c>
      <c r="DI86" s="299">
        <v>45</v>
      </c>
      <c r="DJ86" s="299">
        <v>45</v>
      </c>
      <c r="DK86" s="299">
        <v>45</v>
      </c>
      <c r="DL86" s="299">
        <v>45</v>
      </c>
      <c r="DM86" s="299">
        <v>45</v>
      </c>
      <c r="DN86" s="299">
        <v>45</v>
      </c>
      <c r="DO86" s="299">
        <v>45</v>
      </c>
      <c r="DP86" s="299">
        <v>45</v>
      </c>
      <c r="DQ86" s="299">
        <v>45</v>
      </c>
      <c r="DR86" s="299"/>
      <c r="DS86" s="299"/>
      <c r="DT86" s="299">
        <v>45</v>
      </c>
      <c r="DU86" s="299">
        <v>45</v>
      </c>
      <c r="DV86" s="299">
        <v>45</v>
      </c>
      <c r="DW86" s="299">
        <v>45</v>
      </c>
      <c r="DX86" s="299"/>
      <c r="DY86" s="299"/>
      <c r="DZ86" s="299"/>
      <c r="EA86" s="299"/>
      <c r="EB86" s="299"/>
      <c r="EC86" s="299"/>
      <c r="ED86" s="299"/>
      <c r="EE86" s="299"/>
      <c r="EF86" s="299"/>
      <c r="EG86" s="299"/>
      <c r="EH86" s="299"/>
      <c r="EI86" s="299"/>
      <c r="EJ86" s="299"/>
      <c r="EK86" s="299"/>
      <c r="EL86" s="299"/>
      <c r="EM86" s="299"/>
      <c r="EN86" s="299"/>
      <c r="EO86" s="299"/>
      <c r="EP86" s="299"/>
      <c r="EQ86" s="299"/>
      <c r="ER86" s="299"/>
      <c r="ES86" s="299"/>
      <c r="ET86" s="329"/>
      <c r="EU86" s="327"/>
      <c r="EV86" s="327"/>
      <c r="EW86" s="327"/>
      <c r="EX86" s="327"/>
      <c r="EY86" s="327"/>
      <c r="EZ86" s="327"/>
      <c r="FA86" s="327"/>
      <c r="FB86" s="327"/>
      <c r="FC86" s="327"/>
      <c r="FD86" s="327"/>
      <c r="FE86" s="327"/>
      <c r="FF86" s="327"/>
      <c r="FG86" s="327"/>
      <c r="FH86" s="327"/>
      <c r="FI86" s="327"/>
      <c r="FJ86" s="327"/>
      <c r="FK86" s="327"/>
      <c r="FL86" s="327"/>
      <c r="FM86" s="327"/>
      <c r="FN86" s="327"/>
      <c r="FO86" s="327"/>
      <c r="FP86" s="327"/>
      <c r="FQ86" s="300" t="e">
        <f t="shared" ca="1" si="94"/>
        <v>#VALUE!</v>
      </c>
      <c r="FR86" s="300" t="e">
        <f t="shared" ca="1" si="96"/>
        <v>#VALUE!</v>
      </c>
      <c r="FS86" s="300" t="e">
        <f t="shared" ca="1" si="96"/>
        <v>#VALUE!</v>
      </c>
      <c r="FT86" s="300" t="e">
        <f t="shared" ca="1" si="96"/>
        <v>#VALUE!</v>
      </c>
      <c r="FU86" s="300" t="e">
        <f t="shared" ca="1" si="96"/>
        <v>#VALUE!</v>
      </c>
      <c r="FV86" s="300" t="e">
        <f t="shared" ca="1" si="96"/>
        <v>#VALUE!</v>
      </c>
      <c r="FW86" s="300" t="e">
        <f t="shared" ca="1" si="96"/>
        <v>#VALUE!</v>
      </c>
      <c r="FX86" s="300" t="e">
        <f t="shared" ca="1" si="96"/>
        <v>#VALUE!</v>
      </c>
      <c r="FY86" s="300" t="e">
        <f t="shared" ca="1" si="96"/>
        <v>#VALUE!</v>
      </c>
      <c r="FZ86" s="300" t="e">
        <f t="shared" ca="1" si="96"/>
        <v>#VALUE!</v>
      </c>
      <c r="GA86" s="301" t="e">
        <f t="shared" ca="1" si="96"/>
        <v>#VALUE!</v>
      </c>
      <c r="GB86" s="301" t="e">
        <f t="shared" ca="1" si="97"/>
        <v>#VALUE!</v>
      </c>
      <c r="GC86" s="301" t="e">
        <f t="shared" ca="1" si="97"/>
        <v>#VALUE!</v>
      </c>
      <c r="GD86" s="301" t="e">
        <f t="shared" ca="1" si="97"/>
        <v>#VALUE!</v>
      </c>
      <c r="GE86" s="301" t="e">
        <f t="shared" ca="1" si="97"/>
        <v>#VALUE!</v>
      </c>
      <c r="GF86" s="301" t="e">
        <f t="shared" ca="1" si="97"/>
        <v>#VALUE!</v>
      </c>
      <c r="GG86" s="301" t="e">
        <f t="shared" ca="1" si="97"/>
        <v>#VALUE!</v>
      </c>
      <c r="GH86" s="301" t="e">
        <f t="shared" ca="1" si="97"/>
        <v>#VALUE!</v>
      </c>
      <c r="GI86" s="301" t="e">
        <f t="shared" ca="1" si="97"/>
        <v>#VALUE!</v>
      </c>
      <c r="GJ86" s="301" t="e">
        <f t="shared" ca="1" si="97"/>
        <v>#VALUE!</v>
      </c>
      <c r="GK86" s="301" t="e">
        <f t="shared" ca="1" si="97"/>
        <v>#VALUE!</v>
      </c>
      <c r="GL86" s="301" t="e">
        <f t="shared" ca="1" si="97"/>
        <v>#VALUE!</v>
      </c>
      <c r="GM86" s="301" t="e">
        <f t="shared" ca="1" si="97"/>
        <v>#VALUE!</v>
      </c>
      <c r="GN86" s="302" t="e">
        <f t="shared" ca="1" si="97"/>
        <v>#VALUE!</v>
      </c>
      <c r="GO86" s="302" t="e">
        <f t="shared" ca="1" si="97"/>
        <v>#VALUE!</v>
      </c>
    </row>
    <row r="87" spans="1:197">
      <c r="A87" s="291"/>
      <c r="B87" s="292" t="s">
        <v>85</v>
      </c>
      <c r="C87" s="292" t="s">
        <v>195</v>
      </c>
      <c r="D87" s="292" t="s">
        <v>221</v>
      </c>
      <c r="E87" s="292" t="s">
        <v>437</v>
      </c>
      <c r="F87" s="292" t="s">
        <v>184</v>
      </c>
      <c r="G87" s="292" t="s">
        <v>350</v>
      </c>
      <c r="H87" s="292" t="s">
        <v>351</v>
      </c>
      <c r="I87" s="292" t="s">
        <v>352</v>
      </c>
      <c r="J87" s="292" t="s">
        <v>184</v>
      </c>
      <c r="K87" s="292" t="s">
        <v>353</v>
      </c>
      <c r="L87" s="292" t="s">
        <v>359</v>
      </c>
      <c r="M87" s="292" t="s">
        <v>367</v>
      </c>
      <c r="N87" s="292" t="str">
        <f t="shared" si="86"/>
        <v>PTD-Manufacturing - PP</v>
      </c>
      <c r="O87" s="292" t="str">
        <f t="shared" si="87"/>
        <v>Technology-Analyst-India-Consulting</v>
      </c>
      <c r="P87" s="292" t="str">
        <f t="shared" si="88"/>
        <v>PTD - Technology</v>
      </c>
      <c r="Q87" s="293">
        <f t="shared" si="83"/>
        <v>84240</v>
      </c>
      <c r="R87" s="294">
        <f t="shared" si="84"/>
        <v>0</v>
      </c>
      <c r="S87" s="295">
        <f t="shared" si="89"/>
        <v>0</v>
      </c>
      <c r="T87" s="295">
        <f t="shared" si="85"/>
        <v>1755</v>
      </c>
      <c r="U87" s="296" t="str">
        <f t="shared" si="90"/>
        <v>Technology - Analyst</v>
      </c>
      <c r="V87" s="295" t="str">
        <f t="shared" si="91"/>
        <v>0-1 years</v>
      </c>
      <c r="W87" s="292" t="str">
        <f t="shared" si="92"/>
        <v>Offshore</v>
      </c>
      <c r="X87" s="292" t="s">
        <v>261</v>
      </c>
      <c r="Y87" s="292" t="s">
        <v>259</v>
      </c>
      <c r="Z87" s="292" t="s">
        <v>384</v>
      </c>
      <c r="AA87" s="297">
        <f>[1]Resourcing!QD91</f>
        <v>63.301764705882398</v>
      </c>
      <c r="AB87" s="298">
        <f t="shared" si="93"/>
        <v>48</v>
      </c>
      <c r="AC87" s="327"/>
      <c r="AD87" s="327"/>
      <c r="AE87" s="327"/>
      <c r="AF87" s="327"/>
      <c r="AG87" s="327"/>
      <c r="AH87" s="327"/>
      <c r="AI87" s="327"/>
      <c r="AJ87" s="327"/>
      <c r="AK87" s="327"/>
      <c r="AL87" s="327"/>
      <c r="AM87" s="327"/>
      <c r="AN87" s="327"/>
      <c r="AO87" s="327"/>
      <c r="AP87" s="327"/>
      <c r="AQ87" s="327"/>
      <c r="AR87" s="327"/>
      <c r="AS87" s="327"/>
      <c r="AT87" s="327"/>
      <c r="AU87" s="327"/>
      <c r="AV87" s="327"/>
      <c r="AW87" s="327"/>
      <c r="AX87" s="299"/>
      <c r="AY87" s="299"/>
      <c r="AZ87" s="299"/>
      <c r="BA87" s="299"/>
      <c r="BB87" s="299"/>
      <c r="BC87" s="328"/>
      <c r="BD87" s="299"/>
      <c r="BE87" s="299"/>
      <c r="BF87" s="299"/>
      <c r="BG87" s="299"/>
      <c r="BH87" s="299"/>
      <c r="BI87" s="299"/>
      <c r="BJ87" s="299"/>
      <c r="BK87" s="299"/>
      <c r="BL87" s="299"/>
      <c r="BM87" s="299"/>
      <c r="BN87" s="299"/>
      <c r="BO87" s="299"/>
      <c r="BP87" s="299"/>
      <c r="BQ87" s="299"/>
      <c r="BR87" s="299"/>
      <c r="BS87" s="299"/>
      <c r="BT87" s="299"/>
      <c r="BU87" s="299"/>
      <c r="BV87" s="299"/>
      <c r="BW87" s="299"/>
      <c r="BX87" s="299"/>
      <c r="BY87" s="299"/>
      <c r="BZ87" s="299"/>
      <c r="CA87" s="299"/>
      <c r="CB87" s="299"/>
      <c r="CC87" s="299"/>
      <c r="CD87" s="299"/>
      <c r="CE87" s="299"/>
      <c r="CF87" s="299"/>
      <c r="CG87" s="299"/>
      <c r="CH87" s="299"/>
      <c r="CI87" s="299"/>
      <c r="CJ87" s="299"/>
      <c r="CK87" s="299"/>
      <c r="CL87" s="299"/>
      <c r="CM87" s="299"/>
      <c r="CN87" s="299"/>
      <c r="CO87" s="299"/>
      <c r="CP87" s="299"/>
      <c r="CQ87" s="299"/>
      <c r="CR87" s="299"/>
      <c r="CS87" s="299"/>
      <c r="CT87" s="299"/>
      <c r="CU87" s="299"/>
      <c r="CV87" s="299"/>
      <c r="CW87" s="299"/>
      <c r="CX87" s="299"/>
      <c r="CY87" s="299"/>
      <c r="CZ87" s="299"/>
      <c r="DA87" s="299">
        <v>45</v>
      </c>
      <c r="DB87" s="299">
        <v>45</v>
      </c>
      <c r="DC87" s="299">
        <v>45</v>
      </c>
      <c r="DD87" s="299">
        <v>45</v>
      </c>
      <c r="DE87" s="299">
        <v>45</v>
      </c>
      <c r="DF87" s="299">
        <v>45</v>
      </c>
      <c r="DG87" s="299">
        <v>45</v>
      </c>
      <c r="DH87" s="299">
        <v>45</v>
      </c>
      <c r="DI87" s="299">
        <v>45</v>
      </c>
      <c r="DJ87" s="299">
        <v>45</v>
      </c>
      <c r="DK87" s="299">
        <v>45</v>
      </c>
      <c r="DL87" s="299">
        <v>45</v>
      </c>
      <c r="DM87" s="299">
        <v>45</v>
      </c>
      <c r="DN87" s="299">
        <v>45</v>
      </c>
      <c r="DO87" s="299">
        <v>45</v>
      </c>
      <c r="DP87" s="299">
        <v>45</v>
      </c>
      <c r="DQ87" s="299">
        <v>45</v>
      </c>
      <c r="DR87" s="299"/>
      <c r="DS87" s="299"/>
      <c r="DT87" s="299">
        <v>45</v>
      </c>
      <c r="DU87" s="299">
        <v>45</v>
      </c>
      <c r="DV87" s="299">
        <v>45</v>
      </c>
      <c r="DW87" s="299">
        <v>45</v>
      </c>
      <c r="DX87" s="299">
        <v>45</v>
      </c>
      <c r="DY87" s="299">
        <v>45</v>
      </c>
      <c r="DZ87" s="299">
        <v>45</v>
      </c>
      <c r="EA87" s="299">
        <v>45</v>
      </c>
      <c r="EB87" s="299">
        <v>45</v>
      </c>
      <c r="EC87" s="299">
        <v>45</v>
      </c>
      <c r="ED87" s="299">
        <v>45</v>
      </c>
      <c r="EE87" s="299">
        <v>45</v>
      </c>
      <c r="EF87" s="299">
        <v>45</v>
      </c>
      <c r="EG87" s="299">
        <v>45</v>
      </c>
      <c r="EH87" s="299">
        <v>45</v>
      </c>
      <c r="EI87" s="299">
        <v>45</v>
      </c>
      <c r="EJ87" s="299">
        <v>45</v>
      </c>
      <c r="EK87" s="299">
        <v>45</v>
      </c>
      <c r="EL87" s="299">
        <v>45</v>
      </c>
      <c r="EM87" s="299">
        <v>45</v>
      </c>
      <c r="EN87" s="299">
        <v>45</v>
      </c>
      <c r="EO87" s="299">
        <v>45</v>
      </c>
      <c r="EP87" s="299"/>
      <c r="EQ87" s="299"/>
      <c r="ER87" s="299"/>
      <c r="ES87" s="299"/>
      <c r="ET87" s="329"/>
      <c r="EU87" s="327"/>
      <c r="EV87" s="327"/>
      <c r="EW87" s="327"/>
      <c r="EX87" s="327"/>
      <c r="EY87" s="327"/>
      <c r="EZ87" s="327"/>
      <c r="FA87" s="327"/>
      <c r="FB87" s="327"/>
      <c r="FC87" s="327"/>
      <c r="FD87" s="327"/>
      <c r="FE87" s="327"/>
      <c r="FF87" s="327"/>
      <c r="FG87" s="327"/>
      <c r="FH87" s="327"/>
      <c r="FI87" s="327"/>
      <c r="FJ87" s="327"/>
      <c r="FK87" s="327"/>
      <c r="FL87" s="327"/>
      <c r="FM87" s="327"/>
      <c r="FN87" s="327"/>
      <c r="FO87" s="327"/>
      <c r="FP87" s="327"/>
      <c r="FQ87" s="300" t="e">
        <f t="shared" ca="1" si="94"/>
        <v>#VALUE!</v>
      </c>
      <c r="FR87" s="300" t="e">
        <f t="shared" ca="1" si="96"/>
        <v>#VALUE!</v>
      </c>
      <c r="FS87" s="300" t="e">
        <f t="shared" ca="1" si="96"/>
        <v>#VALUE!</v>
      </c>
      <c r="FT87" s="300" t="e">
        <f t="shared" ca="1" si="96"/>
        <v>#VALUE!</v>
      </c>
      <c r="FU87" s="300" t="e">
        <f t="shared" ca="1" si="96"/>
        <v>#VALUE!</v>
      </c>
      <c r="FV87" s="300" t="e">
        <f t="shared" ca="1" si="96"/>
        <v>#VALUE!</v>
      </c>
      <c r="FW87" s="300" t="e">
        <f t="shared" ca="1" si="96"/>
        <v>#VALUE!</v>
      </c>
      <c r="FX87" s="300" t="e">
        <f t="shared" ca="1" si="96"/>
        <v>#VALUE!</v>
      </c>
      <c r="FY87" s="300" t="e">
        <f t="shared" ca="1" si="96"/>
        <v>#VALUE!</v>
      </c>
      <c r="FZ87" s="300" t="e">
        <f t="shared" ca="1" si="96"/>
        <v>#VALUE!</v>
      </c>
      <c r="GA87" s="301" t="e">
        <f t="shared" ca="1" si="96"/>
        <v>#VALUE!</v>
      </c>
      <c r="GB87" s="301" t="e">
        <f t="shared" ca="1" si="97"/>
        <v>#VALUE!</v>
      </c>
      <c r="GC87" s="301" t="e">
        <f t="shared" ca="1" si="97"/>
        <v>#VALUE!</v>
      </c>
      <c r="GD87" s="301" t="e">
        <f t="shared" ca="1" si="97"/>
        <v>#VALUE!</v>
      </c>
      <c r="GE87" s="301" t="e">
        <f t="shared" ca="1" si="97"/>
        <v>#VALUE!</v>
      </c>
      <c r="GF87" s="301" t="e">
        <f t="shared" ca="1" si="97"/>
        <v>#VALUE!</v>
      </c>
      <c r="GG87" s="301" t="e">
        <f t="shared" ca="1" si="97"/>
        <v>#VALUE!</v>
      </c>
      <c r="GH87" s="301" t="e">
        <f t="shared" ca="1" si="97"/>
        <v>#VALUE!</v>
      </c>
      <c r="GI87" s="301" t="e">
        <f t="shared" ca="1" si="97"/>
        <v>#VALUE!</v>
      </c>
      <c r="GJ87" s="301" t="e">
        <f t="shared" ca="1" si="97"/>
        <v>#VALUE!</v>
      </c>
      <c r="GK87" s="301" t="e">
        <f t="shared" ca="1" si="97"/>
        <v>#VALUE!</v>
      </c>
      <c r="GL87" s="301" t="e">
        <f t="shared" ca="1" si="97"/>
        <v>#VALUE!</v>
      </c>
      <c r="GM87" s="301" t="e">
        <f t="shared" ca="1" si="97"/>
        <v>#VALUE!</v>
      </c>
      <c r="GN87" s="302" t="e">
        <f t="shared" ca="1" si="97"/>
        <v>#VALUE!</v>
      </c>
      <c r="GO87" s="302" t="e">
        <f t="shared" ca="1" si="97"/>
        <v>#VALUE!</v>
      </c>
    </row>
    <row r="88" spans="1:197">
      <c r="A88" s="291"/>
      <c r="B88" s="292" t="s">
        <v>85</v>
      </c>
      <c r="C88" s="292" t="s">
        <v>195</v>
      </c>
      <c r="D88" s="292" t="s">
        <v>221</v>
      </c>
      <c r="E88" s="292" t="s">
        <v>437</v>
      </c>
      <c r="F88" s="292" t="s">
        <v>184</v>
      </c>
      <c r="G88" s="292" t="s">
        <v>350</v>
      </c>
      <c r="H88" s="292" t="s">
        <v>351</v>
      </c>
      <c r="I88" s="292" t="s">
        <v>352</v>
      </c>
      <c r="J88" s="292" t="s">
        <v>184</v>
      </c>
      <c r="K88" s="292" t="s">
        <v>353</v>
      </c>
      <c r="L88" s="292" t="s">
        <v>359</v>
      </c>
      <c r="M88" s="292" t="s">
        <v>363</v>
      </c>
      <c r="N88" s="292" t="str">
        <f t="shared" si="86"/>
        <v>PTD-Manufacturing - PP</v>
      </c>
      <c r="O88" s="292" t="str">
        <f t="shared" si="87"/>
        <v>Technology-Analyst-India-Consulting</v>
      </c>
      <c r="P88" s="292" t="str">
        <f t="shared" si="88"/>
        <v>PTD - Technology</v>
      </c>
      <c r="Q88" s="293">
        <f t="shared" si="83"/>
        <v>45360</v>
      </c>
      <c r="R88" s="294">
        <f t="shared" si="84"/>
        <v>0</v>
      </c>
      <c r="S88" s="295">
        <f t="shared" si="89"/>
        <v>0</v>
      </c>
      <c r="T88" s="295">
        <f t="shared" si="85"/>
        <v>945</v>
      </c>
      <c r="U88" s="296" t="str">
        <f t="shared" si="90"/>
        <v>Technology - Analyst</v>
      </c>
      <c r="V88" s="295" t="str">
        <f t="shared" si="91"/>
        <v>0-1 years</v>
      </c>
      <c r="W88" s="292" t="str">
        <f t="shared" si="92"/>
        <v>Offshore</v>
      </c>
      <c r="X88" s="292" t="s">
        <v>261</v>
      </c>
      <c r="Y88" s="292" t="s">
        <v>259</v>
      </c>
      <c r="Z88" s="292" t="s">
        <v>384</v>
      </c>
      <c r="AA88" s="297">
        <f>[1]Resourcing!QD92</f>
        <v>54.433846153846197</v>
      </c>
      <c r="AB88" s="298">
        <f t="shared" si="93"/>
        <v>48</v>
      </c>
      <c r="AC88" s="327"/>
      <c r="AD88" s="327"/>
      <c r="AE88" s="327"/>
      <c r="AF88" s="327"/>
      <c r="AG88" s="327"/>
      <c r="AH88" s="327"/>
      <c r="AI88" s="327"/>
      <c r="AJ88" s="327"/>
      <c r="AK88" s="327"/>
      <c r="AL88" s="327"/>
      <c r="AM88" s="327"/>
      <c r="AN88" s="327"/>
      <c r="AO88" s="327"/>
      <c r="AP88" s="327"/>
      <c r="AQ88" s="327"/>
      <c r="AR88" s="327"/>
      <c r="AS88" s="327"/>
      <c r="AT88" s="327"/>
      <c r="AU88" s="327"/>
      <c r="AV88" s="327"/>
      <c r="AW88" s="327"/>
      <c r="AX88" s="299"/>
      <c r="AY88" s="299"/>
      <c r="AZ88" s="299"/>
      <c r="BA88" s="299"/>
      <c r="BB88" s="299"/>
      <c r="BC88" s="328"/>
      <c r="BD88" s="299"/>
      <c r="BE88" s="299"/>
      <c r="BF88" s="299"/>
      <c r="BG88" s="299"/>
      <c r="BH88" s="299"/>
      <c r="BI88" s="299"/>
      <c r="BJ88" s="299"/>
      <c r="BK88" s="299"/>
      <c r="BL88" s="299"/>
      <c r="BM88" s="299"/>
      <c r="BN88" s="326"/>
      <c r="BO88" s="326"/>
      <c r="BP88" s="326"/>
      <c r="BQ88" s="326"/>
      <c r="BR88" s="326"/>
      <c r="BS88" s="326"/>
      <c r="BT88" s="326"/>
      <c r="BU88" s="326"/>
      <c r="BV88" s="326"/>
      <c r="BW88" s="326"/>
      <c r="BX88" s="326"/>
      <c r="BY88" s="299"/>
      <c r="BZ88" s="299"/>
      <c r="CA88" s="299"/>
      <c r="CB88" s="299"/>
      <c r="CC88" s="299"/>
      <c r="CD88" s="299"/>
      <c r="CE88" s="299"/>
      <c r="CF88" s="299"/>
      <c r="CG88" s="299"/>
      <c r="CH88" s="299"/>
      <c r="CI88" s="299"/>
      <c r="CJ88" s="299"/>
      <c r="CK88" s="299"/>
      <c r="CL88" s="299"/>
      <c r="CM88" s="299"/>
      <c r="CN88" s="299"/>
      <c r="CO88" s="299"/>
      <c r="CP88" s="299"/>
      <c r="CQ88" s="299"/>
      <c r="CR88" s="299"/>
      <c r="CS88" s="299"/>
      <c r="CT88" s="299"/>
      <c r="CU88" s="299"/>
      <c r="CV88" s="299"/>
      <c r="CW88" s="299"/>
      <c r="CX88" s="299"/>
      <c r="CY88" s="299"/>
      <c r="CZ88" s="299"/>
      <c r="DA88" s="299">
        <v>45</v>
      </c>
      <c r="DB88" s="299">
        <v>45</v>
      </c>
      <c r="DC88" s="299">
        <v>45</v>
      </c>
      <c r="DD88" s="299">
        <v>45</v>
      </c>
      <c r="DE88" s="299">
        <v>45</v>
      </c>
      <c r="DF88" s="299">
        <v>45</v>
      </c>
      <c r="DG88" s="299">
        <v>45</v>
      </c>
      <c r="DH88" s="299">
        <v>45</v>
      </c>
      <c r="DI88" s="299">
        <v>45</v>
      </c>
      <c r="DJ88" s="299">
        <v>45</v>
      </c>
      <c r="DK88" s="299">
        <v>45</v>
      </c>
      <c r="DL88" s="299">
        <v>45</v>
      </c>
      <c r="DM88" s="299">
        <v>45</v>
      </c>
      <c r="DN88" s="299">
        <v>45</v>
      </c>
      <c r="DO88" s="299">
        <v>45</v>
      </c>
      <c r="DP88" s="299">
        <v>45</v>
      </c>
      <c r="DQ88" s="299">
        <v>45</v>
      </c>
      <c r="DR88" s="299"/>
      <c r="DS88" s="299"/>
      <c r="DT88" s="299">
        <v>45</v>
      </c>
      <c r="DU88" s="299">
        <v>45</v>
      </c>
      <c r="DV88" s="299">
        <v>45</v>
      </c>
      <c r="DW88" s="299">
        <v>45</v>
      </c>
      <c r="DX88" s="299"/>
      <c r="DY88" s="299"/>
      <c r="DZ88" s="299"/>
      <c r="EA88" s="299"/>
      <c r="EB88" s="299"/>
      <c r="EC88" s="299"/>
      <c r="ED88" s="299"/>
      <c r="EE88" s="299"/>
      <c r="EF88" s="299"/>
      <c r="EG88" s="299"/>
      <c r="EH88" s="299"/>
      <c r="EI88" s="299"/>
      <c r="EJ88" s="299"/>
      <c r="EK88" s="299"/>
      <c r="EL88" s="299"/>
      <c r="EM88" s="299"/>
      <c r="EN88" s="299"/>
      <c r="EO88" s="299"/>
      <c r="EP88" s="299"/>
      <c r="EQ88" s="299"/>
      <c r="ER88" s="299"/>
      <c r="ES88" s="299"/>
      <c r="ET88" s="329"/>
      <c r="EU88" s="327"/>
      <c r="EV88" s="327"/>
      <c r="EW88" s="327"/>
      <c r="EX88" s="327"/>
      <c r="EY88" s="327"/>
      <c r="EZ88" s="327"/>
      <c r="FA88" s="327"/>
      <c r="FB88" s="327"/>
      <c r="FC88" s="327"/>
      <c r="FD88" s="327"/>
      <c r="FE88" s="327"/>
      <c r="FF88" s="327"/>
      <c r="FG88" s="327"/>
      <c r="FH88" s="327"/>
      <c r="FI88" s="327"/>
      <c r="FJ88" s="327"/>
      <c r="FK88" s="327"/>
      <c r="FL88" s="327"/>
      <c r="FM88" s="327"/>
      <c r="FN88" s="327"/>
      <c r="FO88" s="327"/>
      <c r="FP88" s="327"/>
      <c r="FQ88" s="300" t="e">
        <f t="shared" ca="1" si="94"/>
        <v>#VALUE!</v>
      </c>
      <c r="FR88" s="300" t="e">
        <f t="shared" ca="1" si="96"/>
        <v>#VALUE!</v>
      </c>
      <c r="FS88" s="300" t="e">
        <f t="shared" ca="1" si="96"/>
        <v>#VALUE!</v>
      </c>
      <c r="FT88" s="300" t="e">
        <f t="shared" ca="1" si="96"/>
        <v>#VALUE!</v>
      </c>
      <c r="FU88" s="300" t="e">
        <f t="shared" ca="1" si="96"/>
        <v>#VALUE!</v>
      </c>
      <c r="FV88" s="300" t="e">
        <f t="shared" ca="1" si="96"/>
        <v>#VALUE!</v>
      </c>
      <c r="FW88" s="300" t="e">
        <f t="shared" ca="1" si="96"/>
        <v>#VALUE!</v>
      </c>
      <c r="FX88" s="300" t="e">
        <f t="shared" ca="1" si="96"/>
        <v>#VALUE!</v>
      </c>
      <c r="FY88" s="300" t="e">
        <f t="shared" ca="1" si="96"/>
        <v>#VALUE!</v>
      </c>
      <c r="FZ88" s="300" t="e">
        <f t="shared" ca="1" si="96"/>
        <v>#VALUE!</v>
      </c>
      <c r="GA88" s="301" t="e">
        <f t="shared" ca="1" si="96"/>
        <v>#VALUE!</v>
      </c>
      <c r="GB88" s="301" t="e">
        <f t="shared" ca="1" si="97"/>
        <v>#VALUE!</v>
      </c>
      <c r="GC88" s="301" t="e">
        <f t="shared" ca="1" si="97"/>
        <v>#VALUE!</v>
      </c>
      <c r="GD88" s="301" t="e">
        <f t="shared" ca="1" si="97"/>
        <v>#VALUE!</v>
      </c>
      <c r="GE88" s="301" t="e">
        <f t="shared" ca="1" si="97"/>
        <v>#VALUE!</v>
      </c>
      <c r="GF88" s="301" t="e">
        <f t="shared" ca="1" si="97"/>
        <v>#VALUE!</v>
      </c>
      <c r="GG88" s="301" t="e">
        <f t="shared" ca="1" si="97"/>
        <v>#VALUE!</v>
      </c>
      <c r="GH88" s="301" t="e">
        <f t="shared" ca="1" si="97"/>
        <v>#VALUE!</v>
      </c>
      <c r="GI88" s="301" t="e">
        <f t="shared" ca="1" si="97"/>
        <v>#VALUE!</v>
      </c>
      <c r="GJ88" s="301" t="e">
        <f t="shared" ca="1" si="97"/>
        <v>#VALUE!</v>
      </c>
      <c r="GK88" s="301" t="e">
        <f t="shared" ca="1" si="97"/>
        <v>#VALUE!</v>
      </c>
      <c r="GL88" s="301" t="e">
        <f t="shared" ca="1" si="97"/>
        <v>#VALUE!</v>
      </c>
      <c r="GM88" s="301" t="e">
        <f t="shared" ca="1" si="97"/>
        <v>#VALUE!</v>
      </c>
      <c r="GN88" s="302" t="e">
        <f t="shared" ca="1" si="97"/>
        <v>#VALUE!</v>
      </c>
      <c r="GO88" s="302" t="e">
        <f t="shared" ca="1" si="97"/>
        <v>#VALUE!</v>
      </c>
    </row>
    <row r="89" spans="1:197">
      <c r="A89" s="291"/>
      <c r="B89" s="292" t="s">
        <v>85</v>
      </c>
      <c r="C89" s="292" t="s">
        <v>195</v>
      </c>
      <c r="D89" s="292" t="s">
        <v>222</v>
      </c>
      <c r="E89" s="292" t="s">
        <v>438</v>
      </c>
      <c r="F89" s="292" t="s">
        <v>184</v>
      </c>
      <c r="G89" s="292" t="s">
        <v>350</v>
      </c>
      <c r="H89" s="292" t="s">
        <v>351</v>
      </c>
      <c r="I89" s="292" t="s">
        <v>352</v>
      </c>
      <c r="J89" s="292" t="s">
        <v>184</v>
      </c>
      <c r="K89" s="292" t="s">
        <v>353</v>
      </c>
      <c r="L89" s="292" t="s">
        <v>359</v>
      </c>
      <c r="M89" s="292" t="s">
        <v>374</v>
      </c>
      <c r="N89" s="292" t="str">
        <f t="shared" si="86"/>
        <v>PTD-Manufacturing - QM</v>
      </c>
      <c r="O89" s="292" t="str">
        <f t="shared" si="87"/>
        <v>Technology-Consultant-India-Consulting</v>
      </c>
      <c r="P89" s="292" t="str">
        <f t="shared" si="88"/>
        <v>PTD - Technology</v>
      </c>
      <c r="Q89" s="293">
        <f t="shared" si="83"/>
        <v>248400</v>
      </c>
      <c r="R89" s="294">
        <f t="shared" si="84"/>
        <v>32400</v>
      </c>
      <c r="S89" s="295">
        <f t="shared" si="89"/>
        <v>0</v>
      </c>
      <c r="T89" s="295">
        <f t="shared" si="85"/>
        <v>4140</v>
      </c>
      <c r="U89" s="296" t="str">
        <f t="shared" si="90"/>
        <v>Technology - Consultant</v>
      </c>
      <c r="V89" s="295" t="str">
        <f t="shared" si="91"/>
        <v>1-3 years</v>
      </c>
      <c r="W89" s="292" t="str">
        <f t="shared" si="92"/>
        <v>Offshore</v>
      </c>
      <c r="X89" s="292" t="s">
        <v>261</v>
      </c>
      <c r="Y89" s="292" t="s">
        <v>259</v>
      </c>
      <c r="Z89" s="292" t="s">
        <v>368</v>
      </c>
      <c r="AA89" s="297">
        <f>[1]Resourcing!QD93</f>
        <v>43.46</v>
      </c>
      <c r="AB89" s="298">
        <f t="shared" si="93"/>
        <v>60</v>
      </c>
      <c r="AC89" s="327"/>
      <c r="AD89" s="327"/>
      <c r="AE89" s="327"/>
      <c r="AF89" s="327"/>
      <c r="AG89" s="327"/>
      <c r="AH89" s="327"/>
      <c r="AI89" s="327"/>
      <c r="AJ89" s="327"/>
      <c r="AK89" s="327"/>
      <c r="AL89" s="327"/>
      <c r="AM89" s="327"/>
      <c r="AN89" s="327"/>
      <c r="AO89" s="327"/>
      <c r="AP89" s="327"/>
      <c r="AQ89" s="327"/>
      <c r="AR89" s="327"/>
      <c r="AS89" s="327"/>
      <c r="AT89" s="327"/>
      <c r="AU89" s="327"/>
      <c r="AV89" s="327"/>
      <c r="AW89" s="327"/>
      <c r="AX89" s="327"/>
      <c r="AY89" s="327"/>
      <c r="AZ89" s="327"/>
      <c r="BA89" s="327"/>
      <c r="BB89" s="327"/>
      <c r="BC89" s="330">
        <v>45</v>
      </c>
      <c r="BD89" s="326">
        <v>45</v>
      </c>
      <c r="BE89" s="326">
        <v>45</v>
      </c>
      <c r="BF89" s="326">
        <v>45</v>
      </c>
      <c r="BG89" s="326">
        <v>45</v>
      </c>
      <c r="BH89" s="326">
        <v>45</v>
      </c>
      <c r="BI89" s="326">
        <v>45</v>
      </c>
      <c r="BJ89" s="326">
        <v>45</v>
      </c>
      <c r="BK89" s="326">
        <v>45</v>
      </c>
      <c r="BL89" s="326">
        <v>45</v>
      </c>
      <c r="BM89" s="326">
        <v>45</v>
      </c>
      <c r="BN89" s="331">
        <v>45</v>
      </c>
      <c r="BO89" s="331">
        <v>45</v>
      </c>
      <c r="BP89" s="331">
        <v>45</v>
      </c>
      <c r="BQ89" s="331">
        <v>45</v>
      </c>
      <c r="BR89" s="331"/>
      <c r="BS89" s="331"/>
      <c r="BT89" s="331">
        <v>45</v>
      </c>
      <c r="BU89" s="331">
        <v>45</v>
      </c>
      <c r="BV89" s="331">
        <v>45</v>
      </c>
      <c r="BW89" s="331">
        <v>45</v>
      </c>
      <c r="BX89" s="331">
        <v>45</v>
      </c>
      <c r="BY89" s="328">
        <v>45</v>
      </c>
      <c r="BZ89" s="299">
        <v>45</v>
      </c>
      <c r="CA89" s="299">
        <v>45</v>
      </c>
      <c r="CB89" s="299">
        <v>45</v>
      </c>
      <c r="CC89" s="299">
        <v>45</v>
      </c>
      <c r="CD89" s="299">
        <v>45</v>
      </c>
      <c r="CE89" s="299">
        <v>45</v>
      </c>
      <c r="CF89" s="299">
        <v>45</v>
      </c>
      <c r="CG89" s="299">
        <v>45</v>
      </c>
      <c r="CH89" s="299">
        <v>45</v>
      </c>
      <c r="CI89" s="299">
        <v>45</v>
      </c>
      <c r="CJ89" s="299">
        <v>45</v>
      </c>
      <c r="CK89" s="299">
        <v>45</v>
      </c>
      <c r="CL89" s="299">
        <v>45</v>
      </c>
      <c r="CM89" s="299">
        <v>45</v>
      </c>
      <c r="CN89" s="299">
        <v>45</v>
      </c>
      <c r="CO89" s="299">
        <v>45</v>
      </c>
      <c r="CP89" s="299">
        <v>45</v>
      </c>
      <c r="CQ89" s="299">
        <v>45</v>
      </c>
      <c r="CR89" s="299">
        <v>45</v>
      </c>
      <c r="CS89" s="299">
        <v>45</v>
      </c>
      <c r="CT89" s="299">
        <v>45</v>
      </c>
      <c r="CU89" s="299">
        <v>45</v>
      </c>
      <c r="CV89" s="299">
        <v>45</v>
      </c>
      <c r="CW89" s="299">
        <v>45</v>
      </c>
      <c r="CX89" s="299">
        <v>45</v>
      </c>
      <c r="CY89" s="299">
        <v>45</v>
      </c>
      <c r="CZ89" s="299">
        <v>45</v>
      </c>
      <c r="DA89" s="299">
        <v>45</v>
      </c>
      <c r="DB89" s="299">
        <v>45</v>
      </c>
      <c r="DC89" s="299">
        <v>45</v>
      </c>
      <c r="DD89" s="299">
        <v>45</v>
      </c>
      <c r="DE89" s="299">
        <v>45</v>
      </c>
      <c r="DF89" s="299">
        <v>45</v>
      </c>
      <c r="DG89" s="299">
        <v>45</v>
      </c>
      <c r="DH89" s="299">
        <v>45</v>
      </c>
      <c r="DI89" s="299">
        <v>45</v>
      </c>
      <c r="DJ89" s="299">
        <v>45</v>
      </c>
      <c r="DK89" s="299">
        <v>45</v>
      </c>
      <c r="DL89" s="299">
        <v>45</v>
      </c>
      <c r="DM89" s="299">
        <v>45</v>
      </c>
      <c r="DN89" s="299">
        <v>45</v>
      </c>
      <c r="DO89" s="299">
        <v>45</v>
      </c>
      <c r="DP89" s="299">
        <v>45</v>
      </c>
      <c r="DQ89" s="299">
        <v>45</v>
      </c>
      <c r="DR89" s="299"/>
      <c r="DS89" s="299"/>
      <c r="DT89" s="299">
        <v>45</v>
      </c>
      <c r="DU89" s="299">
        <v>45</v>
      </c>
      <c r="DV89" s="299">
        <v>45</v>
      </c>
      <c r="DW89" s="299">
        <v>45</v>
      </c>
      <c r="DX89" s="299">
        <v>45</v>
      </c>
      <c r="DY89" s="299">
        <v>45</v>
      </c>
      <c r="DZ89" s="299">
        <v>45</v>
      </c>
      <c r="EA89" s="299">
        <v>45</v>
      </c>
      <c r="EB89" s="299">
        <v>45</v>
      </c>
      <c r="EC89" s="299">
        <v>45</v>
      </c>
      <c r="ED89" s="299">
        <v>45</v>
      </c>
      <c r="EE89" s="299">
        <v>45</v>
      </c>
      <c r="EF89" s="299">
        <v>45</v>
      </c>
      <c r="EG89" s="299">
        <v>45</v>
      </c>
      <c r="EH89" s="299">
        <v>45</v>
      </c>
      <c r="EI89" s="299">
        <v>45</v>
      </c>
      <c r="EJ89" s="299">
        <v>45</v>
      </c>
      <c r="EK89" s="299">
        <v>45</v>
      </c>
      <c r="EL89" s="299">
        <v>45</v>
      </c>
      <c r="EM89" s="299">
        <v>45</v>
      </c>
      <c r="EN89" s="299">
        <v>45</v>
      </c>
      <c r="EO89" s="299">
        <v>45</v>
      </c>
      <c r="EP89" s="299">
        <v>45</v>
      </c>
      <c r="EQ89" s="299">
        <v>45</v>
      </c>
      <c r="ER89" s="299">
        <v>45</v>
      </c>
      <c r="ES89" s="299">
        <v>45</v>
      </c>
      <c r="ET89" s="329">
        <v>45</v>
      </c>
      <c r="EU89" s="327"/>
      <c r="EV89" s="327"/>
      <c r="EW89" s="327"/>
      <c r="EX89" s="327"/>
      <c r="EY89" s="327"/>
      <c r="EZ89" s="327"/>
      <c r="FA89" s="327"/>
      <c r="FB89" s="327"/>
      <c r="FC89" s="327"/>
      <c r="FD89" s="327"/>
      <c r="FE89" s="327"/>
      <c r="FF89" s="327"/>
      <c r="FG89" s="327"/>
      <c r="FH89" s="327"/>
      <c r="FI89" s="327"/>
      <c r="FJ89" s="327"/>
      <c r="FK89" s="327"/>
      <c r="FL89" s="327"/>
      <c r="FM89" s="327"/>
      <c r="FN89" s="327"/>
      <c r="FO89" s="327"/>
      <c r="FP89" s="327"/>
      <c r="FQ89" s="300" t="e">
        <f t="shared" ca="1" si="94"/>
        <v>#VALUE!</v>
      </c>
      <c r="FR89" s="300" t="e">
        <f t="shared" ca="1" si="96"/>
        <v>#VALUE!</v>
      </c>
      <c r="FS89" s="300" t="e">
        <f t="shared" ca="1" si="96"/>
        <v>#VALUE!</v>
      </c>
      <c r="FT89" s="300" t="e">
        <f t="shared" ca="1" si="96"/>
        <v>#VALUE!</v>
      </c>
      <c r="FU89" s="300" t="e">
        <f t="shared" ca="1" si="96"/>
        <v>#VALUE!</v>
      </c>
      <c r="FV89" s="300" t="e">
        <f t="shared" ca="1" si="96"/>
        <v>#VALUE!</v>
      </c>
      <c r="FW89" s="300" t="e">
        <f t="shared" ca="1" si="96"/>
        <v>#VALUE!</v>
      </c>
      <c r="FX89" s="300" t="e">
        <f t="shared" ca="1" si="96"/>
        <v>#VALUE!</v>
      </c>
      <c r="FY89" s="300" t="e">
        <f t="shared" ca="1" si="96"/>
        <v>#VALUE!</v>
      </c>
      <c r="FZ89" s="300" t="e">
        <f t="shared" ca="1" si="96"/>
        <v>#VALUE!</v>
      </c>
      <c r="GA89" s="301" t="e">
        <f t="shared" ca="1" si="96"/>
        <v>#VALUE!</v>
      </c>
      <c r="GB89" s="301" t="e">
        <f t="shared" ca="1" si="97"/>
        <v>#VALUE!</v>
      </c>
      <c r="GC89" s="301" t="e">
        <f t="shared" ca="1" si="97"/>
        <v>#VALUE!</v>
      </c>
      <c r="GD89" s="301" t="e">
        <f t="shared" ca="1" si="97"/>
        <v>#VALUE!</v>
      </c>
      <c r="GE89" s="301" t="e">
        <f t="shared" ca="1" si="97"/>
        <v>#VALUE!</v>
      </c>
      <c r="GF89" s="301" t="e">
        <f t="shared" ca="1" si="97"/>
        <v>#VALUE!</v>
      </c>
      <c r="GG89" s="301" t="e">
        <f t="shared" ca="1" si="97"/>
        <v>#VALUE!</v>
      </c>
      <c r="GH89" s="301" t="e">
        <f t="shared" ca="1" si="97"/>
        <v>#VALUE!</v>
      </c>
      <c r="GI89" s="301" t="e">
        <f t="shared" ca="1" si="97"/>
        <v>#VALUE!</v>
      </c>
      <c r="GJ89" s="301" t="e">
        <f t="shared" ca="1" si="97"/>
        <v>#VALUE!</v>
      </c>
      <c r="GK89" s="301" t="e">
        <f t="shared" ca="1" si="97"/>
        <v>#VALUE!</v>
      </c>
      <c r="GL89" s="301" t="e">
        <f t="shared" ca="1" si="97"/>
        <v>#VALUE!</v>
      </c>
      <c r="GM89" s="301" t="e">
        <f t="shared" ca="1" si="97"/>
        <v>#VALUE!</v>
      </c>
      <c r="GN89" s="302" t="e">
        <f t="shared" ca="1" si="97"/>
        <v>#VALUE!</v>
      </c>
      <c r="GO89" s="302" t="e">
        <f t="shared" ca="1" si="97"/>
        <v>#VALUE!</v>
      </c>
    </row>
    <row r="90" spans="1:197">
      <c r="A90" s="291"/>
      <c r="B90" s="292" t="s">
        <v>85</v>
      </c>
      <c r="C90" s="292" t="s">
        <v>195</v>
      </c>
      <c r="D90" s="292" t="s">
        <v>222</v>
      </c>
      <c r="E90" s="292" t="s">
        <v>438</v>
      </c>
      <c r="F90" s="292" t="s">
        <v>184</v>
      </c>
      <c r="G90" s="292" t="s">
        <v>350</v>
      </c>
      <c r="H90" s="292" t="s">
        <v>351</v>
      </c>
      <c r="I90" s="292" t="s">
        <v>352</v>
      </c>
      <c r="J90" s="292" t="s">
        <v>184</v>
      </c>
      <c r="K90" s="292" t="s">
        <v>353</v>
      </c>
      <c r="L90" s="292" t="s">
        <v>359</v>
      </c>
      <c r="M90" s="292" t="s">
        <v>363</v>
      </c>
      <c r="N90" s="292" t="str">
        <f t="shared" si="86"/>
        <v>PTD-Manufacturing - QM</v>
      </c>
      <c r="O90" s="292" t="str">
        <f t="shared" si="87"/>
        <v>Technology-Analyst-India-Consulting</v>
      </c>
      <c r="P90" s="292" t="str">
        <f t="shared" si="88"/>
        <v>PTD - Technology</v>
      </c>
      <c r="Q90" s="293">
        <f t="shared" si="83"/>
        <v>129600</v>
      </c>
      <c r="R90" s="294">
        <f t="shared" si="84"/>
        <v>0</v>
      </c>
      <c r="S90" s="295">
        <f t="shared" si="89"/>
        <v>0</v>
      </c>
      <c r="T90" s="295">
        <f t="shared" si="85"/>
        <v>2700</v>
      </c>
      <c r="U90" s="296" t="str">
        <f t="shared" si="90"/>
        <v>Technology - Analyst</v>
      </c>
      <c r="V90" s="295" t="str">
        <f t="shared" si="91"/>
        <v>0-1 years</v>
      </c>
      <c r="W90" s="292" t="str">
        <f t="shared" si="92"/>
        <v>Offshore</v>
      </c>
      <c r="X90" s="292" t="s">
        <v>261</v>
      </c>
      <c r="Y90" s="292" t="s">
        <v>259</v>
      </c>
      <c r="Z90" s="292" t="s">
        <v>384</v>
      </c>
      <c r="AA90" s="297">
        <f>[1]Resourcing!QD94</f>
        <v>54.143076923076897</v>
      </c>
      <c r="AB90" s="298">
        <f t="shared" si="93"/>
        <v>48</v>
      </c>
      <c r="AC90" s="327"/>
      <c r="AD90" s="327"/>
      <c r="AE90" s="327"/>
      <c r="AF90" s="327"/>
      <c r="AG90" s="327"/>
      <c r="AH90" s="327"/>
      <c r="AI90" s="327"/>
      <c r="AJ90" s="327"/>
      <c r="AK90" s="327"/>
      <c r="AL90" s="327"/>
      <c r="AM90" s="327"/>
      <c r="AN90" s="327"/>
      <c r="AO90" s="327"/>
      <c r="AP90" s="327"/>
      <c r="AQ90" s="327"/>
      <c r="AR90" s="327"/>
      <c r="AS90" s="327"/>
      <c r="AT90" s="327"/>
      <c r="AU90" s="327"/>
      <c r="AV90" s="327"/>
      <c r="AW90" s="327"/>
      <c r="AX90" s="327"/>
      <c r="AY90" s="327"/>
      <c r="AZ90" s="327"/>
      <c r="BA90" s="327"/>
      <c r="BB90" s="327"/>
      <c r="BC90" s="330"/>
      <c r="BD90" s="326"/>
      <c r="BE90" s="326"/>
      <c r="BF90" s="326"/>
      <c r="BG90" s="326"/>
      <c r="BH90" s="326"/>
      <c r="BI90" s="326"/>
      <c r="BJ90" s="326"/>
      <c r="BK90" s="326"/>
      <c r="BL90" s="326"/>
      <c r="BM90" s="326"/>
      <c r="BN90" s="326"/>
      <c r="BO90" s="326"/>
      <c r="BP90" s="326"/>
      <c r="BQ90" s="326"/>
      <c r="BR90" s="326"/>
      <c r="BS90" s="326"/>
      <c r="BT90" s="326"/>
      <c r="BU90" s="326"/>
      <c r="BV90" s="326"/>
      <c r="BW90" s="326"/>
      <c r="BX90" s="326"/>
      <c r="BY90" s="332">
        <v>0</v>
      </c>
      <c r="BZ90" s="332">
        <v>0</v>
      </c>
      <c r="CA90" s="332">
        <v>0</v>
      </c>
      <c r="CB90" s="332">
        <v>0</v>
      </c>
      <c r="CC90" s="332">
        <v>0</v>
      </c>
      <c r="CD90" s="332">
        <v>0</v>
      </c>
      <c r="CE90" s="332">
        <v>0</v>
      </c>
      <c r="CF90" s="332">
        <v>0</v>
      </c>
      <c r="CG90" s="332">
        <v>0</v>
      </c>
      <c r="CH90" s="332">
        <v>0</v>
      </c>
      <c r="CI90" s="332">
        <v>0</v>
      </c>
      <c r="CJ90" s="332">
        <v>0</v>
      </c>
      <c r="CK90" s="326">
        <v>45</v>
      </c>
      <c r="CL90" s="326">
        <v>45</v>
      </c>
      <c r="CM90" s="326">
        <v>45</v>
      </c>
      <c r="CN90" s="326">
        <v>45</v>
      </c>
      <c r="CO90" s="299">
        <v>45</v>
      </c>
      <c r="CP90" s="299">
        <v>45</v>
      </c>
      <c r="CQ90" s="299">
        <v>45</v>
      </c>
      <c r="CR90" s="299">
        <v>45</v>
      </c>
      <c r="CS90" s="299">
        <v>45</v>
      </c>
      <c r="CT90" s="299">
        <v>45</v>
      </c>
      <c r="CU90" s="299">
        <v>45</v>
      </c>
      <c r="CV90" s="299">
        <v>45</v>
      </c>
      <c r="CW90" s="299">
        <v>45</v>
      </c>
      <c r="CX90" s="299">
        <v>45</v>
      </c>
      <c r="CY90" s="299">
        <v>45</v>
      </c>
      <c r="CZ90" s="299">
        <v>45</v>
      </c>
      <c r="DA90" s="299">
        <v>45</v>
      </c>
      <c r="DB90" s="299">
        <v>45</v>
      </c>
      <c r="DC90" s="299">
        <v>45</v>
      </c>
      <c r="DD90" s="299">
        <v>45</v>
      </c>
      <c r="DE90" s="299">
        <v>45</v>
      </c>
      <c r="DF90" s="299">
        <v>45</v>
      </c>
      <c r="DG90" s="299">
        <v>45</v>
      </c>
      <c r="DH90" s="299">
        <v>45</v>
      </c>
      <c r="DI90" s="299">
        <v>45</v>
      </c>
      <c r="DJ90" s="299">
        <v>45</v>
      </c>
      <c r="DK90" s="299">
        <v>45</v>
      </c>
      <c r="DL90" s="299">
        <v>45</v>
      </c>
      <c r="DM90" s="299">
        <v>45</v>
      </c>
      <c r="DN90" s="299">
        <v>45</v>
      </c>
      <c r="DO90" s="299">
        <v>45</v>
      </c>
      <c r="DP90" s="299">
        <v>45</v>
      </c>
      <c r="DQ90" s="299">
        <v>45</v>
      </c>
      <c r="DR90" s="299"/>
      <c r="DS90" s="299"/>
      <c r="DT90" s="299">
        <v>45</v>
      </c>
      <c r="DU90" s="299">
        <v>45</v>
      </c>
      <c r="DV90" s="299">
        <v>45</v>
      </c>
      <c r="DW90" s="299">
        <v>45</v>
      </c>
      <c r="DX90" s="299">
        <v>45</v>
      </c>
      <c r="DY90" s="299">
        <v>45</v>
      </c>
      <c r="DZ90" s="299">
        <v>45</v>
      </c>
      <c r="EA90" s="299">
        <v>45</v>
      </c>
      <c r="EB90" s="299">
        <v>45</v>
      </c>
      <c r="EC90" s="299">
        <v>45</v>
      </c>
      <c r="ED90" s="299">
        <v>45</v>
      </c>
      <c r="EE90" s="299">
        <v>45</v>
      </c>
      <c r="EF90" s="299">
        <v>45</v>
      </c>
      <c r="EG90" s="299">
        <v>45</v>
      </c>
      <c r="EH90" s="299">
        <v>45</v>
      </c>
      <c r="EI90" s="299">
        <v>45</v>
      </c>
      <c r="EJ90" s="299">
        <v>45</v>
      </c>
      <c r="EK90" s="299">
        <v>45</v>
      </c>
      <c r="EL90" s="299">
        <v>45</v>
      </c>
      <c r="EM90" s="299">
        <v>45</v>
      </c>
      <c r="EN90" s="299">
        <v>45</v>
      </c>
      <c r="EO90" s="299">
        <v>45</v>
      </c>
      <c r="EP90" s="299">
        <v>45</v>
      </c>
      <c r="EQ90" s="299">
        <v>45</v>
      </c>
      <c r="ER90" s="299">
        <v>45</v>
      </c>
      <c r="ES90" s="299">
        <v>45</v>
      </c>
      <c r="ET90" s="329">
        <v>45</v>
      </c>
      <c r="EU90" s="327"/>
      <c r="EV90" s="327"/>
      <c r="EW90" s="327"/>
      <c r="EX90" s="327"/>
      <c r="EY90" s="327"/>
      <c r="EZ90" s="327"/>
      <c r="FA90" s="327"/>
      <c r="FB90" s="327"/>
      <c r="FC90" s="327"/>
      <c r="FD90" s="327"/>
      <c r="FE90" s="327"/>
      <c r="FF90" s="327"/>
      <c r="FG90" s="327"/>
      <c r="FH90" s="327"/>
      <c r="FI90" s="327"/>
      <c r="FJ90" s="327"/>
      <c r="FK90" s="327"/>
      <c r="FL90" s="327"/>
      <c r="FM90" s="327"/>
      <c r="FN90" s="327"/>
      <c r="FO90" s="327"/>
      <c r="FP90" s="327"/>
      <c r="FQ90" s="300" t="e">
        <f t="shared" ca="1" si="94"/>
        <v>#VALUE!</v>
      </c>
      <c r="FR90" s="300" t="e">
        <f t="shared" ca="1" si="96"/>
        <v>#VALUE!</v>
      </c>
      <c r="FS90" s="300" t="e">
        <f t="shared" ca="1" si="96"/>
        <v>#VALUE!</v>
      </c>
      <c r="FT90" s="300" t="e">
        <f t="shared" ca="1" si="96"/>
        <v>#VALUE!</v>
      </c>
      <c r="FU90" s="300" t="e">
        <f t="shared" ca="1" si="96"/>
        <v>#VALUE!</v>
      </c>
      <c r="FV90" s="300" t="e">
        <f t="shared" ca="1" si="96"/>
        <v>#VALUE!</v>
      </c>
      <c r="FW90" s="300" t="e">
        <f t="shared" ca="1" si="96"/>
        <v>#VALUE!</v>
      </c>
      <c r="FX90" s="300" t="e">
        <f t="shared" ca="1" si="96"/>
        <v>#VALUE!</v>
      </c>
      <c r="FY90" s="300" t="e">
        <f t="shared" ca="1" si="96"/>
        <v>#VALUE!</v>
      </c>
      <c r="FZ90" s="300" t="e">
        <f t="shared" ca="1" si="96"/>
        <v>#VALUE!</v>
      </c>
      <c r="GA90" s="301" t="e">
        <f t="shared" ca="1" si="96"/>
        <v>#VALUE!</v>
      </c>
      <c r="GB90" s="301" t="e">
        <f t="shared" ca="1" si="97"/>
        <v>#VALUE!</v>
      </c>
      <c r="GC90" s="301" t="e">
        <f t="shared" ca="1" si="97"/>
        <v>#VALUE!</v>
      </c>
      <c r="GD90" s="301" t="e">
        <f t="shared" ca="1" si="97"/>
        <v>#VALUE!</v>
      </c>
      <c r="GE90" s="301" t="e">
        <f t="shared" ca="1" si="97"/>
        <v>#VALUE!</v>
      </c>
      <c r="GF90" s="301" t="e">
        <f t="shared" ca="1" si="97"/>
        <v>#VALUE!</v>
      </c>
      <c r="GG90" s="301" t="e">
        <f t="shared" ca="1" si="97"/>
        <v>#VALUE!</v>
      </c>
      <c r="GH90" s="301" t="e">
        <f t="shared" ca="1" si="97"/>
        <v>#VALUE!</v>
      </c>
      <c r="GI90" s="301" t="e">
        <f t="shared" ca="1" si="97"/>
        <v>#VALUE!</v>
      </c>
      <c r="GJ90" s="301" t="e">
        <f t="shared" ca="1" si="97"/>
        <v>#VALUE!</v>
      </c>
      <c r="GK90" s="301" t="e">
        <f t="shared" ca="1" si="97"/>
        <v>#VALUE!</v>
      </c>
      <c r="GL90" s="301" t="e">
        <f t="shared" ca="1" si="97"/>
        <v>#VALUE!</v>
      </c>
      <c r="GM90" s="301" t="e">
        <f t="shared" ca="1" si="97"/>
        <v>#VALUE!</v>
      </c>
      <c r="GN90" s="302" t="e">
        <f t="shared" ca="1" si="97"/>
        <v>#VALUE!</v>
      </c>
      <c r="GO90" s="302" t="e">
        <f t="shared" ca="1" si="97"/>
        <v>#VALUE!</v>
      </c>
    </row>
    <row r="91" spans="1:197">
      <c r="A91" s="291"/>
      <c r="B91" s="292" t="s">
        <v>85</v>
      </c>
      <c r="C91" s="292" t="s">
        <v>195</v>
      </c>
      <c r="D91" s="292" t="s">
        <v>221</v>
      </c>
      <c r="E91" s="325" t="s">
        <v>439</v>
      </c>
      <c r="F91" s="292" t="s">
        <v>184</v>
      </c>
      <c r="G91" s="292" t="s">
        <v>350</v>
      </c>
      <c r="H91" s="292" t="s">
        <v>351</v>
      </c>
      <c r="I91" s="292" t="s">
        <v>352</v>
      </c>
      <c r="J91" s="292" t="s">
        <v>184</v>
      </c>
      <c r="K91" s="292" t="s">
        <v>353</v>
      </c>
      <c r="L91" s="292" t="s">
        <v>359</v>
      </c>
      <c r="M91" s="292" t="s">
        <v>371</v>
      </c>
      <c r="N91" s="292" t="str">
        <f t="shared" si="86"/>
        <v>PTD-Manufacturing - PP</v>
      </c>
      <c r="O91" s="292" t="str">
        <f t="shared" si="87"/>
        <v>Technology-Consultant-India-Consulting</v>
      </c>
      <c r="P91" s="292" t="str">
        <f t="shared" si="88"/>
        <v>PTD - Technology</v>
      </c>
      <c r="Q91" s="293">
        <f t="shared" si="83"/>
        <v>0</v>
      </c>
      <c r="R91" s="294">
        <f t="shared" si="84"/>
        <v>0</v>
      </c>
      <c r="S91" s="295">
        <f t="shared" si="89"/>
        <v>0</v>
      </c>
      <c r="T91" s="295">
        <f t="shared" si="85"/>
        <v>0</v>
      </c>
      <c r="U91" s="296" t="str">
        <f t="shared" si="90"/>
        <v>Technology - Consultant</v>
      </c>
      <c r="V91" s="295" t="str">
        <f t="shared" si="91"/>
        <v>1-3 years</v>
      </c>
      <c r="W91" s="292" t="str">
        <f t="shared" si="92"/>
        <v>Offshore</v>
      </c>
      <c r="X91" s="292" t="s">
        <v>261</v>
      </c>
      <c r="Y91" s="292" t="s">
        <v>259</v>
      </c>
      <c r="Z91" s="292" t="s">
        <v>368</v>
      </c>
      <c r="AA91" s="297">
        <f>[1]Resourcing!QD95</f>
        <v>43.46</v>
      </c>
      <c r="AB91" s="298">
        <f t="shared" si="93"/>
        <v>60</v>
      </c>
      <c r="AC91" s="327"/>
      <c r="AD91" s="327"/>
      <c r="AE91" s="327"/>
      <c r="AF91" s="327"/>
      <c r="AG91" s="327"/>
      <c r="AH91" s="327"/>
      <c r="AI91" s="327"/>
      <c r="AJ91" s="327"/>
      <c r="AK91" s="327"/>
      <c r="AL91" s="327"/>
      <c r="AM91" s="327"/>
      <c r="AN91" s="327"/>
      <c r="AO91" s="327"/>
      <c r="AP91" s="327"/>
      <c r="AQ91" s="327"/>
      <c r="AR91" s="327"/>
      <c r="AS91" s="327"/>
      <c r="AT91" s="327"/>
      <c r="AU91" s="327"/>
      <c r="AV91" s="327"/>
      <c r="AW91" s="327"/>
      <c r="AX91" s="327"/>
      <c r="AY91" s="327"/>
      <c r="AZ91" s="327"/>
      <c r="BA91" s="327"/>
      <c r="BB91" s="327"/>
      <c r="BC91" s="327"/>
      <c r="BD91" s="327"/>
      <c r="BE91" s="327"/>
      <c r="BF91" s="327"/>
      <c r="BG91" s="327"/>
      <c r="BH91" s="327"/>
      <c r="BI91" s="327"/>
      <c r="BJ91" s="327"/>
      <c r="BK91" s="327"/>
      <c r="BL91" s="327"/>
      <c r="BM91" s="327"/>
      <c r="BN91" s="327"/>
      <c r="BO91" s="327"/>
      <c r="BP91" s="327"/>
      <c r="BQ91" s="327"/>
      <c r="BR91" s="327"/>
      <c r="BS91" s="327"/>
      <c r="BT91" s="327"/>
      <c r="BU91" s="327"/>
      <c r="BV91" s="327"/>
      <c r="BW91" s="327"/>
      <c r="BX91" s="327"/>
      <c r="BY91" s="327"/>
      <c r="BZ91" s="327"/>
      <c r="CA91" s="327"/>
      <c r="CB91" s="327"/>
      <c r="CC91" s="327"/>
      <c r="CD91" s="327"/>
      <c r="CE91" s="327"/>
      <c r="CF91" s="327"/>
      <c r="CG91" s="327"/>
      <c r="CH91" s="327"/>
      <c r="CI91" s="327"/>
      <c r="CJ91" s="327"/>
      <c r="CK91" s="327"/>
      <c r="CL91" s="327"/>
      <c r="CM91" s="327"/>
      <c r="CN91" s="327"/>
      <c r="CO91" s="327"/>
      <c r="CP91" s="327"/>
      <c r="CQ91" s="327"/>
      <c r="CR91" s="327"/>
      <c r="CS91" s="327"/>
      <c r="CT91" s="327"/>
      <c r="CU91" s="327"/>
      <c r="CV91" s="327"/>
      <c r="CW91" s="327"/>
      <c r="CX91" s="327"/>
      <c r="CY91" s="327"/>
      <c r="CZ91" s="327"/>
      <c r="DA91" s="326"/>
      <c r="DB91" s="326"/>
      <c r="DC91" s="326"/>
      <c r="DD91" s="326"/>
      <c r="DE91" s="326"/>
      <c r="DF91" s="326"/>
      <c r="DG91" s="326"/>
      <c r="DH91" s="326"/>
      <c r="DI91" s="326"/>
      <c r="DJ91" s="326"/>
      <c r="DK91" s="326"/>
      <c r="DL91" s="326"/>
      <c r="DM91" s="326"/>
      <c r="DN91" s="326"/>
      <c r="DO91" s="326"/>
      <c r="DP91" s="326"/>
      <c r="DQ91" s="326"/>
      <c r="DR91" s="326"/>
      <c r="DS91" s="326"/>
      <c r="DT91" s="326"/>
      <c r="DU91" s="326"/>
      <c r="DV91" s="326"/>
      <c r="DW91" s="326"/>
      <c r="DX91" s="326"/>
      <c r="DY91" s="326"/>
      <c r="DZ91" s="326"/>
      <c r="EA91" s="326"/>
      <c r="EB91" s="326"/>
      <c r="EC91" s="326"/>
      <c r="ED91" s="326"/>
      <c r="EE91" s="326"/>
      <c r="EF91" s="326"/>
      <c r="EG91" s="326"/>
      <c r="EH91" s="326"/>
      <c r="EI91" s="326"/>
      <c r="EJ91" s="326"/>
      <c r="EK91" s="326"/>
      <c r="EL91" s="326"/>
      <c r="EM91" s="326"/>
      <c r="EN91" s="326"/>
      <c r="EO91" s="326"/>
      <c r="EP91" s="326"/>
      <c r="EQ91" s="326"/>
      <c r="ER91" s="326"/>
      <c r="ES91" s="326"/>
      <c r="ET91" s="326"/>
      <c r="EU91" s="333"/>
      <c r="EV91" s="333"/>
      <c r="EW91" s="333"/>
      <c r="EX91" s="333"/>
      <c r="EY91" s="333"/>
      <c r="EZ91" s="333"/>
      <c r="FA91" s="333"/>
      <c r="FB91" s="333"/>
      <c r="FC91" s="333"/>
      <c r="FD91" s="333"/>
      <c r="FE91" s="333"/>
      <c r="FF91" s="333"/>
      <c r="FG91" s="333"/>
      <c r="FH91" s="333"/>
      <c r="FI91" s="333"/>
      <c r="FJ91" s="333"/>
      <c r="FK91" s="333"/>
      <c r="FL91" s="333"/>
      <c r="FM91" s="333"/>
      <c r="FN91" s="333"/>
      <c r="FO91" s="333"/>
      <c r="FP91" s="333"/>
      <c r="FQ91" s="300" t="e">
        <f t="shared" ca="1" si="94"/>
        <v>#VALUE!</v>
      </c>
      <c r="FR91" s="300" t="e">
        <f t="shared" ca="1" si="96"/>
        <v>#VALUE!</v>
      </c>
      <c r="FS91" s="300" t="e">
        <f t="shared" ca="1" si="96"/>
        <v>#VALUE!</v>
      </c>
      <c r="FT91" s="300" t="e">
        <f t="shared" ca="1" si="96"/>
        <v>#VALUE!</v>
      </c>
      <c r="FU91" s="300" t="e">
        <f t="shared" ca="1" si="96"/>
        <v>#VALUE!</v>
      </c>
      <c r="FV91" s="300" t="e">
        <f t="shared" ca="1" si="96"/>
        <v>#VALUE!</v>
      </c>
      <c r="FW91" s="300" t="e">
        <f t="shared" ca="1" si="96"/>
        <v>#VALUE!</v>
      </c>
      <c r="FX91" s="300" t="e">
        <f t="shared" ca="1" si="96"/>
        <v>#VALUE!</v>
      </c>
      <c r="FY91" s="300" t="e">
        <f t="shared" ca="1" si="96"/>
        <v>#VALUE!</v>
      </c>
      <c r="FZ91" s="300" t="e">
        <f t="shared" ca="1" si="96"/>
        <v>#VALUE!</v>
      </c>
      <c r="GA91" s="301" t="e">
        <f t="shared" ca="1" si="96"/>
        <v>#VALUE!</v>
      </c>
      <c r="GB91" s="301" t="e">
        <f t="shared" ca="1" si="97"/>
        <v>#VALUE!</v>
      </c>
      <c r="GC91" s="301" t="e">
        <f t="shared" ca="1" si="97"/>
        <v>#VALUE!</v>
      </c>
      <c r="GD91" s="301" t="e">
        <f t="shared" ca="1" si="97"/>
        <v>#VALUE!</v>
      </c>
      <c r="GE91" s="301" t="e">
        <f t="shared" ca="1" si="97"/>
        <v>#VALUE!</v>
      </c>
      <c r="GF91" s="301" t="e">
        <f t="shared" ca="1" si="97"/>
        <v>#VALUE!</v>
      </c>
      <c r="GG91" s="301" t="e">
        <f t="shared" ca="1" si="97"/>
        <v>#VALUE!</v>
      </c>
      <c r="GH91" s="301" t="e">
        <f t="shared" ca="1" si="97"/>
        <v>#VALUE!</v>
      </c>
      <c r="GI91" s="301" t="e">
        <f t="shared" ca="1" si="97"/>
        <v>#VALUE!</v>
      </c>
      <c r="GJ91" s="301" t="e">
        <f t="shared" ca="1" si="97"/>
        <v>#VALUE!</v>
      </c>
      <c r="GK91" s="301" t="e">
        <f t="shared" ca="1" si="97"/>
        <v>#VALUE!</v>
      </c>
      <c r="GL91" s="301" t="e">
        <f t="shared" ca="1" si="97"/>
        <v>#VALUE!</v>
      </c>
      <c r="GM91" s="301" t="e">
        <f t="shared" ca="1" si="97"/>
        <v>#VALUE!</v>
      </c>
      <c r="GN91" s="302" t="e">
        <f t="shared" ca="1" si="97"/>
        <v>#VALUE!</v>
      </c>
      <c r="GO91" s="302" t="e">
        <f t="shared" ca="1" si="97"/>
        <v>#VALUE!</v>
      </c>
    </row>
    <row r="92" spans="1:197">
      <c r="A92" s="291"/>
      <c r="B92" s="292" t="s">
        <v>85</v>
      </c>
      <c r="C92" s="292" t="s">
        <v>195</v>
      </c>
      <c r="D92" s="292" t="s">
        <v>221</v>
      </c>
      <c r="E92" s="325" t="s">
        <v>440</v>
      </c>
      <c r="F92" s="292" t="s">
        <v>184</v>
      </c>
      <c r="G92" s="292" t="s">
        <v>350</v>
      </c>
      <c r="H92" s="292" t="s">
        <v>351</v>
      </c>
      <c r="I92" s="292" t="s">
        <v>352</v>
      </c>
      <c r="J92" s="292" t="s">
        <v>184</v>
      </c>
      <c r="K92" s="292" t="s">
        <v>353</v>
      </c>
      <c r="L92" s="292" t="s">
        <v>359</v>
      </c>
      <c r="M92" s="292" t="s">
        <v>371</v>
      </c>
      <c r="N92" s="292" t="str">
        <f t="shared" si="86"/>
        <v>PTD-Manufacturing - PP</v>
      </c>
      <c r="O92" s="292" t="str">
        <f t="shared" si="87"/>
        <v>Technology-Consultant-India-Consulting</v>
      </c>
      <c r="P92" s="292" t="str">
        <f t="shared" si="88"/>
        <v>PTD - Technology</v>
      </c>
      <c r="Q92" s="293">
        <f t="shared" si="83"/>
        <v>0</v>
      </c>
      <c r="R92" s="294">
        <f t="shared" si="84"/>
        <v>0</v>
      </c>
      <c r="S92" s="295">
        <f t="shared" si="89"/>
        <v>0</v>
      </c>
      <c r="T92" s="295">
        <f t="shared" si="85"/>
        <v>0</v>
      </c>
      <c r="U92" s="296" t="str">
        <f t="shared" si="90"/>
        <v>Technology - Consultant</v>
      </c>
      <c r="V92" s="295" t="str">
        <f t="shared" si="91"/>
        <v>1-3 years</v>
      </c>
      <c r="W92" s="292" t="str">
        <f t="shared" si="92"/>
        <v>Offshore</v>
      </c>
      <c r="X92" s="292" t="s">
        <v>261</v>
      </c>
      <c r="Y92" s="292" t="s">
        <v>259</v>
      </c>
      <c r="Z92" s="292" t="s">
        <v>368</v>
      </c>
      <c r="AA92" s="297">
        <f>[1]Resourcing!QD96</f>
        <v>62.440434782608698</v>
      </c>
      <c r="AB92" s="298">
        <f t="shared" si="93"/>
        <v>60</v>
      </c>
      <c r="AC92" s="327"/>
      <c r="AD92" s="327"/>
      <c r="AE92" s="327"/>
      <c r="AF92" s="327"/>
      <c r="AG92" s="327"/>
      <c r="AH92" s="327"/>
      <c r="AI92" s="327"/>
      <c r="AJ92" s="327"/>
      <c r="AK92" s="327"/>
      <c r="AL92" s="327"/>
      <c r="AM92" s="327"/>
      <c r="AN92" s="327"/>
      <c r="AO92" s="327"/>
      <c r="AP92" s="327"/>
      <c r="AQ92" s="327"/>
      <c r="AR92" s="327"/>
      <c r="AS92" s="327"/>
      <c r="AT92" s="327"/>
      <c r="AU92" s="327"/>
      <c r="AV92" s="327"/>
      <c r="AW92" s="327"/>
      <c r="AX92" s="327"/>
      <c r="AY92" s="327"/>
      <c r="AZ92" s="327"/>
      <c r="BA92" s="327"/>
      <c r="BB92" s="327"/>
      <c r="BC92" s="327"/>
      <c r="BD92" s="327"/>
      <c r="BE92" s="327"/>
      <c r="BF92" s="327"/>
      <c r="BG92" s="327"/>
      <c r="BH92" s="327"/>
      <c r="BI92" s="327"/>
      <c r="BJ92" s="327"/>
      <c r="BK92" s="327"/>
      <c r="BL92" s="327"/>
      <c r="BM92" s="327"/>
      <c r="BN92" s="327"/>
      <c r="BO92" s="327"/>
      <c r="BP92" s="327"/>
      <c r="BQ92" s="327"/>
      <c r="BR92" s="327"/>
      <c r="BS92" s="327"/>
      <c r="BT92" s="327"/>
      <c r="BU92" s="327"/>
      <c r="BV92" s="327"/>
      <c r="BW92" s="327"/>
      <c r="BX92" s="327"/>
      <c r="BY92" s="327"/>
      <c r="BZ92" s="327"/>
      <c r="CA92" s="327"/>
      <c r="CB92" s="327"/>
      <c r="CC92" s="327"/>
      <c r="CD92" s="327"/>
      <c r="CE92" s="327"/>
      <c r="CF92" s="327"/>
      <c r="CG92" s="327"/>
      <c r="CH92" s="327"/>
      <c r="CI92" s="327"/>
      <c r="CJ92" s="327"/>
      <c r="CK92" s="327"/>
      <c r="CL92" s="327"/>
      <c r="CM92" s="327"/>
      <c r="CN92" s="327"/>
      <c r="CO92" s="327"/>
      <c r="CP92" s="327"/>
      <c r="CQ92" s="327"/>
      <c r="CR92" s="327"/>
      <c r="CS92" s="327"/>
      <c r="CT92" s="327"/>
      <c r="CU92" s="327"/>
      <c r="CV92" s="327"/>
      <c r="CW92" s="327"/>
      <c r="CX92" s="327"/>
      <c r="CY92" s="327"/>
      <c r="CZ92" s="327"/>
      <c r="DA92" s="326"/>
      <c r="DB92" s="326"/>
      <c r="DC92" s="326"/>
      <c r="DD92" s="326"/>
      <c r="DE92" s="326"/>
      <c r="DF92" s="326"/>
      <c r="DG92" s="326"/>
      <c r="DH92" s="326"/>
      <c r="DI92" s="326"/>
      <c r="DJ92" s="326"/>
      <c r="DK92" s="326"/>
      <c r="DL92" s="326"/>
      <c r="DM92" s="326"/>
      <c r="DN92" s="326"/>
      <c r="DO92" s="326"/>
      <c r="DP92" s="326"/>
      <c r="DQ92" s="326"/>
      <c r="DR92" s="326"/>
      <c r="DS92" s="326"/>
      <c r="DT92" s="326"/>
      <c r="DU92" s="326"/>
      <c r="DV92" s="326"/>
      <c r="DW92" s="326"/>
      <c r="DX92" s="326"/>
      <c r="DY92" s="326"/>
      <c r="DZ92" s="326"/>
      <c r="EA92" s="326"/>
      <c r="EB92" s="326"/>
      <c r="EC92" s="326"/>
      <c r="ED92" s="326"/>
      <c r="EE92" s="326"/>
      <c r="EF92" s="326"/>
      <c r="EG92" s="326"/>
      <c r="EH92" s="326"/>
      <c r="EI92" s="326"/>
      <c r="EJ92" s="326"/>
      <c r="EK92" s="326"/>
      <c r="EL92" s="326"/>
      <c r="EM92" s="326"/>
      <c r="EN92" s="326"/>
      <c r="EO92" s="326"/>
      <c r="EP92" s="326"/>
      <c r="EQ92" s="326"/>
      <c r="ER92" s="326"/>
      <c r="ES92" s="326"/>
      <c r="ET92" s="326"/>
      <c r="EU92" s="327"/>
      <c r="EV92" s="327"/>
      <c r="EW92" s="327"/>
      <c r="EX92" s="327"/>
      <c r="EY92" s="327"/>
      <c r="EZ92" s="327"/>
      <c r="FA92" s="327"/>
      <c r="FB92" s="327"/>
      <c r="FC92" s="327"/>
      <c r="FD92" s="327"/>
      <c r="FE92" s="327"/>
      <c r="FF92" s="327"/>
      <c r="FG92" s="327"/>
      <c r="FH92" s="327"/>
      <c r="FI92" s="327"/>
      <c r="FJ92" s="327"/>
      <c r="FK92" s="327"/>
      <c r="FL92" s="327"/>
      <c r="FM92" s="327"/>
      <c r="FN92" s="327"/>
      <c r="FO92" s="327"/>
      <c r="FP92" s="327"/>
      <c r="FQ92" s="300" t="e">
        <f t="shared" ca="1" si="94"/>
        <v>#VALUE!</v>
      </c>
      <c r="FR92" s="300" t="e">
        <f t="shared" ca="1" si="96"/>
        <v>#VALUE!</v>
      </c>
      <c r="FS92" s="300" t="e">
        <f t="shared" ca="1" si="96"/>
        <v>#VALUE!</v>
      </c>
      <c r="FT92" s="300" t="e">
        <f t="shared" ca="1" si="96"/>
        <v>#VALUE!</v>
      </c>
      <c r="FU92" s="300" t="e">
        <f t="shared" ca="1" si="96"/>
        <v>#VALUE!</v>
      </c>
      <c r="FV92" s="300" t="e">
        <f t="shared" ca="1" si="96"/>
        <v>#VALUE!</v>
      </c>
      <c r="FW92" s="300" t="e">
        <f t="shared" ca="1" si="96"/>
        <v>#VALUE!</v>
      </c>
      <c r="FX92" s="300" t="e">
        <f t="shared" ca="1" si="96"/>
        <v>#VALUE!</v>
      </c>
      <c r="FY92" s="300" t="e">
        <f t="shared" ca="1" si="96"/>
        <v>#VALUE!</v>
      </c>
      <c r="FZ92" s="300" t="e">
        <f t="shared" ca="1" si="96"/>
        <v>#VALUE!</v>
      </c>
      <c r="GA92" s="301" t="e">
        <f t="shared" ca="1" si="96"/>
        <v>#VALUE!</v>
      </c>
      <c r="GB92" s="301" t="e">
        <f t="shared" ca="1" si="97"/>
        <v>#VALUE!</v>
      </c>
      <c r="GC92" s="301" t="e">
        <f t="shared" ca="1" si="97"/>
        <v>#VALUE!</v>
      </c>
      <c r="GD92" s="301" t="e">
        <f t="shared" ca="1" si="97"/>
        <v>#VALUE!</v>
      </c>
      <c r="GE92" s="301" t="e">
        <f t="shared" ca="1" si="97"/>
        <v>#VALUE!</v>
      </c>
      <c r="GF92" s="301" t="e">
        <f t="shared" ca="1" si="97"/>
        <v>#VALUE!</v>
      </c>
      <c r="GG92" s="301" t="e">
        <f t="shared" ca="1" si="97"/>
        <v>#VALUE!</v>
      </c>
      <c r="GH92" s="301" t="e">
        <f t="shared" ca="1" si="97"/>
        <v>#VALUE!</v>
      </c>
      <c r="GI92" s="301" t="e">
        <f t="shared" ca="1" si="97"/>
        <v>#VALUE!</v>
      </c>
      <c r="GJ92" s="301" t="e">
        <f t="shared" ca="1" si="97"/>
        <v>#VALUE!</v>
      </c>
      <c r="GK92" s="301" t="e">
        <f t="shared" ca="1" si="97"/>
        <v>#VALUE!</v>
      </c>
      <c r="GL92" s="301" t="e">
        <f t="shared" ca="1" si="97"/>
        <v>#VALUE!</v>
      </c>
      <c r="GM92" s="301" t="e">
        <f t="shared" ca="1" si="97"/>
        <v>#VALUE!</v>
      </c>
      <c r="GN92" s="302" t="e">
        <f t="shared" ca="1" si="97"/>
        <v>#VALUE!</v>
      </c>
      <c r="GO92" s="302" t="e">
        <f t="shared" ca="1" si="97"/>
        <v>#VALUE!</v>
      </c>
    </row>
    <row r="93" spans="1:197">
      <c r="A93" s="291"/>
      <c r="B93" s="292" t="s">
        <v>85</v>
      </c>
      <c r="C93" s="292" t="s">
        <v>195</v>
      </c>
      <c r="D93" s="292" t="s">
        <v>221</v>
      </c>
      <c r="E93" s="325" t="s">
        <v>441</v>
      </c>
      <c r="F93" s="292" t="s">
        <v>184</v>
      </c>
      <c r="G93" s="292" t="s">
        <v>350</v>
      </c>
      <c r="H93" s="292" t="s">
        <v>351</v>
      </c>
      <c r="I93" s="292" t="s">
        <v>352</v>
      </c>
      <c r="J93" s="292" t="s">
        <v>184</v>
      </c>
      <c r="K93" s="292" t="s">
        <v>353</v>
      </c>
      <c r="L93" s="292" t="s">
        <v>359</v>
      </c>
      <c r="M93" s="292" t="s">
        <v>371</v>
      </c>
      <c r="N93" s="292" t="str">
        <f t="shared" si="86"/>
        <v>PTD-Manufacturing - PP</v>
      </c>
      <c r="O93" s="292" t="str">
        <f t="shared" si="87"/>
        <v>Technology-Consultant-India-Consulting</v>
      </c>
      <c r="P93" s="292" t="str">
        <f t="shared" si="88"/>
        <v>PTD - Technology</v>
      </c>
      <c r="Q93" s="293">
        <f t="shared" si="83"/>
        <v>0</v>
      </c>
      <c r="R93" s="294">
        <f t="shared" si="84"/>
        <v>0</v>
      </c>
      <c r="S93" s="295">
        <f t="shared" si="89"/>
        <v>0</v>
      </c>
      <c r="T93" s="295">
        <f t="shared" si="85"/>
        <v>0</v>
      </c>
      <c r="U93" s="296" t="str">
        <f t="shared" si="90"/>
        <v>Technology - Consultant</v>
      </c>
      <c r="V93" s="295" t="str">
        <f t="shared" si="91"/>
        <v>1-3 years</v>
      </c>
      <c r="W93" s="292" t="str">
        <f t="shared" si="92"/>
        <v>Offshore</v>
      </c>
      <c r="X93" s="292" t="s">
        <v>261</v>
      </c>
      <c r="Y93" s="292" t="s">
        <v>259</v>
      </c>
      <c r="Z93" s="292" t="s">
        <v>368</v>
      </c>
      <c r="AA93" s="297">
        <f>[1]Resourcing!QD97</f>
        <v>43.557000000000002</v>
      </c>
      <c r="AB93" s="298">
        <f t="shared" si="93"/>
        <v>60</v>
      </c>
      <c r="AC93" s="327"/>
      <c r="AD93" s="327"/>
      <c r="AE93" s="327"/>
      <c r="AF93" s="327"/>
      <c r="AG93" s="327"/>
      <c r="AH93" s="327"/>
      <c r="AI93" s="327"/>
      <c r="AJ93" s="327"/>
      <c r="AK93" s="327"/>
      <c r="AL93" s="327"/>
      <c r="AM93" s="327"/>
      <c r="AN93" s="327"/>
      <c r="AO93" s="327"/>
      <c r="AP93" s="327"/>
      <c r="AQ93" s="327"/>
      <c r="AR93" s="327"/>
      <c r="AS93" s="327"/>
      <c r="AT93" s="327"/>
      <c r="AU93" s="327"/>
      <c r="AV93" s="327"/>
      <c r="AW93" s="327"/>
      <c r="AX93" s="327"/>
      <c r="AY93" s="327"/>
      <c r="AZ93" s="327"/>
      <c r="BA93" s="327"/>
      <c r="BB93" s="327"/>
      <c r="BC93" s="327"/>
      <c r="BD93" s="327"/>
      <c r="BE93" s="327"/>
      <c r="BF93" s="327"/>
      <c r="BG93" s="327"/>
      <c r="BH93" s="327"/>
      <c r="BI93" s="327"/>
      <c r="BJ93" s="327"/>
      <c r="BK93" s="327"/>
      <c r="BL93" s="327"/>
      <c r="BM93" s="327"/>
      <c r="BN93" s="327"/>
      <c r="BO93" s="327"/>
      <c r="BP93" s="327"/>
      <c r="BQ93" s="327"/>
      <c r="BR93" s="327"/>
      <c r="BS93" s="327"/>
      <c r="BT93" s="327"/>
      <c r="BU93" s="327"/>
      <c r="BV93" s="327"/>
      <c r="BW93" s="327"/>
      <c r="BX93" s="327"/>
      <c r="BY93" s="327"/>
      <c r="BZ93" s="327"/>
      <c r="CA93" s="327"/>
      <c r="CB93" s="327"/>
      <c r="CC93" s="327"/>
      <c r="CD93" s="327"/>
      <c r="CE93" s="327"/>
      <c r="CF93" s="327"/>
      <c r="CG93" s="327"/>
      <c r="CH93" s="327"/>
      <c r="CI93" s="327"/>
      <c r="CJ93" s="327"/>
      <c r="CK93" s="327"/>
      <c r="CL93" s="327"/>
      <c r="CM93" s="327"/>
      <c r="CN93" s="327"/>
      <c r="CO93" s="327"/>
      <c r="CP93" s="327"/>
      <c r="CQ93" s="327"/>
      <c r="CR93" s="327"/>
      <c r="CS93" s="327"/>
      <c r="CT93" s="327"/>
      <c r="CU93" s="327"/>
      <c r="CV93" s="327"/>
      <c r="CW93" s="327"/>
      <c r="CX93" s="327"/>
      <c r="CY93" s="327"/>
      <c r="CZ93" s="327"/>
      <c r="DA93" s="326"/>
      <c r="DB93" s="326"/>
      <c r="DC93" s="326"/>
      <c r="DD93" s="326"/>
      <c r="DE93" s="326"/>
      <c r="DF93" s="326"/>
      <c r="DG93" s="326"/>
      <c r="DH93" s="326"/>
      <c r="DI93" s="326"/>
      <c r="DJ93" s="326"/>
      <c r="DK93" s="326"/>
      <c r="DL93" s="326"/>
      <c r="DM93" s="326"/>
      <c r="DN93" s="326"/>
      <c r="DO93" s="326"/>
      <c r="DP93" s="326"/>
      <c r="DQ93" s="326"/>
      <c r="DR93" s="326"/>
      <c r="DS93" s="326"/>
      <c r="DT93" s="326"/>
      <c r="DU93" s="326"/>
      <c r="DV93" s="326"/>
      <c r="DW93" s="326"/>
      <c r="DX93" s="326"/>
      <c r="DY93" s="326"/>
      <c r="DZ93" s="326"/>
      <c r="EA93" s="326"/>
      <c r="EB93" s="326"/>
      <c r="EC93" s="326"/>
      <c r="ED93" s="326"/>
      <c r="EE93" s="326"/>
      <c r="EF93" s="326"/>
      <c r="EG93" s="326"/>
      <c r="EH93" s="326"/>
      <c r="EI93" s="326"/>
      <c r="EJ93" s="326"/>
      <c r="EK93" s="326"/>
      <c r="EL93" s="326"/>
      <c r="EM93" s="326"/>
      <c r="EN93" s="326"/>
      <c r="EO93" s="326"/>
      <c r="EP93" s="326"/>
      <c r="EQ93" s="326"/>
      <c r="ER93" s="326"/>
      <c r="ES93" s="326"/>
      <c r="ET93" s="326"/>
      <c r="EU93" s="334"/>
      <c r="EV93" s="334"/>
      <c r="EW93" s="334"/>
      <c r="EX93" s="334"/>
      <c r="EY93" s="334"/>
      <c r="EZ93" s="334"/>
      <c r="FA93" s="334"/>
      <c r="FB93" s="334"/>
      <c r="FC93" s="334"/>
      <c r="FD93" s="334"/>
      <c r="FE93" s="334"/>
      <c r="FF93" s="334"/>
      <c r="FG93" s="334"/>
      <c r="FH93" s="334"/>
      <c r="FI93" s="334"/>
      <c r="FJ93" s="334"/>
      <c r="FK93" s="334"/>
      <c r="FL93" s="334"/>
      <c r="FM93" s="334"/>
      <c r="FN93" s="334"/>
      <c r="FO93" s="334"/>
      <c r="FP93" s="334"/>
      <c r="FQ93" s="300" t="e">
        <f t="shared" ca="1" si="94"/>
        <v>#VALUE!</v>
      </c>
      <c r="FR93" s="300" t="e">
        <f t="shared" ref="FR93:GA102" ca="1" si="98">SUMIF($AC$11:$FP$11,FR$12,$AC93:$FP93)</f>
        <v>#VALUE!</v>
      </c>
      <c r="FS93" s="300" t="e">
        <f t="shared" ca="1" si="98"/>
        <v>#VALUE!</v>
      </c>
      <c r="FT93" s="300" t="e">
        <f t="shared" ca="1" si="98"/>
        <v>#VALUE!</v>
      </c>
      <c r="FU93" s="300" t="e">
        <f t="shared" ca="1" si="98"/>
        <v>#VALUE!</v>
      </c>
      <c r="FV93" s="300" t="e">
        <f t="shared" ca="1" si="98"/>
        <v>#VALUE!</v>
      </c>
      <c r="FW93" s="300" t="e">
        <f t="shared" ca="1" si="98"/>
        <v>#VALUE!</v>
      </c>
      <c r="FX93" s="300" t="e">
        <f t="shared" ca="1" si="98"/>
        <v>#VALUE!</v>
      </c>
      <c r="FY93" s="300" t="e">
        <f t="shared" ca="1" si="98"/>
        <v>#VALUE!</v>
      </c>
      <c r="FZ93" s="300" t="e">
        <f t="shared" ca="1" si="98"/>
        <v>#VALUE!</v>
      </c>
      <c r="GA93" s="301" t="e">
        <f t="shared" ca="1" si="98"/>
        <v>#VALUE!</v>
      </c>
      <c r="GB93" s="301" t="e">
        <f t="shared" ref="GB93:GO102" ca="1" si="99">SUMIF($AC$11:$FP$11,GB$12,$AC93:$FP93)</f>
        <v>#VALUE!</v>
      </c>
      <c r="GC93" s="301" t="e">
        <f t="shared" ca="1" si="99"/>
        <v>#VALUE!</v>
      </c>
      <c r="GD93" s="301" t="e">
        <f t="shared" ca="1" si="99"/>
        <v>#VALUE!</v>
      </c>
      <c r="GE93" s="301" t="e">
        <f t="shared" ca="1" si="99"/>
        <v>#VALUE!</v>
      </c>
      <c r="GF93" s="301" t="e">
        <f t="shared" ca="1" si="99"/>
        <v>#VALUE!</v>
      </c>
      <c r="GG93" s="301" t="e">
        <f t="shared" ca="1" si="99"/>
        <v>#VALUE!</v>
      </c>
      <c r="GH93" s="301" t="e">
        <f t="shared" ca="1" si="99"/>
        <v>#VALUE!</v>
      </c>
      <c r="GI93" s="301" t="e">
        <f t="shared" ca="1" si="99"/>
        <v>#VALUE!</v>
      </c>
      <c r="GJ93" s="301" t="e">
        <f t="shared" ca="1" si="99"/>
        <v>#VALUE!</v>
      </c>
      <c r="GK93" s="301" t="e">
        <f t="shared" ca="1" si="99"/>
        <v>#VALUE!</v>
      </c>
      <c r="GL93" s="301" t="e">
        <f t="shared" ca="1" si="99"/>
        <v>#VALUE!</v>
      </c>
      <c r="GM93" s="301" t="e">
        <f t="shared" ca="1" si="99"/>
        <v>#VALUE!</v>
      </c>
      <c r="GN93" s="302" t="e">
        <f t="shared" ca="1" si="99"/>
        <v>#VALUE!</v>
      </c>
      <c r="GO93" s="302" t="e">
        <f t="shared" ca="1" si="99"/>
        <v>#VALUE!</v>
      </c>
    </row>
    <row r="94" spans="1:197">
      <c r="A94" s="291"/>
      <c r="B94" s="292" t="s">
        <v>85</v>
      </c>
      <c r="C94" s="292" t="s">
        <v>195</v>
      </c>
      <c r="D94" s="292" t="s">
        <v>220</v>
      </c>
      <c r="E94" s="292" t="s">
        <v>442</v>
      </c>
      <c r="F94" s="292" t="s">
        <v>184</v>
      </c>
      <c r="G94" s="292" t="s">
        <v>350</v>
      </c>
      <c r="H94" s="292" t="s">
        <v>351</v>
      </c>
      <c r="I94" s="292" t="s">
        <v>352</v>
      </c>
      <c r="J94" s="292" t="s">
        <v>184</v>
      </c>
      <c r="K94" s="292" t="s">
        <v>353</v>
      </c>
      <c r="L94" s="292" t="s">
        <v>359</v>
      </c>
      <c r="M94" s="292" t="s">
        <v>367</v>
      </c>
      <c r="N94" s="292" t="str">
        <f t="shared" si="86"/>
        <v>PTD-Manufacturing - PM</v>
      </c>
      <c r="O94" s="292" t="str">
        <f t="shared" si="87"/>
        <v>Technology-Senior Consultant-India-Consulting</v>
      </c>
      <c r="P94" s="292" t="str">
        <f t="shared" si="88"/>
        <v>PTD - Technology</v>
      </c>
      <c r="Q94" s="293">
        <f t="shared" si="83"/>
        <v>230040</v>
      </c>
      <c r="R94" s="294">
        <f t="shared" si="84"/>
        <v>0</v>
      </c>
      <c r="S94" s="295">
        <f t="shared" si="89"/>
        <v>0</v>
      </c>
      <c r="T94" s="295">
        <f t="shared" si="85"/>
        <v>3240</v>
      </c>
      <c r="U94" s="296" t="str">
        <f t="shared" si="90"/>
        <v>Technology - Senior Consultant</v>
      </c>
      <c r="V94" s="295" t="str">
        <f t="shared" si="91"/>
        <v>3-5 years</v>
      </c>
      <c r="W94" s="292" t="str">
        <f t="shared" si="92"/>
        <v>Offshore</v>
      </c>
      <c r="X94" s="292" t="s">
        <v>261</v>
      </c>
      <c r="Y94" s="292" t="s">
        <v>259</v>
      </c>
      <c r="Z94" s="292" t="s">
        <v>364</v>
      </c>
      <c r="AA94" s="297">
        <f>[1]Resourcing!QD98</f>
        <v>0</v>
      </c>
      <c r="AB94" s="298">
        <f t="shared" si="93"/>
        <v>71</v>
      </c>
      <c r="AC94" s="327"/>
      <c r="AD94" s="327"/>
      <c r="AE94" s="327"/>
      <c r="AF94" s="327"/>
      <c r="AG94" s="327"/>
      <c r="AH94" s="327"/>
      <c r="AI94" s="327"/>
      <c r="AJ94" s="327"/>
      <c r="AK94" s="327"/>
      <c r="AL94" s="327"/>
      <c r="AM94" s="327"/>
      <c r="AN94" s="327"/>
      <c r="AO94" s="327"/>
      <c r="AP94" s="327"/>
      <c r="AQ94" s="327"/>
      <c r="AR94" s="327"/>
      <c r="AS94" s="327"/>
      <c r="AT94" s="327"/>
      <c r="AU94" s="327"/>
      <c r="AV94" s="327"/>
      <c r="AW94" s="327"/>
      <c r="AX94" s="327"/>
      <c r="AY94" s="327"/>
      <c r="AZ94" s="327"/>
      <c r="BA94" s="327"/>
      <c r="BB94" s="327"/>
      <c r="BC94" s="328"/>
      <c r="BD94" s="299"/>
      <c r="BE94" s="299"/>
      <c r="BF94" s="299"/>
      <c r="BG94" s="299"/>
      <c r="BH94" s="299"/>
      <c r="BI94" s="299"/>
      <c r="BJ94" s="299"/>
      <c r="BK94" s="299"/>
      <c r="BL94" s="299"/>
      <c r="BM94" s="299"/>
      <c r="BN94" s="299"/>
      <c r="BO94" s="299"/>
      <c r="BP94" s="299"/>
      <c r="BQ94" s="299"/>
      <c r="BR94" s="299"/>
      <c r="BS94" s="299"/>
      <c r="BT94" s="299"/>
      <c r="BU94" s="299"/>
      <c r="BV94" s="299"/>
      <c r="BW94" s="299"/>
      <c r="BX94" s="299"/>
      <c r="BY94" s="299">
        <v>45</v>
      </c>
      <c r="BZ94" s="299">
        <v>45</v>
      </c>
      <c r="CA94" s="299">
        <v>45</v>
      </c>
      <c r="CB94" s="299">
        <v>45</v>
      </c>
      <c r="CC94" s="299">
        <v>45</v>
      </c>
      <c r="CD94" s="299">
        <v>45</v>
      </c>
      <c r="CE94" s="299">
        <v>45</v>
      </c>
      <c r="CF94" s="299">
        <v>45</v>
      </c>
      <c r="CG94" s="299">
        <v>45</v>
      </c>
      <c r="CH94" s="299">
        <v>45</v>
      </c>
      <c r="CI94" s="299">
        <v>45</v>
      </c>
      <c r="CJ94" s="299">
        <v>45</v>
      </c>
      <c r="CK94" s="299">
        <v>45</v>
      </c>
      <c r="CL94" s="299">
        <v>45</v>
      </c>
      <c r="CM94" s="299">
        <v>45</v>
      </c>
      <c r="CN94" s="299">
        <v>45</v>
      </c>
      <c r="CO94" s="299">
        <v>45</v>
      </c>
      <c r="CP94" s="299">
        <v>45</v>
      </c>
      <c r="CQ94" s="299">
        <v>45</v>
      </c>
      <c r="CR94" s="299">
        <v>45</v>
      </c>
      <c r="CS94" s="299">
        <v>45</v>
      </c>
      <c r="CT94" s="299">
        <v>45</v>
      </c>
      <c r="CU94" s="299">
        <v>45</v>
      </c>
      <c r="CV94" s="299">
        <v>45</v>
      </c>
      <c r="CW94" s="299">
        <v>45</v>
      </c>
      <c r="CX94" s="299">
        <v>45</v>
      </c>
      <c r="CY94" s="299">
        <v>45</v>
      </c>
      <c r="CZ94" s="299">
        <v>45</v>
      </c>
      <c r="DA94" s="299">
        <v>45</v>
      </c>
      <c r="DB94" s="299">
        <v>45</v>
      </c>
      <c r="DC94" s="299">
        <v>45</v>
      </c>
      <c r="DD94" s="299">
        <v>45</v>
      </c>
      <c r="DE94" s="299">
        <v>45</v>
      </c>
      <c r="DF94" s="299">
        <v>45</v>
      </c>
      <c r="DG94" s="299">
        <v>45</v>
      </c>
      <c r="DH94" s="299">
        <v>45</v>
      </c>
      <c r="DI94" s="299">
        <v>45</v>
      </c>
      <c r="DJ94" s="299">
        <v>45</v>
      </c>
      <c r="DK94" s="299">
        <v>45</v>
      </c>
      <c r="DL94" s="299">
        <v>45</v>
      </c>
      <c r="DM94" s="299">
        <v>45</v>
      </c>
      <c r="DN94" s="299">
        <v>45</v>
      </c>
      <c r="DO94" s="299">
        <v>45</v>
      </c>
      <c r="DP94" s="299">
        <v>45</v>
      </c>
      <c r="DQ94" s="299">
        <v>45</v>
      </c>
      <c r="DR94" s="299"/>
      <c r="DS94" s="299"/>
      <c r="DT94" s="299">
        <v>45</v>
      </c>
      <c r="DU94" s="299">
        <v>45</v>
      </c>
      <c r="DV94" s="299">
        <v>45</v>
      </c>
      <c r="DW94" s="299">
        <v>45</v>
      </c>
      <c r="DX94" s="299">
        <v>45</v>
      </c>
      <c r="DY94" s="299">
        <v>45</v>
      </c>
      <c r="DZ94" s="299">
        <v>45</v>
      </c>
      <c r="EA94" s="299">
        <v>45</v>
      </c>
      <c r="EB94" s="299">
        <v>45</v>
      </c>
      <c r="EC94" s="299">
        <v>45</v>
      </c>
      <c r="ED94" s="299">
        <v>45</v>
      </c>
      <c r="EE94" s="299">
        <v>45</v>
      </c>
      <c r="EF94" s="299">
        <v>45</v>
      </c>
      <c r="EG94" s="299">
        <v>45</v>
      </c>
      <c r="EH94" s="299">
        <v>45</v>
      </c>
      <c r="EI94" s="299">
        <v>45</v>
      </c>
      <c r="EJ94" s="299">
        <v>45</v>
      </c>
      <c r="EK94" s="299">
        <v>45</v>
      </c>
      <c r="EL94" s="299">
        <v>45</v>
      </c>
      <c r="EM94" s="299">
        <v>45</v>
      </c>
      <c r="EN94" s="299">
        <v>45</v>
      </c>
      <c r="EO94" s="299">
        <v>45</v>
      </c>
      <c r="EP94" s="299">
        <v>45</v>
      </c>
      <c r="EQ94" s="299">
        <v>45</v>
      </c>
      <c r="ER94" s="299">
        <v>45</v>
      </c>
      <c r="ES94" s="299">
        <v>45</v>
      </c>
      <c r="ET94" s="329">
        <v>45</v>
      </c>
      <c r="EU94" s="327"/>
      <c r="EV94" s="327"/>
      <c r="EW94" s="327"/>
      <c r="EX94" s="327"/>
      <c r="EY94" s="327"/>
      <c r="EZ94" s="327"/>
      <c r="FA94" s="327"/>
      <c r="FB94" s="327"/>
      <c r="FC94" s="327"/>
      <c r="FD94" s="327"/>
      <c r="FE94" s="327"/>
      <c r="FF94" s="327"/>
      <c r="FG94" s="327"/>
      <c r="FH94" s="327"/>
      <c r="FI94" s="327"/>
      <c r="FJ94" s="327"/>
      <c r="FK94" s="327"/>
      <c r="FL94" s="327"/>
      <c r="FM94" s="327"/>
      <c r="FN94" s="327"/>
      <c r="FO94" s="327"/>
      <c r="FP94" s="327"/>
      <c r="FQ94" s="300" t="e">
        <f t="shared" ca="1" si="94"/>
        <v>#VALUE!</v>
      </c>
      <c r="FR94" s="300" t="e">
        <f t="shared" ca="1" si="98"/>
        <v>#VALUE!</v>
      </c>
      <c r="FS94" s="300" t="e">
        <f t="shared" ca="1" si="98"/>
        <v>#VALUE!</v>
      </c>
      <c r="FT94" s="300" t="e">
        <f t="shared" ca="1" si="98"/>
        <v>#VALUE!</v>
      </c>
      <c r="FU94" s="300" t="e">
        <f t="shared" ca="1" si="98"/>
        <v>#VALUE!</v>
      </c>
      <c r="FV94" s="300" t="e">
        <f t="shared" ca="1" si="98"/>
        <v>#VALUE!</v>
      </c>
      <c r="FW94" s="300" t="e">
        <f t="shared" ca="1" si="98"/>
        <v>#VALUE!</v>
      </c>
      <c r="FX94" s="300" t="e">
        <f t="shared" ca="1" si="98"/>
        <v>#VALUE!</v>
      </c>
      <c r="FY94" s="300" t="e">
        <f t="shared" ca="1" si="98"/>
        <v>#VALUE!</v>
      </c>
      <c r="FZ94" s="300" t="e">
        <f t="shared" ca="1" si="98"/>
        <v>#VALUE!</v>
      </c>
      <c r="GA94" s="301" t="e">
        <f t="shared" ca="1" si="98"/>
        <v>#VALUE!</v>
      </c>
      <c r="GB94" s="301" t="e">
        <f t="shared" ca="1" si="99"/>
        <v>#VALUE!</v>
      </c>
      <c r="GC94" s="301" t="e">
        <f t="shared" ca="1" si="99"/>
        <v>#VALUE!</v>
      </c>
      <c r="GD94" s="301" t="e">
        <f t="shared" ca="1" si="99"/>
        <v>#VALUE!</v>
      </c>
      <c r="GE94" s="301" t="e">
        <f t="shared" ca="1" si="99"/>
        <v>#VALUE!</v>
      </c>
      <c r="GF94" s="301" t="e">
        <f t="shared" ca="1" si="99"/>
        <v>#VALUE!</v>
      </c>
      <c r="GG94" s="301" t="e">
        <f t="shared" ca="1" si="99"/>
        <v>#VALUE!</v>
      </c>
      <c r="GH94" s="301" t="e">
        <f t="shared" ca="1" si="99"/>
        <v>#VALUE!</v>
      </c>
      <c r="GI94" s="301" t="e">
        <f t="shared" ca="1" si="99"/>
        <v>#VALUE!</v>
      </c>
      <c r="GJ94" s="301" t="e">
        <f t="shared" ca="1" si="99"/>
        <v>#VALUE!</v>
      </c>
      <c r="GK94" s="301" t="e">
        <f t="shared" ca="1" si="99"/>
        <v>#VALUE!</v>
      </c>
      <c r="GL94" s="301" t="e">
        <f t="shared" ca="1" si="99"/>
        <v>#VALUE!</v>
      </c>
      <c r="GM94" s="301" t="e">
        <f t="shared" ca="1" si="99"/>
        <v>#VALUE!</v>
      </c>
      <c r="GN94" s="302" t="e">
        <f t="shared" ca="1" si="99"/>
        <v>#VALUE!</v>
      </c>
      <c r="GO94" s="302" t="e">
        <f t="shared" ca="1" si="99"/>
        <v>#VALUE!</v>
      </c>
    </row>
    <row r="95" spans="1:197">
      <c r="A95" s="291"/>
      <c r="B95" s="292" t="s">
        <v>85</v>
      </c>
      <c r="C95" s="292" t="s">
        <v>195</v>
      </c>
      <c r="D95" s="292" t="s">
        <v>220</v>
      </c>
      <c r="E95" s="292" t="s">
        <v>443</v>
      </c>
      <c r="F95" s="292" t="s">
        <v>184</v>
      </c>
      <c r="G95" s="292" t="s">
        <v>350</v>
      </c>
      <c r="H95" s="292" t="s">
        <v>351</v>
      </c>
      <c r="I95" s="292" t="s">
        <v>352</v>
      </c>
      <c r="J95" s="292" t="s">
        <v>184</v>
      </c>
      <c r="K95" s="292" t="s">
        <v>353</v>
      </c>
      <c r="L95" s="292" t="s">
        <v>359</v>
      </c>
      <c r="M95" s="292" t="s">
        <v>363</v>
      </c>
      <c r="N95" s="292" t="str">
        <f t="shared" si="86"/>
        <v>PTD-Manufacturing - PM</v>
      </c>
      <c r="O95" s="292" t="str">
        <f t="shared" si="87"/>
        <v>Technology-Analyst-India-Consulting</v>
      </c>
      <c r="P95" s="292" t="str">
        <f t="shared" si="88"/>
        <v>PTD - Technology</v>
      </c>
      <c r="Q95" s="293">
        <f t="shared" si="83"/>
        <v>84240</v>
      </c>
      <c r="R95" s="294">
        <f t="shared" si="84"/>
        <v>0</v>
      </c>
      <c r="S95" s="295">
        <f t="shared" si="89"/>
        <v>0</v>
      </c>
      <c r="T95" s="295">
        <f t="shared" si="85"/>
        <v>1755</v>
      </c>
      <c r="U95" s="296" t="str">
        <f t="shared" si="90"/>
        <v>Technology - Analyst</v>
      </c>
      <c r="V95" s="295" t="str">
        <f t="shared" si="91"/>
        <v>0-1 years</v>
      </c>
      <c r="W95" s="292" t="str">
        <f t="shared" si="92"/>
        <v>Offshore</v>
      </c>
      <c r="X95" s="292" t="s">
        <v>261</v>
      </c>
      <c r="Y95" s="292" t="s">
        <v>259</v>
      </c>
      <c r="Z95" s="292" t="s">
        <v>384</v>
      </c>
      <c r="AA95" s="297">
        <f>[1]Resourcing!QD99</f>
        <v>0</v>
      </c>
      <c r="AB95" s="298">
        <f t="shared" si="93"/>
        <v>48</v>
      </c>
      <c r="AC95" s="334"/>
      <c r="AD95" s="334"/>
      <c r="AE95" s="334"/>
      <c r="AF95" s="334"/>
      <c r="AG95" s="334"/>
      <c r="AH95" s="334"/>
      <c r="AI95" s="334"/>
      <c r="AJ95" s="334"/>
      <c r="AK95" s="334"/>
      <c r="AL95" s="334"/>
      <c r="AM95" s="334"/>
      <c r="AN95" s="334"/>
      <c r="AO95" s="334"/>
      <c r="AP95" s="334"/>
      <c r="AQ95" s="334"/>
      <c r="AR95" s="334"/>
      <c r="AS95" s="334"/>
      <c r="AT95" s="334"/>
      <c r="AU95" s="334"/>
      <c r="AV95" s="334"/>
      <c r="AW95" s="334"/>
      <c r="AX95" s="334"/>
      <c r="AY95" s="334"/>
      <c r="AZ95" s="334"/>
      <c r="BA95" s="334"/>
      <c r="BB95" s="334"/>
      <c r="BC95" s="334"/>
      <c r="BD95" s="334"/>
      <c r="BE95" s="334"/>
      <c r="BF95" s="334"/>
      <c r="BG95" s="334"/>
      <c r="BH95" s="334"/>
      <c r="BI95" s="334"/>
      <c r="BJ95" s="334"/>
      <c r="BK95" s="334"/>
      <c r="BL95" s="334"/>
      <c r="BM95" s="334"/>
      <c r="BN95" s="334"/>
      <c r="BO95" s="334"/>
      <c r="BP95" s="334"/>
      <c r="BQ95" s="334"/>
      <c r="BR95" s="334"/>
      <c r="BS95" s="334"/>
      <c r="BT95" s="334"/>
      <c r="BU95" s="334"/>
      <c r="BV95" s="334"/>
      <c r="BW95" s="334"/>
      <c r="BX95" s="334"/>
      <c r="BY95" s="334"/>
      <c r="BZ95" s="334"/>
      <c r="CA95" s="334"/>
      <c r="CB95" s="334"/>
      <c r="CC95" s="334"/>
      <c r="CD95" s="334"/>
      <c r="CE95" s="334"/>
      <c r="CF95" s="334"/>
      <c r="CG95" s="334"/>
      <c r="CH95" s="334"/>
      <c r="CI95" s="334"/>
      <c r="CJ95" s="334"/>
      <c r="CK95" s="334"/>
      <c r="CL95" s="334"/>
      <c r="CM95" s="334"/>
      <c r="CN95" s="334"/>
      <c r="CO95" s="334"/>
      <c r="CP95" s="334"/>
      <c r="CQ95" s="334"/>
      <c r="CR95" s="334"/>
      <c r="CS95" s="334"/>
      <c r="CT95" s="334"/>
      <c r="CU95" s="334"/>
      <c r="CV95" s="334"/>
      <c r="CW95" s="334"/>
      <c r="CX95" s="334"/>
      <c r="CY95" s="334"/>
      <c r="CZ95" s="334"/>
      <c r="DA95" s="326">
        <v>45</v>
      </c>
      <c r="DB95" s="326">
        <v>45</v>
      </c>
      <c r="DC95" s="326">
        <v>45</v>
      </c>
      <c r="DD95" s="326">
        <v>45</v>
      </c>
      <c r="DE95" s="326">
        <v>45</v>
      </c>
      <c r="DF95" s="326">
        <v>45</v>
      </c>
      <c r="DG95" s="326">
        <v>45</v>
      </c>
      <c r="DH95" s="326">
        <v>45</v>
      </c>
      <c r="DI95" s="326">
        <v>45</v>
      </c>
      <c r="DJ95" s="326">
        <v>45</v>
      </c>
      <c r="DK95" s="326">
        <v>45</v>
      </c>
      <c r="DL95" s="326">
        <v>45</v>
      </c>
      <c r="DM95" s="326">
        <v>45</v>
      </c>
      <c r="DN95" s="326">
        <v>45</v>
      </c>
      <c r="DO95" s="326">
        <v>45</v>
      </c>
      <c r="DP95" s="326">
        <v>45</v>
      </c>
      <c r="DQ95" s="326">
        <v>45</v>
      </c>
      <c r="DR95" s="326"/>
      <c r="DS95" s="326"/>
      <c r="DT95" s="326">
        <v>45</v>
      </c>
      <c r="DU95" s="326">
        <v>45</v>
      </c>
      <c r="DV95" s="326">
        <v>45</v>
      </c>
      <c r="DW95" s="326">
        <v>45</v>
      </c>
      <c r="DX95" s="326">
        <v>45</v>
      </c>
      <c r="DY95" s="326">
        <v>45</v>
      </c>
      <c r="DZ95" s="326">
        <v>45</v>
      </c>
      <c r="EA95" s="326">
        <v>45</v>
      </c>
      <c r="EB95" s="326">
        <v>45</v>
      </c>
      <c r="EC95" s="326">
        <v>45</v>
      </c>
      <c r="ED95" s="326">
        <v>45</v>
      </c>
      <c r="EE95" s="326">
        <v>45</v>
      </c>
      <c r="EF95" s="326">
        <v>45</v>
      </c>
      <c r="EG95" s="326">
        <v>45</v>
      </c>
      <c r="EH95" s="326">
        <v>45</v>
      </c>
      <c r="EI95" s="326">
        <v>45</v>
      </c>
      <c r="EJ95" s="326">
        <v>45</v>
      </c>
      <c r="EK95" s="326">
        <v>45</v>
      </c>
      <c r="EL95" s="326">
        <v>45</v>
      </c>
      <c r="EM95" s="326">
        <v>45</v>
      </c>
      <c r="EN95" s="326">
        <v>45</v>
      </c>
      <c r="EO95" s="326">
        <v>45</v>
      </c>
      <c r="EP95" s="326"/>
      <c r="EQ95" s="326"/>
      <c r="ER95" s="326"/>
      <c r="ES95" s="326"/>
      <c r="ET95" s="335"/>
      <c r="EU95" s="327"/>
      <c r="EV95" s="327"/>
      <c r="EW95" s="327"/>
      <c r="EX95" s="327"/>
      <c r="EY95" s="327"/>
      <c r="EZ95" s="327"/>
      <c r="FA95" s="327"/>
      <c r="FB95" s="327"/>
      <c r="FC95" s="327"/>
      <c r="FD95" s="327"/>
      <c r="FE95" s="327"/>
      <c r="FF95" s="327"/>
      <c r="FG95" s="327"/>
      <c r="FH95" s="327"/>
      <c r="FI95" s="327"/>
      <c r="FJ95" s="327"/>
      <c r="FK95" s="327"/>
      <c r="FL95" s="327"/>
      <c r="FM95" s="327"/>
      <c r="FN95" s="327"/>
      <c r="FO95" s="327"/>
      <c r="FP95" s="327"/>
      <c r="FQ95" s="300" t="e">
        <f t="shared" ca="1" si="94"/>
        <v>#VALUE!</v>
      </c>
      <c r="FR95" s="300" t="e">
        <f t="shared" ca="1" si="98"/>
        <v>#VALUE!</v>
      </c>
      <c r="FS95" s="300" t="e">
        <f t="shared" ca="1" si="98"/>
        <v>#VALUE!</v>
      </c>
      <c r="FT95" s="300" t="e">
        <f t="shared" ca="1" si="98"/>
        <v>#VALUE!</v>
      </c>
      <c r="FU95" s="300" t="e">
        <f t="shared" ca="1" si="98"/>
        <v>#VALUE!</v>
      </c>
      <c r="FV95" s="300" t="e">
        <f t="shared" ca="1" si="98"/>
        <v>#VALUE!</v>
      </c>
      <c r="FW95" s="300" t="e">
        <f t="shared" ca="1" si="98"/>
        <v>#VALUE!</v>
      </c>
      <c r="FX95" s="300" t="e">
        <f t="shared" ca="1" si="98"/>
        <v>#VALUE!</v>
      </c>
      <c r="FY95" s="300" t="e">
        <f t="shared" ca="1" si="98"/>
        <v>#VALUE!</v>
      </c>
      <c r="FZ95" s="300" t="e">
        <f t="shared" ca="1" si="98"/>
        <v>#VALUE!</v>
      </c>
      <c r="GA95" s="301" t="e">
        <f t="shared" ca="1" si="98"/>
        <v>#VALUE!</v>
      </c>
      <c r="GB95" s="301" t="e">
        <f t="shared" ca="1" si="99"/>
        <v>#VALUE!</v>
      </c>
      <c r="GC95" s="301" t="e">
        <f t="shared" ca="1" si="99"/>
        <v>#VALUE!</v>
      </c>
      <c r="GD95" s="301" t="e">
        <f t="shared" ca="1" si="99"/>
        <v>#VALUE!</v>
      </c>
      <c r="GE95" s="301" t="e">
        <f t="shared" ca="1" si="99"/>
        <v>#VALUE!</v>
      </c>
      <c r="GF95" s="301" t="e">
        <f t="shared" ca="1" si="99"/>
        <v>#VALUE!</v>
      </c>
      <c r="GG95" s="301" t="e">
        <f t="shared" ca="1" si="99"/>
        <v>#VALUE!</v>
      </c>
      <c r="GH95" s="301" t="e">
        <f t="shared" ca="1" si="99"/>
        <v>#VALUE!</v>
      </c>
      <c r="GI95" s="301" t="e">
        <f t="shared" ca="1" si="99"/>
        <v>#VALUE!</v>
      </c>
      <c r="GJ95" s="301" t="e">
        <f t="shared" ca="1" si="99"/>
        <v>#VALUE!</v>
      </c>
      <c r="GK95" s="301" t="e">
        <f t="shared" ca="1" si="99"/>
        <v>#VALUE!</v>
      </c>
      <c r="GL95" s="301" t="e">
        <f t="shared" ca="1" si="99"/>
        <v>#VALUE!</v>
      </c>
      <c r="GM95" s="301" t="e">
        <f t="shared" ca="1" si="99"/>
        <v>#VALUE!</v>
      </c>
      <c r="GN95" s="302" t="e">
        <f t="shared" ca="1" si="99"/>
        <v>#VALUE!</v>
      </c>
      <c r="GO95" s="302" t="e">
        <f t="shared" ca="1" si="99"/>
        <v>#VALUE!</v>
      </c>
    </row>
    <row r="96" spans="1:197">
      <c r="A96" s="291"/>
      <c r="B96" s="292" t="s">
        <v>85</v>
      </c>
      <c r="C96" s="292" t="s">
        <v>195</v>
      </c>
      <c r="D96" s="292" t="s">
        <v>223</v>
      </c>
      <c r="E96" s="292" t="s">
        <v>444</v>
      </c>
      <c r="F96" s="292" t="s">
        <v>184</v>
      </c>
      <c r="G96" s="292" t="s">
        <v>350</v>
      </c>
      <c r="H96" s="292" t="s">
        <v>351</v>
      </c>
      <c r="I96" s="292" t="s">
        <v>352</v>
      </c>
      <c r="J96" s="292" t="s">
        <v>184</v>
      </c>
      <c r="K96" s="292" t="s">
        <v>353</v>
      </c>
      <c r="L96" s="292" t="s">
        <v>359</v>
      </c>
      <c r="M96" s="292" t="s">
        <v>374</v>
      </c>
      <c r="N96" s="292" t="str">
        <f t="shared" si="86"/>
        <v>PTD-Plan</v>
      </c>
      <c r="O96" s="292" t="str">
        <f t="shared" si="87"/>
        <v>Technology-Senior Consultant-India-Consulting</v>
      </c>
      <c r="P96" s="292" t="str">
        <f t="shared" si="88"/>
        <v>PTD - Technology</v>
      </c>
      <c r="Q96" s="293">
        <f t="shared" si="83"/>
        <v>293940</v>
      </c>
      <c r="R96" s="294">
        <f t="shared" si="84"/>
        <v>38340</v>
      </c>
      <c r="S96" s="295">
        <f t="shared" si="89"/>
        <v>0</v>
      </c>
      <c r="T96" s="295">
        <f t="shared" si="85"/>
        <v>4140</v>
      </c>
      <c r="U96" s="296" t="str">
        <f t="shared" si="90"/>
        <v>Technology - Senior Consultant</v>
      </c>
      <c r="V96" s="295" t="str">
        <f t="shared" si="91"/>
        <v>3-5 years</v>
      </c>
      <c r="W96" s="292" t="str">
        <f t="shared" si="92"/>
        <v>Offshore</v>
      </c>
      <c r="X96" s="292" t="s">
        <v>261</v>
      </c>
      <c r="Y96" s="292" t="s">
        <v>259</v>
      </c>
      <c r="Z96" s="292" t="s">
        <v>364</v>
      </c>
      <c r="AA96" s="297">
        <f>[1]Resourcing!QD100</f>
        <v>0</v>
      </c>
      <c r="AB96" s="298">
        <f t="shared" si="93"/>
        <v>71</v>
      </c>
      <c r="AC96" s="327"/>
      <c r="AD96" s="327"/>
      <c r="AE96" s="327"/>
      <c r="AF96" s="327"/>
      <c r="AG96" s="327"/>
      <c r="AH96" s="327"/>
      <c r="AI96" s="327"/>
      <c r="AJ96" s="327"/>
      <c r="AK96" s="327"/>
      <c r="AL96" s="327"/>
      <c r="AM96" s="327"/>
      <c r="AN96" s="327"/>
      <c r="AO96" s="327"/>
      <c r="AP96" s="327"/>
      <c r="AQ96" s="327"/>
      <c r="AR96" s="327"/>
      <c r="AS96" s="327"/>
      <c r="AT96" s="327"/>
      <c r="AU96" s="327"/>
      <c r="AV96" s="327"/>
      <c r="AW96" s="327"/>
      <c r="AX96" s="327"/>
      <c r="AY96" s="327"/>
      <c r="AZ96" s="327"/>
      <c r="BA96" s="327"/>
      <c r="BB96" s="327"/>
      <c r="BC96" s="328">
        <v>45</v>
      </c>
      <c r="BD96" s="299">
        <v>45</v>
      </c>
      <c r="BE96" s="299">
        <v>45</v>
      </c>
      <c r="BF96" s="299">
        <v>45</v>
      </c>
      <c r="BG96" s="299">
        <v>45</v>
      </c>
      <c r="BH96" s="299">
        <v>45</v>
      </c>
      <c r="BI96" s="299">
        <v>45</v>
      </c>
      <c r="BJ96" s="299">
        <v>45</v>
      </c>
      <c r="BK96" s="299">
        <v>45</v>
      </c>
      <c r="BL96" s="299">
        <v>45</v>
      </c>
      <c r="BM96" s="299">
        <v>45</v>
      </c>
      <c r="BN96" s="299">
        <v>45</v>
      </c>
      <c r="BO96" s="299">
        <v>45</v>
      </c>
      <c r="BP96" s="299">
        <v>45</v>
      </c>
      <c r="BQ96" s="299">
        <v>45</v>
      </c>
      <c r="BR96" s="299"/>
      <c r="BS96" s="299"/>
      <c r="BT96" s="299">
        <v>45</v>
      </c>
      <c r="BU96" s="299">
        <v>45</v>
      </c>
      <c r="BV96" s="299">
        <v>45</v>
      </c>
      <c r="BW96" s="299">
        <v>45</v>
      </c>
      <c r="BX96" s="299">
        <v>45</v>
      </c>
      <c r="BY96" s="299">
        <v>45</v>
      </c>
      <c r="BZ96" s="299">
        <v>45</v>
      </c>
      <c r="CA96" s="299">
        <v>45</v>
      </c>
      <c r="CB96" s="299">
        <v>45</v>
      </c>
      <c r="CC96" s="299">
        <v>45</v>
      </c>
      <c r="CD96" s="299">
        <v>45</v>
      </c>
      <c r="CE96" s="299">
        <v>45</v>
      </c>
      <c r="CF96" s="299">
        <v>45</v>
      </c>
      <c r="CG96" s="299">
        <v>45</v>
      </c>
      <c r="CH96" s="299">
        <v>45</v>
      </c>
      <c r="CI96" s="299">
        <v>45</v>
      </c>
      <c r="CJ96" s="299">
        <v>45</v>
      </c>
      <c r="CK96" s="299">
        <v>45</v>
      </c>
      <c r="CL96" s="299">
        <v>45</v>
      </c>
      <c r="CM96" s="299">
        <v>45</v>
      </c>
      <c r="CN96" s="299">
        <v>45</v>
      </c>
      <c r="CO96" s="299">
        <v>45</v>
      </c>
      <c r="CP96" s="299">
        <v>45</v>
      </c>
      <c r="CQ96" s="299">
        <v>45</v>
      </c>
      <c r="CR96" s="299">
        <v>45</v>
      </c>
      <c r="CS96" s="299">
        <v>45</v>
      </c>
      <c r="CT96" s="299">
        <v>45</v>
      </c>
      <c r="CU96" s="299">
        <v>45</v>
      </c>
      <c r="CV96" s="299">
        <v>45</v>
      </c>
      <c r="CW96" s="299">
        <v>45</v>
      </c>
      <c r="CX96" s="299">
        <v>45</v>
      </c>
      <c r="CY96" s="299">
        <v>45</v>
      </c>
      <c r="CZ96" s="299">
        <v>45</v>
      </c>
      <c r="DA96" s="299">
        <v>45</v>
      </c>
      <c r="DB96" s="299">
        <v>45</v>
      </c>
      <c r="DC96" s="299">
        <v>45</v>
      </c>
      <c r="DD96" s="299">
        <v>45</v>
      </c>
      <c r="DE96" s="299">
        <v>45</v>
      </c>
      <c r="DF96" s="299">
        <v>45</v>
      </c>
      <c r="DG96" s="299">
        <v>45</v>
      </c>
      <c r="DH96" s="299">
        <v>45</v>
      </c>
      <c r="DI96" s="299">
        <v>45</v>
      </c>
      <c r="DJ96" s="299">
        <v>45</v>
      </c>
      <c r="DK96" s="299">
        <v>45</v>
      </c>
      <c r="DL96" s="299">
        <v>45</v>
      </c>
      <c r="DM96" s="299">
        <v>45</v>
      </c>
      <c r="DN96" s="299">
        <v>45</v>
      </c>
      <c r="DO96" s="299">
        <v>45</v>
      </c>
      <c r="DP96" s="299">
        <v>45</v>
      </c>
      <c r="DQ96" s="299">
        <v>45</v>
      </c>
      <c r="DR96" s="299"/>
      <c r="DS96" s="299"/>
      <c r="DT96" s="299">
        <v>45</v>
      </c>
      <c r="DU96" s="299">
        <v>45</v>
      </c>
      <c r="DV96" s="299">
        <v>45</v>
      </c>
      <c r="DW96" s="299">
        <v>45</v>
      </c>
      <c r="DX96" s="299">
        <v>45</v>
      </c>
      <c r="DY96" s="299">
        <v>45</v>
      </c>
      <c r="DZ96" s="299">
        <v>45</v>
      </c>
      <c r="EA96" s="299">
        <v>45</v>
      </c>
      <c r="EB96" s="299">
        <v>45</v>
      </c>
      <c r="EC96" s="299">
        <v>45</v>
      </c>
      <c r="ED96" s="299">
        <v>45</v>
      </c>
      <c r="EE96" s="299">
        <v>45</v>
      </c>
      <c r="EF96" s="299">
        <v>45</v>
      </c>
      <c r="EG96" s="299">
        <v>45</v>
      </c>
      <c r="EH96" s="299">
        <v>45</v>
      </c>
      <c r="EI96" s="299">
        <v>45</v>
      </c>
      <c r="EJ96" s="299">
        <v>45</v>
      </c>
      <c r="EK96" s="299">
        <v>45</v>
      </c>
      <c r="EL96" s="299">
        <v>45</v>
      </c>
      <c r="EM96" s="299">
        <v>45</v>
      </c>
      <c r="EN96" s="299">
        <v>45</v>
      </c>
      <c r="EO96" s="299">
        <v>45</v>
      </c>
      <c r="EP96" s="299">
        <v>45</v>
      </c>
      <c r="EQ96" s="299">
        <v>45</v>
      </c>
      <c r="ER96" s="299">
        <v>45</v>
      </c>
      <c r="ES96" s="299">
        <v>45</v>
      </c>
      <c r="ET96" s="329">
        <v>45</v>
      </c>
      <c r="EU96" s="327"/>
      <c r="EV96" s="327"/>
      <c r="EW96" s="327"/>
      <c r="EX96" s="327"/>
      <c r="EY96" s="327"/>
      <c r="EZ96" s="327"/>
      <c r="FA96" s="327"/>
      <c r="FB96" s="327"/>
      <c r="FC96" s="327"/>
      <c r="FD96" s="327"/>
      <c r="FE96" s="327"/>
      <c r="FF96" s="327"/>
      <c r="FG96" s="327"/>
      <c r="FH96" s="327"/>
      <c r="FI96" s="327"/>
      <c r="FJ96" s="327"/>
      <c r="FK96" s="327"/>
      <c r="FL96" s="327"/>
      <c r="FM96" s="327"/>
      <c r="FN96" s="327"/>
      <c r="FO96" s="327"/>
      <c r="FP96" s="327"/>
      <c r="FQ96" s="300" t="e">
        <f t="shared" ca="1" si="94"/>
        <v>#VALUE!</v>
      </c>
      <c r="FR96" s="300" t="e">
        <f t="shared" ca="1" si="98"/>
        <v>#VALUE!</v>
      </c>
      <c r="FS96" s="300" t="e">
        <f t="shared" ca="1" si="98"/>
        <v>#VALUE!</v>
      </c>
      <c r="FT96" s="300" t="e">
        <f t="shared" ca="1" si="98"/>
        <v>#VALUE!</v>
      </c>
      <c r="FU96" s="300" t="e">
        <f t="shared" ca="1" si="98"/>
        <v>#VALUE!</v>
      </c>
      <c r="FV96" s="300" t="e">
        <f t="shared" ca="1" si="98"/>
        <v>#VALUE!</v>
      </c>
      <c r="FW96" s="300" t="e">
        <f t="shared" ca="1" si="98"/>
        <v>#VALUE!</v>
      </c>
      <c r="FX96" s="300" t="e">
        <f t="shared" ca="1" si="98"/>
        <v>#VALUE!</v>
      </c>
      <c r="FY96" s="300" t="e">
        <f t="shared" ca="1" si="98"/>
        <v>#VALUE!</v>
      </c>
      <c r="FZ96" s="300" t="e">
        <f t="shared" ca="1" si="98"/>
        <v>#VALUE!</v>
      </c>
      <c r="GA96" s="301" t="e">
        <f t="shared" ca="1" si="98"/>
        <v>#VALUE!</v>
      </c>
      <c r="GB96" s="301" t="e">
        <f t="shared" ca="1" si="99"/>
        <v>#VALUE!</v>
      </c>
      <c r="GC96" s="301" t="e">
        <f t="shared" ca="1" si="99"/>
        <v>#VALUE!</v>
      </c>
      <c r="GD96" s="301" t="e">
        <f t="shared" ca="1" si="99"/>
        <v>#VALUE!</v>
      </c>
      <c r="GE96" s="301" t="e">
        <f t="shared" ca="1" si="99"/>
        <v>#VALUE!</v>
      </c>
      <c r="GF96" s="301" t="e">
        <f t="shared" ca="1" si="99"/>
        <v>#VALUE!</v>
      </c>
      <c r="GG96" s="301" t="e">
        <f t="shared" ca="1" si="99"/>
        <v>#VALUE!</v>
      </c>
      <c r="GH96" s="301" t="e">
        <f t="shared" ca="1" si="99"/>
        <v>#VALUE!</v>
      </c>
      <c r="GI96" s="301" t="e">
        <f t="shared" ca="1" si="99"/>
        <v>#VALUE!</v>
      </c>
      <c r="GJ96" s="301" t="e">
        <f t="shared" ca="1" si="99"/>
        <v>#VALUE!</v>
      </c>
      <c r="GK96" s="301" t="e">
        <f t="shared" ca="1" si="99"/>
        <v>#VALUE!</v>
      </c>
      <c r="GL96" s="301" t="e">
        <f t="shared" ca="1" si="99"/>
        <v>#VALUE!</v>
      </c>
      <c r="GM96" s="301" t="e">
        <f t="shared" ca="1" si="99"/>
        <v>#VALUE!</v>
      </c>
      <c r="GN96" s="302" t="e">
        <f t="shared" ca="1" si="99"/>
        <v>#VALUE!</v>
      </c>
      <c r="GO96" s="302" t="e">
        <f t="shared" ca="1" si="99"/>
        <v>#VALUE!</v>
      </c>
    </row>
    <row r="97" spans="1:215">
      <c r="A97" s="291"/>
      <c r="B97" s="292" t="s">
        <v>85</v>
      </c>
      <c r="C97" s="292" t="s">
        <v>195</v>
      </c>
      <c r="D97" s="292" t="s">
        <v>223</v>
      </c>
      <c r="E97" s="292" t="s">
        <v>444</v>
      </c>
      <c r="F97" s="292" t="s">
        <v>184</v>
      </c>
      <c r="G97" s="292" t="s">
        <v>350</v>
      </c>
      <c r="H97" s="292" t="s">
        <v>351</v>
      </c>
      <c r="I97" s="292" t="s">
        <v>352</v>
      </c>
      <c r="J97" s="292" t="s">
        <v>184</v>
      </c>
      <c r="K97" s="292" t="s">
        <v>353</v>
      </c>
      <c r="L97" s="292" t="s">
        <v>359</v>
      </c>
      <c r="M97" s="292" t="s">
        <v>363</v>
      </c>
      <c r="N97" s="292" t="str">
        <f t="shared" si="86"/>
        <v>PTD-Plan</v>
      </c>
      <c r="O97" s="292" t="str">
        <f t="shared" si="87"/>
        <v>Technology-Analyst-India-Consulting</v>
      </c>
      <c r="P97" s="292" t="str">
        <f t="shared" si="88"/>
        <v>PTD - Technology</v>
      </c>
      <c r="Q97" s="293">
        <f t="shared" si="83"/>
        <v>155520</v>
      </c>
      <c r="R97" s="294">
        <f t="shared" si="84"/>
        <v>0</v>
      </c>
      <c r="S97" s="295">
        <f t="shared" si="89"/>
        <v>0</v>
      </c>
      <c r="T97" s="295">
        <f t="shared" si="85"/>
        <v>3240</v>
      </c>
      <c r="U97" s="296" t="str">
        <f t="shared" si="90"/>
        <v>Technology - Analyst</v>
      </c>
      <c r="V97" s="295" t="str">
        <f t="shared" si="91"/>
        <v>0-1 years</v>
      </c>
      <c r="W97" s="292" t="str">
        <f t="shared" si="92"/>
        <v>Offshore</v>
      </c>
      <c r="X97" s="292" t="s">
        <v>261</v>
      </c>
      <c r="Y97" s="292" t="s">
        <v>259</v>
      </c>
      <c r="Z97" s="292" t="s">
        <v>384</v>
      </c>
      <c r="AA97" s="297">
        <f>[1]Resourcing!QD101</f>
        <v>53.65</v>
      </c>
      <c r="AB97" s="298">
        <f t="shared" si="93"/>
        <v>48</v>
      </c>
      <c r="AC97" s="327"/>
      <c r="AD97" s="327"/>
      <c r="AE97" s="327"/>
      <c r="AF97" s="327"/>
      <c r="AG97" s="327"/>
      <c r="AH97" s="327"/>
      <c r="AI97" s="327"/>
      <c r="AJ97" s="327"/>
      <c r="AK97" s="327"/>
      <c r="AL97" s="327"/>
      <c r="AM97" s="327"/>
      <c r="AN97" s="327"/>
      <c r="AO97" s="327"/>
      <c r="AP97" s="327"/>
      <c r="AQ97" s="327"/>
      <c r="AR97" s="327"/>
      <c r="AS97" s="327"/>
      <c r="AT97" s="327"/>
      <c r="AU97" s="327"/>
      <c r="AV97" s="327"/>
      <c r="AW97" s="327"/>
      <c r="AX97" s="327"/>
      <c r="AY97" s="327"/>
      <c r="AZ97" s="327"/>
      <c r="BA97" s="327"/>
      <c r="BB97" s="327"/>
      <c r="BC97" s="328"/>
      <c r="BD97" s="299"/>
      <c r="BE97" s="299"/>
      <c r="BF97" s="299"/>
      <c r="BG97" s="299"/>
      <c r="BH97" s="299"/>
      <c r="BI97" s="299"/>
      <c r="BJ97" s="299"/>
      <c r="BK97" s="299"/>
      <c r="BL97" s="299"/>
      <c r="BM97" s="299"/>
      <c r="BN97" s="299"/>
      <c r="BO97" s="299"/>
      <c r="BP97" s="299"/>
      <c r="BQ97" s="299"/>
      <c r="BR97" s="299"/>
      <c r="BS97" s="299"/>
      <c r="BT97" s="299"/>
      <c r="BU97" s="299"/>
      <c r="BV97" s="299"/>
      <c r="BW97" s="299"/>
      <c r="BX97" s="299"/>
      <c r="BY97" s="299">
        <v>45</v>
      </c>
      <c r="BZ97" s="299">
        <v>45</v>
      </c>
      <c r="CA97" s="299">
        <v>45</v>
      </c>
      <c r="CB97" s="299">
        <v>45</v>
      </c>
      <c r="CC97" s="299">
        <v>45</v>
      </c>
      <c r="CD97" s="299">
        <v>45</v>
      </c>
      <c r="CE97" s="299">
        <v>45</v>
      </c>
      <c r="CF97" s="299">
        <v>45</v>
      </c>
      <c r="CG97" s="299">
        <v>45</v>
      </c>
      <c r="CH97" s="299">
        <v>45</v>
      </c>
      <c r="CI97" s="299">
        <v>45</v>
      </c>
      <c r="CJ97" s="299">
        <v>45</v>
      </c>
      <c r="CK97" s="299">
        <v>45</v>
      </c>
      <c r="CL97" s="299">
        <v>45</v>
      </c>
      <c r="CM97" s="299">
        <v>45</v>
      </c>
      <c r="CN97" s="299">
        <v>45</v>
      </c>
      <c r="CO97" s="299">
        <v>45</v>
      </c>
      <c r="CP97" s="299">
        <v>45</v>
      </c>
      <c r="CQ97" s="299">
        <v>45</v>
      </c>
      <c r="CR97" s="299">
        <v>45</v>
      </c>
      <c r="CS97" s="299">
        <v>45</v>
      </c>
      <c r="CT97" s="299">
        <v>45</v>
      </c>
      <c r="CU97" s="299">
        <v>45</v>
      </c>
      <c r="CV97" s="299">
        <v>45</v>
      </c>
      <c r="CW97" s="299">
        <v>45</v>
      </c>
      <c r="CX97" s="299">
        <v>45</v>
      </c>
      <c r="CY97" s="299">
        <v>45</v>
      </c>
      <c r="CZ97" s="299">
        <v>45</v>
      </c>
      <c r="DA97" s="299">
        <v>45</v>
      </c>
      <c r="DB97" s="299">
        <v>45</v>
      </c>
      <c r="DC97" s="299">
        <v>45</v>
      </c>
      <c r="DD97" s="299">
        <v>45</v>
      </c>
      <c r="DE97" s="299">
        <v>45</v>
      </c>
      <c r="DF97" s="299">
        <v>45</v>
      </c>
      <c r="DG97" s="299">
        <v>45</v>
      </c>
      <c r="DH97" s="299">
        <v>45</v>
      </c>
      <c r="DI97" s="299">
        <v>45</v>
      </c>
      <c r="DJ97" s="299">
        <v>45</v>
      </c>
      <c r="DK97" s="299">
        <v>45</v>
      </c>
      <c r="DL97" s="299">
        <v>45</v>
      </c>
      <c r="DM97" s="299">
        <v>45</v>
      </c>
      <c r="DN97" s="299">
        <v>45</v>
      </c>
      <c r="DO97" s="299">
        <v>45</v>
      </c>
      <c r="DP97" s="299">
        <v>45</v>
      </c>
      <c r="DQ97" s="299">
        <v>45</v>
      </c>
      <c r="DR97" s="299"/>
      <c r="DS97" s="299"/>
      <c r="DT97" s="299">
        <v>45</v>
      </c>
      <c r="DU97" s="299">
        <v>45</v>
      </c>
      <c r="DV97" s="299">
        <v>45</v>
      </c>
      <c r="DW97" s="299">
        <v>45</v>
      </c>
      <c r="DX97" s="299">
        <v>45</v>
      </c>
      <c r="DY97" s="299">
        <v>45</v>
      </c>
      <c r="DZ97" s="299">
        <v>45</v>
      </c>
      <c r="EA97" s="299">
        <v>45</v>
      </c>
      <c r="EB97" s="299">
        <v>45</v>
      </c>
      <c r="EC97" s="299">
        <v>45</v>
      </c>
      <c r="ED97" s="299">
        <v>45</v>
      </c>
      <c r="EE97" s="299">
        <v>45</v>
      </c>
      <c r="EF97" s="299">
        <v>45</v>
      </c>
      <c r="EG97" s="299">
        <v>45</v>
      </c>
      <c r="EH97" s="299">
        <v>45</v>
      </c>
      <c r="EI97" s="299">
        <v>45</v>
      </c>
      <c r="EJ97" s="299">
        <v>45</v>
      </c>
      <c r="EK97" s="299">
        <v>45</v>
      </c>
      <c r="EL97" s="299">
        <v>45</v>
      </c>
      <c r="EM97" s="299">
        <v>45</v>
      </c>
      <c r="EN97" s="299">
        <v>45</v>
      </c>
      <c r="EO97" s="299">
        <v>45</v>
      </c>
      <c r="EP97" s="299">
        <v>45</v>
      </c>
      <c r="EQ97" s="299">
        <v>45</v>
      </c>
      <c r="ER97" s="299">
        <v>45</v>
      </c>
      <c r="ES97" s="299">
        <v>45</v>
      </c>
      <c r="ET97" s="329">
        <v>45</v>
      </c>
      <c r="EU97" s="327"/>
      <c r="EV97" s="327"/>
      <c r="EW97" s="327"/>
      <c r="EX97" s="327"/>
      <c r="EY97" s="327"/>
      <c r="EZ97" s="327"/>
      <c r="FA97" s="327"/>
      <c r="FB97" s="327"/>
      <c r="FC97" s="327"/>
      <c r="FD97" s="327"/>
      <c r="FE97" s="327"/>
      <c r="FF97" s="327"/>
      <c r="FG97" s="327"/>
      <c r="FH97" s="327"/>
      <c r="FI97" s="327"/>
      <c r="FJ97" s="327"/>
      <c r="FK97" s="327"/>
      <c r="FL97" s="327"/>
      <c r="FM97" s="327"/>
      <c r="FN97" s="327"/>
      <c r="FO97" s="327"/>
      <c r="FP97" s="327"/>
      <c r="FQ97" s="300" t="e">
        <f t="shared" ca="1" si="94"/>
        <v>#VALUE!</v>
      </c>
      <c r="FR97" s="300" t="e">
        <f t="shared" ca="1" si="98"/>
        <v>#VALUE!</v>
      </c>
      <c r="FS97" s="300" t="e">
        <f t="shared" ca="1" si="98"/>
        <v>#VALUE!</v>
      </c>
      <c r="FT97" s="300" t="e">
        <f t="shared" ca="1" si="98"/>
        <v>#VALUE!</v>
      </c>
      <c r="FU97" s="300" t="e">
        <f t="shared" ca="1" si="98"/>
        <v>#VALUE!</v>
      </c>
      <c r="FV97" s="300" t="e">
        <f t="shared" ca="1" si="98"/>
        <v>#VALUE!</v>
      </c>
      <c r="FW97" s="300" t="e">
        <f t="shared" ca="1" si="98"/>
        <v>#VALUE!</v>
      </c>
      <c r="FX97" s="300" t="e">
        <f t="shared" ca="1" si="98"/>
        <v>#VALUE!</v>
      </c>
      <c r="FY97" s="300" t="e">
        <f t="shared" ca="1" si="98"/>
        <v>#VALUE!</v>
      </c>
      <c r="FZ97" s="300" t="e">
        <f t="shared" ca="1" si="98"/>
        <v>#VALUE!</v>
      </c>
      <c r="GA97" s="301" t="e">
        <f t="shared" ca="1" si="98"/>
        <v>#VALUE!</v>
      </c>
      <c r="GB97" s="301" t="e">
        <f t="shared" ca="1" si="99"/>
        <v>#VALUE!</v>
      </c>
      <c r="GC97" s="301" t="e">
        <f t="shared" ca="1" si="99"/>
        <v>#VALUE!</v>
      </c>
      <c r="GD97" s="301" t="e">
        <f t="shared" ca="1" si="99"/>
        <v>#VALUE!</v>
      </c>
      <c r="GE97" s="301" t="e">
        <f t="shared" ca="1" si="99"/>
        <v>#VALUE!</v>
      </c>
      <c r="GF97" s="301" t="e">
        <f t="shared" ca="1" si="99"/>
        <v>#VALUE!</v>
      </c>
      <c r="GG97" s="301" t="e">
        <f t="shared" ca="1" si="99"/>
        <v>#VALUE!</v>
      </c>
      <c r="GH97" s="301" t="e">
        <f t="shared" ca="1" si="99"/>
        <v>#VALUE!</v>
      </c>
      <c r="GI97" s="301" t="e">
        <f t="shared" ca="1" si="99"/>
        <v>#VALUE!</v>
      </c>
      <c r="GJ97" s="301" t="e">
        <f t="shared" ca="1" si="99"/>
        <v>#VALUE!</v>
      </c>
      <c r="GK97" s="301" t="e">
        <f t="shared" ca="1" si="99"/>
        <v>#VALUE!</v>
      </c>
      <c r="GL97" s="301" t="e">
        <f t="shared" ca="1" si="99"/>
        <v>#VALUE!</v>
      </c>
      <c r="GM97" s="301" t="e">
        <f t="shared" ca="1" si="99"/>
        <v>#VALUE!</v>
      </c>
      <c r="GN97" s="302" t="e">
        <f t="shared" ca="1" si="99"/>
        <v>#VALUE!</v>
      </c>
      <c r="GO97" s="302" t="e">
        <f t="shared" ca="1" si="99"/>
        <v>#VALUE!</v>
      </c>
    </row>
    <row r="98" spans="1:215">
      <c r="A98" s="291"/>
      <c r="B98" s="292"/>
      <c r="C98" s="292"/>
      <c r="D98" s="292"/>
      <c r="E98" s="292"/>
      <c r="F98" s="292"/>
      <c r="G98" s="292"/>
      <c r="H98" s="292"/>
      <c r="I98" s="292"/>
      <c r="J98" s="292"/>
      <c r="K98" s="292"/>
      <c r="L98" s="292"/>
      <c r="M98" s="292"/>
      <c r="N98" s="292"/>
      <c r="O98" s="292"/>
      <c r="P98" s="292"/>
      <c r="Q98" s="293">
        <f t="shared" si="83"/>
        <v>0</v>
      </c>
      <c r="R98" s="294">
        <f t="shared" si="84"/>
        <v>0</v>
      </c>
      <c r="S98" s="295"/>
      <c r="T98" s="295">
        <f t="shared" si="85"/>
        <v>0</v>
      </c>
      <c r="U98" s="296"/>
      <c r="V98" s="295"/>
      <c r="W98" s="292"/>
      <c r="X98" s="292"/>
      <c r="Y98" s="292"/>
      <c r="Z98" s="292"/>
      <c r="AA98" s="297">
        <f>[1]Resourcing!QD102</f>
        <v>43.526923076923097</v>
      </c>
      <c r="AB98" s="298"/>
      <c r="AC98" s="299"/>
      <c r="AD98" s="299"/>
      <c r="AE98" s="299"/>
      <c r="AF98" s="299"/>
      <c r="AG98" s="299"/>
      <c r="AH98" s="299"/>
      <c r="AI98" s="299"/>
      <c r="AJ98" s="299"/>
      <c r="AK98" s="299"/>
      <c r="AL98" s="299"/>
      <c r="AM98" s="299"/>
      <c r="AN98" s="299"/>
      <c r="AO98" s="299"/>
      <c r="AP98" s="299"/>
      <c r="AQ98" s="299"/>
      <c r="AR98" s="299"/>
      <c r="AS98" s="299"/>
      <c r="AT98" s="299"/>
      <c r="AU98" s="299"/>
      <c r="AV98" s="299"/>
      <c r="AW98" s="299"/>
      <c r="AX98" s="299"/>
      <c r="AY98" s="299"/>
      <c r="AZ98" s="299"/>
      <c r="BA98" s="299"/>
      <c r="BB98" s="299"/>
      <c r="BC98" s="299"/>
      <c r="BD98" s="299"/>
      <c r="BE98" s="299"/>
      <c r="BF98" s="299"/>
      <c r="BG98" s="299"/>
      <c r="BH98" s="299"/>
      <c r="BI98" s="299"/>
      <c r="BJ98" s="299"/>
      <c r="BK98" s="299"/>
      <c r="BL98" s="299"/>
      <c r="BM98" s="299"/>
      <c r="BN98" s="299"/>
      <c r="BO98" s="299"/>
      <c r="BP98" s="299"/>
      <c r="BQ98" s="299"/>
      <c r="BR98" s="299"/>
      <c r="BS98" s="299"/>
      <c r="BT98" s="299"/>
      <c r="BU98" s="299"/>
      <c r="BV98" s="299"/>
      <c r="BW98" s="299"/>
      <c r="BX98" s="299"/>
      <c r="BY98" s="299"/>
      <c r="BZ98" s="299"/>
      <c r="CA98" s="299"/>
      <c r="CB98" s="299"/>
      <c r="CC98" s="299"/>
      <c r="CD98" s="299"/>
      <c r="CE98" s="299"/>
      <c r="CF98" s="299"/>
      <c r="CG98" s="299"/>
      <c r="CH98" s="299"/>
      <c r="CI98" s="299"/>
      <c r="CJ98" s="299"/>
      <c r="CK98" s="299"/>
      <c r="CL98" s="299"/>
      <c r="CM98" s="299"/>
      <c r="CN98" s="299"/>
      <c r="CO98" s="299"/>
      <c r="CP98" s="299"/>
      <c r="CQ98" s="299"/>
      <c r="CR98" s="299"/>
      <c r="CS98" s="299"/>
      <c r="CT98" s="299"/>
      <c r="CU98" s="299"/>
      <c r="CV98" s="299"/>
      <c r="CW98" s="299"/>
      <c r="CX98" s="299"/>
      <c r="CY98" s="299"/>
      <c r="CZ98" s="299"/>
      <c r="DA98" s="326"/>
      <c r="DB98" s="326"/>
      <c r="DC98" s="326"/>
      <c r="DD98" s="326"/>
      <c r="DE98" s="326"/>
      <c r="DF98" s="326"/>
      <c r="DG98" s="326"/>
      <c r="DH98" s="326"/>
      <c r="DI98" s="326"/>
      <c r="DJ98" s="326"/>
      <c r="DK98" s="326"/>
      <c r="DL98" s="326"/>
      <c r="DM98" s="326"/>
      <c r="DN98" s="326"/>
      <c r="DO98" s="326"/>
      <c r="DP98" s="326"/>
      <c r="DQ98" s="326"/>
      <c r="DR98" s="326"/>
      <c r="DS98" s="326"/>
      <c r="DT98" s="326"/>
      <c r="DU98" s="326"/>
      <c r="DV98" s="326"/>
      <c r="DW98" s="326"/>
      <c r="DX98" s="326"/>
      <c r="DY98" s="326"/>
      <c r="DZ98" s="326"/>
      <c r="EA98" s="326"/>
      <c r="EB98" s="326"/>
      <c r="EC98" s="326"/>
      <c r="ED98" s="326"/>
      <c r="EE98" s="326"/>
      <c r="EF98" s="326"/>
      <c r="EG98" s="326"/>
      <c r="EH98" s="326"/>
      <c r="EI98" s="326"/>
      <c r="EJ98" s="326"/>
      <c r="EK98" s="326"/>
      <c r="EL98" s="326"/>
      <c r="EM98" s="326"/>
      <c r="EN98" s="326"/>
      <c r="EO98" s="326"/>
      <c r="EP98" s="326"/>
      <c r="EQ98" s="326"/>
      <c r="ER98" s="326"/>
      <c r="ES98" s="326"/>
      <c r="ET98" s="326"/>
      <c r="EU98" s="336"/>
      <c r="EV98" s="336"/>
      <c r="EW98" s="336"/>
      <c r="EX98" s="336"/>
      <c r="EY98" s="336"/>
      <c r="EZ98" s="336"/>
      <c r="FA98" s="336"/>
      <c r="FB98" s="336"/>
      <c r="FC98" s="336"/>
      <c r="FD98" s="336"/>
      <c r="FE98" s="336"/>
      <c r="FF98" s="336"/>
      <c r="FG98" s="336"/>
      <c r="FH98" s="336"/>
      <c r="FI98" s="336"/>
      <c r="FJ98" s="336"/>
      <c r="FK98" s="336"/>
      <c r="FL98" s="336"/>
      <c r="FM98" s="336"/>
      <c r="FN98" s="336"/>
      <c r="FO98" s="336"/>
      <c r="FP98" s="336"/>
      <c r="FQ98" s="300" t="e">
        <f t="shared" ca="1" si="94"/>
        <v>#VALUE!</v>
      </c>
      <c r="FR98" s="300" t="e">
        <f t="shared" ca="1" si="98"/>
        <v>#VALUE!</v>
      </c>
      <c r="FS98" s="300" t="e">
        <f t="shared" ca="1" si="98"/>
        <v>#VALUE!</v>
      </c>
      <c r="FT98" s="300" t="e">
        <f t="shared" ca="1" si="98"/>
        <v>#VALUE!</v>
      </c>
      <c r="FU98" s="300" t="e">
        <f t="shared" ca="1" si="98"/>
        <v>#VALUE!</v>
      </c>
      <c r="FV98" s="300" t="e">
        <f t="shared" ca="1" si="98"/>
        <v>#VALUE!</v>
      </c>
      <c r="FW98" s="300" t="e">
        <f t="shared" ca="1" si="98"/>
        <v>#VALUE!</v>
      </c>
      <c r="FX98" s="300" t="e">
        <f t="shared" ca="1" si="98"/>
        <v>#VALUE!</v>
      </c>
      <c r="FY98" s="300" t="e">
        <f t="shared" ca="1" si="98"/>
        <v>#VALUE!</v>
      </c>
      <c r="FZ98" s="300" t="e">
        <f t="shared" ca="1" si="98"/>
        <v>#VALUE!</v>
      </c>
      <c r="GA98" s="301" t="e">
        <f t="shared" ca="1" si="98"/>
        <v>#VALUE!</v>
      </c>
      <c r="GB98" s="301" t="e">
        <f t="shared" ca="1" si="99"/>
        <v>#VALUE!</v>
      </c>
      <c r="GC98" s="301" t="e">
        <f t="shared" ca="1" si="99"/>
        <v>#VALUE!</v>
      </c>
      <c r="GD98" s="301" t="e">
        <f t="shared" ca="1" si="99"/>
        <v>#VALUE!</v>
      </c>
      <c r="GE98" s="301" t="e">
        <f t="shared" ca="1" si="99"/>
        <v>#VALUE!</v>
      </c>
      <c r="GF98" s="301" t="e">
        <f t="shared" ca="1" si="99"/>
        <v>#VALUE!</v>
      </c>
      <c r="GG98" s="301" t="e">
        <f t="shared" ca="1" si="99"/>
        <v>#VALUE!</v>
      </c>
      <c r="GH98" s="301" t="e">
        <f t="shared" ca="1" si="99"/>
        <v>#VALUE!</v>
      </c>
      <c r="GI98" s="301" t="e">
        <f t="shared" ca="1" si="99"/>
        <v>#VALUE!</v>
      </c>
      <c r="GJ98" s="301" t="e">
        <f t="shared" ca="1" si="99"/>
        <v>#VALUE!</v>
      </c>
      <c r="GK98" s="301" t="e">
        <f t="shared" ca="1" si="99"/>
        <v>#VALUE!</v>
      </c>
      <c r="GL98" s="301" t="e">
        <f t="shared" ca="1" si="99"/>
        <v>#VALUE!</v>
      </c>
      <c r="GM98" s="301" t="e">
        <f t="shared" ca="1" si="99"/>
        <v>#VALUE!</v>
      </c>
      <c r="GN98" s="302" t="e">
        <f t="shared" ca="1" si="99"/>
        <v>#VALUE!</v>
      </c>
      <c r="GO98" s="302" t="e">
        <f t="shared" ca="1" si="99"/>
        <v>#VALUE!</v>
      </c>
    </row>
    <row r="99" spans="1:215" s="306" customFormat="1" ht="15.75" customHeight="1">
      <c r="A99" s="307"/>
      <c r="B99" s="292" t="s">
        <v>445</v>
      </c>
      <c r="C99" s="292" t="s">
        <v>203</v>
      </c>
      <c r="D99" s="292" t="s">
        <v>255</v>
      </c>
      <c r="E99" s="292" t="s">
        <v>446</v>
      </c>
      <c r="F99" s="292" t="s">
        <v>186</v>
      </c>
      <c r="G99" s="292" t="s">
        <v>350</v>
      </c>
      <c r="H99" s="292" t="s">
        <v>351</v>
      </c>
      <c r="I99" s="292" t="s">
        <v>352</v>
      </c>
      <c r="J99" s="292" t="s">
        <v>186</v>
      </c>
      <c r="K99" s="292" t="s">
        <v>353</v>
      </c>
      <c r="L99" s="292" t="s">
        <v>359</v>
      </c>
      <c r="M99" s="292" t="s">
        <v>360</v>
      </c>
      <c r="N99" s="292" t="str">
        <f t="shared" ref="N99:N123" si="100">_xlfn.CONCAT(C99,"-",D99)</f>
        <v>Technology -Development</v>
      </c>
      <c r="O99" s="292" t="str">
        <f t="shared" ref="O99:O123" si="101">_xlfn.CONCAT(Y99,"-",Z99,"-",F99,"-",X99)</f>
        <v>Technology-Senior Manager-US-Consulting</v>
      </c>
      <c r="P99" s="292" t="str">
        <f t="shared" ref="P99:P123" si="102">_xlfn.CONCAT(C99," - ",Y99)</f>
        <v>Technology  - Technology</v>
      </c>
      <c r="Q99" s="293">
        <f t="shared" si="83"/>
        <v>880992</v>
      </c>
      <c r="R99" s="294">
        <f t="shared" si="84"/>
        <v>109440</v>
      </c>
      <c r="S99" s="295">
        <f t="shared" ref="S99:S123" si="103">SUM(GP99:HN99)</f>
        <v>0</v>
      </c>
      <c r="T99" s="295">
        <f t="shared" si="85"/>
        <v>2576</v>
      </c>
      <c r="U99" s="296" t="str">
        <f t="shared" ref="U99:U123" si="104">_xlfn.CONCAT(Y99," - ",Z99)</f>
        <v>Technology - Senior Manager</v>
      </c>
      <c r="V99" s="295" t="str">
        <f t="shared" ref="V99:V123" si="105">VLOOKUP(O99,$B$187:$H$848,4,0)</f>
        <v>7-10 years</v>
      </c>
      <c r="W99" s="292" t="str">
        <f t="shared" ref="W99:W123" si="106">IF(F99="US", "Onshore",IF(F99="India","Offshore", "Nearshore"))</f>
        <v>Onshore</v>
      </c>
      <c r="X99" s="292" t="s">
        <v>261</v>
      </c>
      <c r="Y99" s="292" t="s">
        <v>259</v>
      </c>
      <c r="Z99" s="292" t="s">
        <v>361</v>
      </c>
      <c r="AA99" s="297">
        <f>[1]Resourcing!QD103</f>
        <v>62.440434782608698</v>
      </c>
      <c r="AB99" s="298">
        <f t="shared" ref="AB99:AB123" si="107">IFERROR(VLOOKUP(O99,$B$187:$S$848,6,FALSE()),"combination not found")</f>
        <v>342</v>
      </c>
      <c r="AC99" s="299"/>
      <c r="AD99" s="299"/>
      <c r="AE99" s="299"/>
      <c r="AF99" s="299"/>
      <c r="AG99" s="299"/>
      <c r="AH99" s="299"/>
      <c r="AI99" s="299"/>
      <c r="AJ99" s="299"/>
      <c r="AK99" s="299"/>
      <c r="AL99" s="299"/>
      <c r="AM99" s="299"/>
      <c r="AN99" s="299"/>
      <c r="AO99" s="299"/>
      <c r="AP99" s="299"/>
      <c r="AQ99" s="299"/>
      <c r="AR99" s="299"/>
      <c r="AS99" s="299"/>
      <c r="AT99" s="299"/>
      <c r="AU99" s="299"/>
      <c r="AV99" s="299"/>
      <c r="AW99" s="299"/>
      <c r="AX99" s="299"/>
      <c r="AY99" s="299"/>
      <c r="AZ99" s="299"/>
      <c r="BA99" s="299"/>
      <c r="BB99" s="299"/>
      <c r="BC99" s="299"/>
      <c r="BD99" s="299"/>
      <c r="BE99" s="299">
        <v>32</v>
      </c>
      <c r="BF99" s="299">
        <v>32</v>
      </c>
      <c r="BG99" s="299">
        <v>32</v>
      </c>
      <c r="BH99" s="299">
        <v>32</v>
      </c>
      <c r="BI99" s="299">
        <v>32</v>
      </c>
      <c r="BJ99" s="299">
        <v>32</v>
      </c>
      <c r="BK99" s="299">
        <v>32</v>
      </c>
      <c r="BL99" s="299">
        <v>32</v>
      </c>
      <c r="BM99" s="299">
        <v>32</v>
      </c>
      <c r="BN99" s="299">
        <v>32</v>
      </c>
      <c r="BO99" s="299">
        <v>32</v>
      </c>
      <c r="BP99" s="299">
        <v>32</v>
      </c>
      <c r="BQ99" s="299">
        <v>32</v>
      </c>
      <c r="BR99" s="299"/>
      <c r="BS99" s="299"/>
      <c r="BT99" s="299">
        <v>32</v>
      </c>
      <c r="BU99" s="299">
        <v>32</v>
      </c>
      <c r="BV99" s="299">
        <v>32</v>
      </c>
      <c r="BW99" s="299">
        <v>32</v>
      </c>
      <c r="BX99" s="299">
        <v>32</v>
      </c>
      <c r="BY99" s="299">
        <v>32</v>
      </c>
      <c r="BZ99" s="299">
        <v>32</v>
      </c>
      <c r="CA99" s="299">
        <v>32</v>
      </c>
      <c r="CB99" s="299">
        <v>32</v>
      </c>
      <c r="CC99" s="299">
        <v>32</v>
      </c>
      <c r="CD99" s="299">
        <v>32</v>
      </c>
      <c r="CE99" s="299">
        <v>32</v>
      </c>
      <c r="CF99" s="299">
        <v>32</v>
      </c>
      <c r="CG99" s="299">
        <v>32</v>
      </c>
      <c r="CH99" s="299">
        <v>32</v>
      </c>
      <c r="CI99" s="299">
        <v>32</v>
      </c>
      <c r="CJ99" s="299">
        <v>32</v>
      </c>
      <c r="CK99" s="299">
        <v>32</v>
      </c>
      <c r="CL99" s="299">
        <v>32</v>
      </c>
      <c r="CM99" s="299">
        <v>32</v>
      </c>
      <c r="CN99" s="299">
        <v>32</v>
      </c>
      <c r="CO99" s="299">
        <v>32</v>
      </c>
      <c r="CP99" s="299">
        <v>32</v>
      </c>
      <c r="CQ99" s="299">
        <v>32</v>
      </c>
      <c r="CR99" s="299">
        <v>32</v>
      </c>
      <c r="CS99" s="299">
        <v>32</v>
      </c>
      <c r="CT99" s="299">
        <v>32</v>
      </c>
      <c r="CU99" s="299">
        <v>32</v>
      </c>
      <c r="CV99" s="299">
        <v>32</v>
      </c>
      <c r="CW99" s="299">
        <v>32</v>
      </c>
      <c r="CX99" s="299">
        <v>32</v>
      </c>
      <c r="CY99" s="299">
        <v>32</v>
      </c>
      <c r="CZ99" s="299">
        <v>32</v>
      </c>
      <c r="DA99" s="299">
        <v>32</v>
      </c>
      <c r="DB99" s="299">
        <v>32</v>
      </c>
      <c r="DC99" s="299">
        <v>32</v>
      </c>
      <c r="DD99" s="299">
        <v>32</v>
      </c>
      <c r="DE99" s="299">
        <v>32</v>
      </c>
      <c r="DF99" s="299">
        <v>32</v>
      </c>
      <c r="DG99" s="299">
        <v>32</v>
      </c>
      <c r="DH99" s="299">
        <v>32</v>
      </c>
      <c r="DI99" s="299">
        <v>32</v>
      </c>
      <c r="DJ99" s="299">
        <v>32</v>
      </c>
      <c r="DK99" s="299">
        <v>32</v>
      </c>
      <c r="DL99" s="299">
        <v>32</v>
      </c>
      <c r="DM99" s="299">
        <v>32</v>
      </c>
      <c r="DN99" s="299">
        <v>32</v>
      </c>
      <c r="DO99" s="299">
        <v>32</v>
      </c>
      <c r="DP99" s="299">
        <v>32</v>
      </c>
      <c r="DQ99" s="299">
        <v>32</v>
      </c>
      <c r="DR99" s="299"/>
      <c r="DS99" s="299"/>
      <c r="DT99" s="299">
        <v>32</v>
      </c>
      <c r="DU99" s="299">
        <v>32</v>
      </c>
      <c r="DV99" s="299">
        <v>32</v>
      </c>
      <c r="DW99" s="299">
        <v>32</v>
      </c>
      <c r="DX99" s="299">
        <v>32</v>
      </c>
      <c r="DY99" s="299">
        <v>32</v>
      </c>
      <c r="DZ99" s="299">
        <v>32</v>
      </c>
      <c r="EA99" s="299">
        <v>32</v>
      </c>
      <c r="EB99" s="299">
        <v>32</v>
      </c>
      <c r="EC99" s="299">
        <v>32</v>
      </c>
      <c r="ED99" s="299">
        <v>32</v>
      </c>
      <c r="EE99" s="299">
        <v>32</v>
      </c>
      <c r="EF99" s="299">
        <v>32</v>
      </c>
      <c r="EG99" s="299">
        <v>16</v>
      </c>
      <c r="EH99" s="299">
        <v>16</v>
      </c>
      <c r="EI99" s="299">
        <v>16</v>
      </c>
      <c r="EJ99" s="299">
        <v>16</v>
      </c>
      <c r="EK99" s="299">
        <v>16</v>
      </c>
      <c r="EL99" s="299">
        <v>16</v>
      </c>
      <c r="EM99" s="299">
        <v>16</v>
      </c>
      <c r="EN99" s="299">
        <v>16</v>
      </c>
      <c r="EO99" s="299">
        <v>16</v>
      </c>
      <c r="EP99" s="299"/>
      <c r="EQ99" s="299"/>
      <c r="ER99" s="299"/>
      <c r="ES99" s="299"/>
      <c r="ET99" s="299"/>
      <c r="EU99" s="299"/>
      <c r="EV99" s="299"/>
      <c r="EW99" s="299"/>
      <c r="EX99" s="299"/>
      <c r="EY99" s="299"/>
      <c r="EZ99" s="299"/>
      <c r="FA99" s="299"/>
      <c r="FB99" s="299"/>
      <c r="FC99" s="299"/>
      <c r="FD99" s="299"/>
      <c r="FE99" s="299"/>
      <c r="FF99" s="299"/>
      <c r="FG99" s="299"/>
      <c r="FH99" s="299"/>
      <c r="FI99" s="299"/>
      <c r="FJ99" s="299"/>
      <c r="FK99" s="299"/>
      <c r="FL99" s="299"/>
      <c r="FM99" s="299"/>
      <c r="FN99" s="299"/>
      <c r="FO99" s="299"/>
      <c r="FP99" s="299"/>
      <c r="FQ99" s="300" t="e">
        <f t="shared" ca="1" si="94"/>
        <v>#VALUE!</v>
      </c>
      <c r="FR99" s="300" t="e">
        <f t="shared" ca="1" si="98"/>
        <v>#VALUE!</v>
      </c>
      <c r="FS99" s="300" t="e">
        <f t="shared" ca="1" si="98"/>
        <v>#VALUE!</v>
      </c>
      <c r="FT99" s="300" t="e">
        <f t="shared" ca="1" si="98"/>
        <v>#VALUE!</v>
      </c>
      <c r="FU99" s="300" t="e">
        <f t="shared" ca="1" si="98"/>
        <v>#VALUE!</v>
      </c>
      <c r="FV99" s="300" t="e">
        <f t="shared" ca="1" si="98"/>
        <v>#VALUE!</v>
      </c>
      <c r="FW99" s="300" t="e">
        <f t="shared" ca="1" si="98"/>
        <v>#VALUE!</v>
      </c>
      <c r="FX99" s="300" t="e">
        <f t="shared" ca="1" si="98"/>
        <v>#VALUE!</v>
      </c>
      <c r="FY99" s="300" t="e">
        <f t="shared" ca="1" si="98"/>
        <v>#VALUE!</v>
      </c>
      <c r="FZ99" s="300" t="e">
        <f t="shared" ca="1" si="98"/>
        <v>#VALUE!</v>
      </c>
      <c r="GA99" s="301" t="e">
        <f t="shared" ca="1" si="98"/>
        <v>#VALUE!</v>
      </c>
      <c r="GB99" s="301" t="e">
        <f t="shared" ca="1" si="99"/>
        <v>#VALUE!</v>
      </c>
      <c r="GC99" s="301" t="e">
        <f t="shared" ca="1" si="99"/>
        <v>#VALUE!</v>
      </c>
      <c r="GD99" s="301" t="e">
        <f t="shared" ca="1" si="99"/>
        <v>#VALUE!</v>
      </c>
      <c r="GE99" s="301" t="e">
        <f t="shared" ca="1" si="99"/>
        <v>#VALUE!</v>
      </c>
      <c r="GF99" s="301" t="e">
        <f t="shared" ca="1" si="99"/>
        <v>#VALUE!</v>
      </c>
      <c r="GG99" s="301" t="e">
        <f t="shared" ca="1" si="99"/>
        <v>#VALUE!</v>
      </c>
      <c r="GH99" s="301" t="e">
        <f t="shared" ca="1" si="99"/>
        <v>#VALUE!</v>
      </c>
      <c r="GI99" s="301" t="e">
        <f t="shared" ca="1" si="99"/>
        <v>#VALUE!</v>
      </c>
      <c r="GJ99" s="301" t="e">
        <f t="shared" ca="1" si="99"/>
        <v>#VALUE!</v>
      </c>
      <c r="GK99" s="301" t="e">
        <f t="shared" ca="1" si="99"/>
        <v>#VALUE!</v>
      </c>
      <c r="GL99" s="301" t="e">
        <f t="shared" ca="1" si="99"/>
        <v>#VALUE!</v>
      </c>
      <c r="GM99" s="301" t="e">
        <f t="shared" ca="1" si="99"/>
        <v>#VALUE!</v>
      </c>
      <c r="GN99" s="302" t="e">
        <f t="shared" ca="1" si="99"/>
        <v>#VALUE!</v>
      </c>
      <c r="GO99" s="302" t="e">
        <f t="shared" ca="1" si="99"/>
        <v>#VALUE!</v>
      </c>
      <c r="GP99" s="301"/>
      <c r="GQ99" s="301"/>
      <c r="GR99" s="301"/>
      <c r="GS99" s="301"/>
      <c r="GT99" s="301"/>
      <c r="GU99" s="303"/>
      <c r="GV99" s="302"/>
      <c r="GW99" s="302"/>
      <c r="GX99" s="302"/>
      <c r="GY99" s="302"/>
      <c r="GZ99" s="302"/>
      <c r="HA99" s="302"/>
      <c r="HB99" s="302"/>
      <c r="HC99" s="302"/>
      <c r="HD99" s="302"/>
      <c r="HE99" s="302"/>
      <c r="HF99" s="304"/>
      <c r="HG99" s="305"/>
    </row>
    <row r="100" spans="1:215" s="306" customFormat="1" ht="15.75" customHeight="1">
      <c r="A100" s="307"/>
      <c r="B100" s="292" t="s">
        <v>445</v>
      </c>
      <c r="C100" s="292" t="s">
        <v>203</v>
      </c>
      <c r="D100" s="292" t="s">
        <v>255</v>
      </c>
      <c r="E100" s="292" t="s">
        <v>447</v>
      </c>
      <c r="F100" s="292" t="s">
        <v>186</v>
      </c>
      <c r="G100" s="292" t="s">
        <v>350</v>
      </c>
      <c r="H100" s="292" t="s">
        <v>351</v>
      </c>
      <c r="I100" s="292" t="s">
        <v>352</v>
      </c>
      <c r="J100" s="292" t="s">
        <v>186</v>
      </c>
      <c r="K100" s="292" t="s">
        <v>353</v>
      </c>
      <c r="L100" s="292" t="s">
        <v>359</v>
      </c>
      <c r="M100" s="292" t="s">
        <v>371</v>
      </c>
      <c r="N100" s="292" t="str">
        <f t="shared" si="100"/>
        <v>Technology -Development</v>
      </c>
      <c r="O100" s="292" t="str">
        <f t="shared" si="101"/>
        <v>Technology-Manager-US-Consulting</v>
      </c>
      <c r="P100" s="292" t="str">
        <f t="shared" si="102"/>
        <v>Technology  - Technology</v>
      </c>
      <c r="Q100" s="293">
        <f t="shared" si="83"/>
        <v>1077120</v>
      </c>
      <c r="R100" s="294">
        <f t="shared" si="84"/>
        <v>97920</v>
      </c>
      <c r="S100" s="295">
        <f t="shared" si="103"/>
        <v>1160</v>
      </c>
      <c r="T100" s="295">
        <f t="shared" si="85"/>
        <v>3520</v>
      </c>
      <c r="U100" s="296" t="str">
        <f t="shared" si="104"/>
        <v>Technology - Manager</v>
      </c>
      <c r="V100" s="295" t="str">
        <f t="shared" si="105"/>
        <v>5-7 years</v>
      </c>
      <c r="W100" s="292" t="str">
        <f t="shared" si="106"/>
        <v>Onshore</v>
      </c>
      <c r="X100" s="292" t="s">
        <v>261</v>
      </c>
      <c r="Y100" s="292" t="s">
        <v>259</v>
      </c>
      <c r="Z100" s="292" t="s">
        <v>376</v>
      </c>
      <c r="AA100" s="297">
        <f>[1]Resourcing!QD104</f>
        <v>43.1308333333333</v>
      </c>
      <c r="AB100" s="298">
        <f t="shared" si="107"/>
        <v>306</v>
      </c>
      <c r="AC100" s="299"/>
      <c r="AD100" s="299"/>
      <c r="AE100" s="299"/>
      <c r="AF100" s="299"/>
      <c r="AG100" s="299"/>
      <c r="AH100" s="299"/>
      <c r="AI100" s="299"/>
      <c r="AJ100" s="299"/>
      <c r="AK100" s="299"/>
      <c r="AL100" s="299"/>
      <c r="AM100" s="299"/>
      <c r="AN100" s="299"/>
      <c r="AO100" s="299"/>
      <c r="AP100" s="299"/>
      <c r="AQ100" s="299"/>
      <c r="AR100" s="299"/>
      <c r="AS100" s="299"/>
      <c r="AT100" s="299"/>
      <c r="AU100" s="299"/>
      <c r="AV100" s="299"/>
      <c r="AW100" s="299"/>
      <c r="AX100" s="299"/>
      <c r="AY100" s="299"/>
      <c r="AZ100" s="299"/>
      <c r="BA100" s="299"/>
      <c r="BB100" s="299"/>
      <c r="BC100" s="299"/>
      <c r="BD100" s="299"/>
      <c r="BE100" s="299"/>
      <c r="BF100" s="299"/>
      <c r="BG100" s="299">
        <v>40</v>
      </c>
      <c r="BH100" s="299">
        <v>40</v>
      </c>
      <c r="BI100" s="299">
        <v>40</v>
      </c>
      <c r="BJ100" s="299">
        <v>40</v>
      </c>
      <c r="BK100" s="299">
        <v>40</v>
      </c>
      <c r="BL100" s="299">
        <v>40</v>
      </c>
      <c r="BM100" s="299">
        <v>40</v>
      </c>
      <c r="BN100" s="299">
        <v>40</v>
      </c>
      <c r="BO100" s="299">
        <v>40</v>
      </c>
      <c r="BP100" s="299">
        <v>40</v>
      </c>
      <c r="BQ100" s="299">
        <v>40</v>
      </c>
      <c r="BR100" s="299"/>
      <c r="BS100" s="299"/>
      <c r="BT100" s="299">
        <v>40</v>
      </c>
      <c r="BU100" s="299">
        <v>40</v>
      </c>
      <c r="BV100" s="299">
        <v>40</v>
      </c>
      <c r="BW100" s="299">
        <v>40</v>
      </c>
      <c r="BX100" s="299">
        <v>40</v>
      </c>
      <c r="BY100" s="299">
        <v>40</v>
      </c>
      <c r="BZ100" s="299">
        <v>40</v>
      </c>
      <c r="CA100" s="299">
        <v>40</v>
      </c>
      <c r="CB100" s="299">
        <v>40</v>
      </c>
      <c r="CC100" s="299">
        <v>40</v>
      </c>
      <c r="CD100" s="299">
        <v>40</v>
      </c>
      <c r="CE100" s="299">
        <v>40</v>
      </c>
      <c r="CF100" s="299">
        <v>40</v>
      </c>
      <c r="CG100" s="299">
        <v>40</v>
      </c>
      <c r="CH100" s="299">
        <v>40</v>
      </c>
      <c r="CI100" s="299">
        <v>40</v>
      </c>
      <c r="CJ100" s="299">
        <v>40</v>
      </c>
      <c r="CK100" s="299">
        <v>40</v>
      </c>
      <c r="CL100" s="299">
        <v>40</v>
      </c>
      <c r="CM100" s="299">
        <v>40</v>
      </c>
      <c r="CN100" s="299">
        <v>40</v>
      </c>
      <c r="CO100" s="299">
        <v>40</v>
      </c>
      <c r="CP100" s="299">
        <v>40</v>
      </c>
      <c r="CQ100" s="299">
        <v>40</v>
      </c>
      <c r="CR100" s="299">
        <v>40</v>
      </c>
      <c r="CS100" s="299">
        <v>40</v>
      </c>
      <c r="CT100" s="299">
        <v>40</v>
      </c>
      <c r="CU100" s="299">
        <v>40</v>
      </c>
      <c r="CV100" s="299">
        <v>40</v>
      </c>
      <c r="CW100" s="299">
        <v>40</v>
      </c>
      <c r="CX100" s="299">
        <v>40</v>
      </c>
      <c r="CY100" s="299">
        <v>40</v>
      </c>
      <c r="CZ100" s="299">
        <v>40</v>
      </c>
      <c r="DA100" s="299">
        <v>40</v>
      </c>
      <c r="DB100" s="299">
        <v>40</v>
      </c>
      <c r="DC100" s="299">
        <v>40</v>
      </c>
      <c r="DD100" s="299">
        <v>40</v>
      </c>
      <c r="DE100" s="299">
        <v>40</v>
      </c>
      <c r="DF100" s="299">
        <v>40</v>
      </c>
      <c r="DG100" s="299">
        <v>40</v>
      </c>
      <c r="DH100" s="299">
        <v>40</v>
      </c>
      <c r="DI100" s="299">
        <v>40</v>
      </c>
      <c r="DJ100" s="299">
        <v>40</v>
      </c>
      <c r="DK100" s="299">
        <v>40</v>
      </c>
      <c r="DL100" s="299">
        <v>40</v>
      </c>
      <c r="DM100" s="299">
        <v>40</v>
      </c>
      <c r="DN100" s="299">
        <v>40</v>
      </c>
      <c r="DO100" s="299">
        <v>40</v>
      </c>
      <c r="DP100" s="299">
        <v>40</v>
      </c>
      <c r="DQ100" s="299">
        <v>40</v>
      </c>
      <c r="DR100" s="299"/>
      <c r="DS100" s="299"/>
      <c r="DT100" s="299">
        <v>40</v>
      </c>
      <c r="DU100" s="299">
        <v>40</v>
      </c>
      <c r="DV100" s="299">
        <v>40</v>
      </c>
      <c r="DW100" s="299">
        <v>40</v>
      </c>
      <c r="DX100" s="299">
        <v>40</v>
      </c>
      <c r="DY100" s="299">
        <v>40</v>
      </c>
      <c r="DZ100" s="299">
        <v>40</v>
      </c>
      <c r="EA100" s="299">
        <v>40</v>
      </c>
      <c r="EB100" s="299">
        <v>40</v>
      </c>
      <c r="EC100" s="299">
        <v>40</v>
      </c>
      <c r="ED100" s="299">
        <v>40</v>
      </c>
      <c r="EE100" s="299">
        <v>40</v>
      </c>
      <c r="EF100" s="299">
        <v>40</v>
      </c>
      <c r="EG100" s="299">
        <v>40</v>
      </c>
      <c r="EH100" s="299">
        <v>40</v>
      </c>
      <c r="EI100" s="299">
        <v>40</v>
      </c>
      <c r="EJ100" s="299">
        <v>40</v>
      </c>
      <c r="EK100" s="299">
        <v>40</v>
      </c>
      <c r="EL100" s="299">
        <v>40</v>
      </c>
      <c r="EM100" s="299">
        <v>40</v>
      </c>
      <c r="EN100" s="299">
        <v>40</v>
      </c>
      <c r="EO100" s="299">
        <v>40</v>
      </c>
      <c r="EP100" s="299">
        <v>40</v>
      </c>
      <c r="EQ100" s="299">
        <v>40</v>
      </c>
      <c r="ER100" s="299">
        <v>40</v>
      </c>
      <c r="ES100" s="299">
        <v>40</v>
      </c>
      <c r="ET100" s="299">
        <v>40</v>
      </c>
      <c r="EU100" s="299"/>
      <c r="EV100" s="299"/>
      <c r="EW100" s="299"/>
      <c r="EX100" s="299"/>
      <c r="EY100" s="299"/>
      <c r="EZ100" s="299"/>
      <c r="FA100" s="299"/>
      <c r="FB100" s="299"/>
      <c r="FC100" s="299"/>
      <c r="FD100" s="299"/>
      <c r="FE100" s="299"/>
      <c r="FF100" s="299"/>
      <c r="FG100" s="299"/>
      <c r="FH100" s="299"/>
      <c r="FI100" s="299"/>
      <c r="FJ100" s="299"/>
      <c r="FK100" s="299"/>
      <c r="FL100" s="299"/>
      <c r="FM100" s="299"/>
      <c r="FN100" s="299"/>
      <c r="FO100" s="299"/>
      <c r="FP100" s="299"/>
      <c r="FQ100" s="300" t="e">
        <f t="shared" ca="1" si="94"/>
        <v>#VALUE!</v>
      </c>
      <c r="FR100" s="300" t="e">
        <f t="shared" ca="1" si="98"/>
        <v>#VALUE!</v>
      </c>
      <c r="FS100" s="300" t="e">
        <f t="shared" ca="1" si="98"/>
        <v>#VALUE!</v>
      </c>
      <c r="FT100" s="300" t="e">
        <f t="shared" ca="1" si="98"/>
        <v>#VALUE!</v>
      </c>
      <c r="FU100" s="300" t="e">
        <f t="shared" ca="1" si="98"/>
        <v>#VALUE!</v>
      </c>
      <c r="FV100" s="300" t="e">
        <f t="shared" ca="1" si="98"/>
        <v>#VALUE!</v>
      </c>
      <c r="FW100" s="300" t="e">
        <f t="shared" ca="1" si="98"/>
        <v>#VALUE!</v>
      </c>
      <c r="FX100" s="300" t="e">
        <f t="shared" ca="1" si="98"/>
        <v>#VALUE!</v>
      </c>
      <c r="FY100" s="300" t="e">
        <f t="shared" ca="1" si="98"/>
        <v>#VALUE!</v>
      </c>
      <c r="FZ100" s="300" t="e">
        <f t="shared" ca="1" si="98"/>
        <v>#VALUE!</v>
      </c>
      <c r="GA100" s="301" t="e">
        <f t="shared" ca="1" si="98"/>
        <v>#VALUE!</v>
      </c>
      <c r="GB100" s="301" t="e">
        <f t="shared" ca="1" si="99"/>
        <v>#VALUE!</v>
      </c>
      <c r="GC100" s="301" t="e">
        <f t="shared" ca="1" si="99"/>
        <v>#VALUE!</v>
      </c>
      <c r="GD100" s="301" t="e">
        <f t="shared" ca="1" si="99"/>
        <v>#VALUE!</v>
      </c>
      <c r="GE100" s="301" t="e">
        <f t="shared" ca="1" si="99"/>
        <v>#VALUE!</v>
      </c>
      <c r="GF100" s="301" t="e">
        <f t="shared" ca="1" si="99"/>
        <v>#VALUE!</v>
      </c>
      <c r="GG100" s="301" t="e">
        <f t="shared" ca="1" si="99"/>
        <v>#VALUE!</v>
      </c>
      <c r="GH100" s="301" t="e">
        <f t="shared" ca="1" si="99"/>
        <v>#VALUE!</v>
      </c>
      <c r="GI100" s="301" t="e">
        <f t="shared" ca="1" si="99"/>
        <v>#VALUE!</v>
      </c>
      <c r="GJ100" s="301" t="e">
        <f t="shared" ca="1" si="99"/>
        <v>#VALUE!</v>
      </c>
      <c r="GK100" s="301" t="e">
        <f t="shared" ca="1" si="99"/>
        <v>#VALUE!</v>
      </c>
      <c r="GL100" s="301" t="e">
        <f t="shared" ca="1" si="99"/>
        <v>#VALUE!</v>
      </c>
      <c r="GM100" s="301" t="e">
        <f t="shared" ca="1" si="99"/>
        <v>#VALUE!</v>
      </c>
      <c r="GN100" s="302" t="e">
        <f t="shared" ca="1" si="99"/>
        <v>#VALUE!</v>
      </c>
      <c r="GO100" s="302" t="e">
        <f t="shared" ca="1" si="99"/>
        <v>#VALUE!</v>
      </c>
      <c r="GP100" s="301">
        <f t="shared" ref="GP100:HE109" si="108">SUMIF($AB$8:$FO$8,GP$9,$AB100:$FO100)</f>
        <v>80</v>
      </c>
      <c r="GQ100" s="301">
        <f t="shared" si="108"/>
        <v>160</v>
      </c>
      <c r="GR100" s="301">
        <f t="shared" si="108"/>
        <v>160</v>
      </c>
      <c r="GS100" s="301">
        <f t="shared" si="108"/>
        <v>160</v>
      </c>
      <c r="GT100" s="301">
        <f t="shared" si="108"/>
        <v>160</v>
      </c>
      <c r="GU100" s="303">
        <f t="shared" si="108"/>
        <v>160</v>
      </c>
      <c r="GV100" s="302">
        <f t="shared" si="108"/>
        <v>160</v>
      </c>
      <c r="GW100" s="302">
        <f t="shared" si="108"/>
        <v>120</v>
      </c>
      <c r="GX100" s="302">
        <f t="shared" si="108"/>
        <v>0</v>
      </c>
      <c r="GY100" s="302">
        <f t="shared" si="108"/>
        <v>0</v>
      </c>
      <c r="GZ100" s="302">
        <f t="shared" si="108"/>
        <v>0</v>
      </c>
      <c r="HA100" s="302">
        <f t="shared" si="108"/>
        <v>0</v>
      </c>
      <c r="HB100" s="302">
        <f t="shared" si="108"/>
        <v>0</v>
      </c>
      <c r="HC100" s="302">
        <f t="shared" si="108"/>
        <v>0</v>
      </c>
      <c r="HD100" s="302">
        <f t="shared" si="108"/>
        <v>0</v>
      </c>
      <c r="HE100" s="302">
        <f t="shared" si="108"/>
        <v>0</v>
      </c>
      <c r="HF100" s="304"/>
      <c r="HG100" s="305"/>
    </row>
    <row r="101" spans="1:215" s="306" customFormat="1" ht="15.75" customHeight="1">
      <c r="A101" s="307"/>
      <c r="B101" s="292" t="s">
        <v>445</v>
      </c>
      <c r="C101" s="292" t="s">
        <v>203</v>
      </c>
      <c r="D101" s="292" t="s">
        <v>255</v>
      </c>
      <c r="E101" s="292" t="s">
        <v>448</v>
      </c>
      <c r="F101" s="292" t="s">
        <v>186</v>
      </c>
      <c r="G101" s="292" t="s">
        <v>350</v>
      </c>
      <c r="H101" s="292" t="s">
        <v>351</v>
      </c>
      <c r="I101" s="292" t="s">
        <v>352</v>
      </c>
      <c r="J101" s="292" t="s">
        <v>207</v>
      </c>
      <c r="K101" s="292" t="s">
        <v>353</v>
      </c>
      <c r="L101" s="292" t="s">
        <v>449</v>
      </c>
      <c r="M101" s="292" t="s">
        <v>374</v>
      </c>
      <c r="N101" s="292" t="str">
        <f t="shared" si="100"/>
        <v>Technology -Development</v>
      </c>
      <c r="O101" s="292" t="str">
        <f t="shared" si="101"/>
        <v>Technology-Senior Consultant-US-Consulting</v>
      </c>
      <c r="P101" s="292" t="str">
        <f t="shared" si="102"/>
        <v>Technology  - Technology</v>
      </c>
      <c r="Q101" s="293">
        <f t="shared" si="83"/>
        <v>795600</v>
      </c>
      <c r="R101" s="294">
        <f t="shared" si="84"/>
        <v>0</v>
      </c>
      <c r="S101" s="295">
        <f t="shared" si="103"/>
        <v>1215</v>
      </c>
      <c r="T101" s="295">
        <f t="shared" si="85"/>
        <v>3060</v>
      </c>
      <c r="U101" s="296" t="str">
        <f t="shared" si="104"/>
        <v>Technology - Senior Consultant</v>
      </c>
      <c r="V101" s="295" t="str">
        <f t="shared" si="105"/>
        <v>3-5 years</v>
      </c>
      <c r="W101" s="292" t="str">
        <f t="shared" si="106"/>
        <v>Onshore</v>
      </c>
      <c r="X101" s="292" t="s">
        <v>261</v>
      </c>
      <c r="Y101" s="292" t="s">
        <v>259</v>
      </c>
      <c r="Z101" s="292" t="s">
        <v>364</v>
      </c>
      <c r="AA101" s="297">
        <f>[1]Resourcing!QD105</f>
        <v>0</v>
      </c>
      <c r="AB101" s="298">
        <f t="shared" si="107"/>
        <v>260</v>
      </c>
      <c r="AC101" s="299"/>
      <c r="AD101" s="299"/>
      <c r="AE101" s="299"/>
      <c r="AF101" s="299"/>
      <c r="AG101" s="299"/>
      <c r="AH101" s="299"/>
      <c r="AI101" s="299"/>
      <c r="AJ101" s="299"/>
      <c r="AK101" s="299"/>
      <c r="AL101" s="299"/>
      <c r="AM101" s="299"/>
      <c r="AN101" s="299"/>
      <c r="AO101" s="299"/>
      <c r="AP101" s="299"/>
      <c r="AQ101" s="299"/>
      <c r="AR101" s="299"/>
      <c r="AS101" s="299"/>
      <c r="AT101" s="299"/>
      <c r="AU101" s="299"/>
      <c r="AV101" s="299"/>
      <c r="AW101" s="299"/>
      <c r="AX101" s="299"/>
      <c r="AY101" s="299"/>
      <c r="AZ101" s="299"/>
      <c r="BA101" s="299"/>
      <c r="BB101" s="299"/>
      <c r="BC101" s="299"/>
      <c r="BD101" s="299"/>
      <c r="BE101" s="299"/>
      <c r="BF101" s="299"/>
      <c r="BG101" s="299"/>
      <c r="BH101" s="299"/>
      <c r="BI101" s="299"/>
      <c r="BJ101" s="299"/>
      <c r="BK101" s="299"/>
      <c r="BL101" s="299"/>
      <c r="BM101" s="299"/>
      <c r="BN101" s="299"/>
      <c r="BO101" s="299"/>
      <c r="BP101" s="299"/>
      <c r="BQ101" s="299"/>
      <c r="BR101" s="299"/>
      <c r="BS101" s="299"/>
      <c r="BT101" s="299"/>
      <c r="BU101" s="299"/>
      <c r="BV101" s="299"/>
      <c r="BW101" s="299"/>
      <c r="BX101" s="299"/>
      <c r="BY101" s="299"/>
      <c r="BZ101" s="299"/>
      <c r="CA101" s="299">
        <v>45</v>
      </c>
      <c r="CB101" s="299">
        <v>45</v>
      </c>
      <c r="CC101" s="299">
        <v>45</v>
      </c>
      <c r="CD101" s="299">
        <v>45</v>
      </c>
      <c r="CE101" s="299">
        <v>45</v>
      </c>
      <c r="CF101" s="299">
        <v>45</v>
      </c>
      <c r="CG101" s="299">
        <v>45</v>
      </c>
      <c r="CH101" s="299">
        <v>45</v>
      </c>
      <c r="CI101" s="299">
        <v>45</v>
      </c>
      <c r="CJ101" s="299">
        <v>45</v>
      </c>
      <c r="CK101" s="299">
        <v>45</v>
      </c>
      <c r="CL101" s="299">
        <v>45</v>
      </c>
      <c r="CM101" s="299">
        <v>45</v>
      </c>
      <c r="CN101" s="299">
        <v>45</v>
      </c>
      <c r="CO101" s="299">
        <v>45</v>
      </c>
      <c r="CP101" s="299">
        <v>45</v>
      </c>
      <c r="CQ101" s="299">
        <v>45</v>
      </c>
      <c r="CR101" s="299">
        <v>45</v>
      </c>
      <c r="CS101" s="299">
        <v>45</v>
      </c>
      <c r="CT101" s="299">
        <v>45</v>
      </c>
      <c r="CU101" s="299">
        <v>45</v>
      </c>
      <c r="CV101" s="299">
        <v>45</v>
      </c>
      <c r="CW101" s="299">
        <v>45</v>
      </c>
      <c r="CX101" s="299">
        <v>45</v>
      </c>
      <c r="CY101" s="299">
        <v>45</v>
      </c>
      <c r="CZ101" s="299">
        <v>45</v>
      </c>
      <c r="DA101" s="299">
        <v>45</v>
      </c>
      <c r="DB101" s="299">
        <v>45</v>
      </c>
      <c r="DC101" s="299">
        <v>45</v>
      </c>
      <c r="DD101" s="299">
        <v>45</v>
      </c>
      <c r="DE101" s="299">
        <v>45</v>
      </c>
      <c r="DF101" s="299">
        <v>45</v>
      </c>
      <c r="DG101" s="299">
        <v>45</v>
      </c>
      <c r="DH101" s="299">
        <v>45</v>
      </c>
      <c r="DI101" s="299">
        <v>45</v>
      </c>
      <c r="DJ101" s="299">
        <v>45</v>
      </c>
      <c r="DK101" s="299">
        <v>45</v>
      </c>
      <c r="DL101" s="299">
        <v>45</v>
      </c>
      <c r="DM101" s="299">
        <v>45</v>
      </c>
      <c r="DN101" s="299">
        <v>45</v>
      </c>
      <c r="DO101" s="299">
        <v>45</v>
      </c>
      <c r="DP101" s="299">
        <v>45</v>
      </c>
      <c r="DQ101" s="299">
        <v>45</v>
      </c>
      <c r="DR101" s="299"/>
      <c r="DS101" s="299"/>
      <c r="DT101" s="299">
        <v>45</v>
      </c>
      <c r="DU101" s="299">
        <v>45</v>
      </c>
      <c r="DV101" s="299">
        <v>45</v>
      </c>
      <c r="DW101" s="299">
        <v>45</v>
      </c>
      <c r="DX101" s="299">
        <v>45</v>
      </c>
      <c r="DY101" s="299">
        <v>45</v>
      </c>
      <c r="DZ101" s="299">
        <v>45</v>
      </c>
      <c r="EA101" s="299">
        <v>45</v>
      </c>
      <c r="EB101" s="299">
        <v>45</v>
      </c>
      <c r="EC101" s="299">
        <v>45</v>
      </c>
      <c r="ED101" s="299">
        <v>45</v>
      </c>
      <c r="EE101" s="299">
        <v>45</v>
      </c>
      <c r="EF101" s="299">
        <v>45</v>
      </c>
      <c r="EG101" s="299">
        <v>45</v>
      </c>
      <c r="EH101" s="299">
        <v>45</v>
      </c>
      <c r="EI101" s="299">
        <v>45</v>
      </c>
      <c r="EJ101" s="299">
        <v>45</v>
      </c>
      <c r="EK101" s="299">
        <v>45</v>
      </c>
      <c r="EL101" s="299">
        <v>45</v>
      </c>
      <c r="EM101" s="299">
        <v>45</v>
      </c>
      <c r="EN101" s="299">
        <v>45</v>
      </c>
      <c r="EO101" s="299">
        <v>45</v>
      </c>
      <c r="EP101" s="299">
        <v>45</v>
      </c>
      <c r="EQ101" s="299">
        <v>45</v>
      </c>
      <c r="ER101" s="299">
        <v>45</v>
      </c>
      <c r="ES101" s="299"/>
      <c r="ET101" s="299"/>
      <c r="EU101" s="299"/>
      <c r="EV101" s="299"/>
      <c r="EW101" s="299"/>
      <c r="EX101" s="299"/>
      <c r="EY101" s="299"/>
      <c r="EZ101" s="299"/>
      <c r="FA101" s="299"/>
      <c r="FB101" s="299"/>
      <c r="FC101" s="299"/>
      <c r="FD101" s="299"/>
      <c r="FE101" s="299"/>
      <c r="FF101" s="299"/>
      <c r="FG101" s="299"/>
      <c r="FH101" s="299"/>
      <c r="FI101" s="299"/>
      <c r="FJ101" s="299"/>
      <c r="FK101" s="299"/>
      <c r="FL101" s="299"/>
      <c r="FM101" s="299"/>
      <c r="FN101" s="299"/>
      <c r="FO101" s="299"/>
      <c r="FP101" s="299"/>
      <c r="FQ101" s="337" t="e">
        <f t="shared" ca="1" si="94"/>
        <v>#VALUE!</v>
      </c>
      <c r="FR101" s="300" t="e">
        <f t="shared" ca="1" si="98"/>
        <v>#VALUE!</v>
      </c>
      <c r="FS101" s="300" t="e">
        <f t="shared" ca="1" si="98"/>
        <v>#VALUE!</v>
      </c>
      <c r="FT101" s="300" t="e">
        <f t="shared" ca="1" si="98"/>
        <v>#VALUE!</v>
      </c>
      <c r="FU101" s="300" t="e">
        <f t="shared" ca="1" si="98"/>
        <v>#VALUE!</v>
      </c>
      <c r="FV101" s="300" t="e">
        <f t="shared" ca="1" si="98"/>
        <v>#VALUE!</v>
      </c>
      <c r="FW101" s="300" t="e">
        <f t="shared" ca="1" si="98"/>
        <v>#VALUE!</v>
      </c>
      <c r="FX101" s="300" t="e">
        <f t="shared" ca="1" si="98"/>
        <v>#VALUE!</v>
      </c>
      <c r="FY101" s="300" t="e">
        <f t="shared" ca="1" si="98"/>
        <v>#VALUE!</v>
      </c>
      <c r="FZ101" s="300" t="e">
        <f t="shared" ca="1" si="98"/>
        <v>#VALUE!</v>
      </c>
      <c r="GA101" s="301" t="e">
        <f t="shared" ca="1" si="98"/>
        <v>#VALUE!</v>
      </c>
      <c r="GB101" s="301" t="e">
        <f t="shared" ca="1" si="99"/>
        <v>#VALUE!</v>
      </c>
      <c r="GC101" s="301" t="e">
        <f t="shared" ca="1" si="99"/>
        <v>#VALUE!</v>
      </c>
      <c r="GD101" s="301" t="e">
        <f t="shared" ca="1" si="99"/>
        <v>#VALUE!</v>
      </c>
      <c r="GE101" s="301" t="e">
        <f t="shared" ca="1" si="99"/>
        <v>#VALUE!</v>
      </c>
      <c r="GF101" s="301" t="e">
        <f t="shared" ca="1" si="99"/>
        <v>#VALUE!</v>
      </c>
      <c r="GG101" s="301" t="e">
        <f t="shared" ca="1" si="99"/>
        <v>#VALUE!</v>
      </c>
      <c r="GH101" s="301" t="e">
        <f t="shared" ca="1" si="99"/>
        <v>#VALUE!</v>
      </c>
      <c r="GI101" s="301" t="e">
        <f t="shared" ca="1" si="99"/>
        <v>#VALUE!</v>
      </c>
      <c r="GJ101" s="301" t="e">
        <f t="shared" ca="1" si="99"/>
        <v>#VALUE!</v>
      </c>
      <c r="GK101" s="301" t="e">
        <f t="shared" ca="1" si="99"/>
        <v>#VALUE!</v>
      </c>
      <c r="GL101" s="301" t="e">
        <f t="shared" ca="1" si="99"/>
        <v>#VALUE!</v>
      </c>
      <c r="GM101" s="301" t="e">
        <f t="shared" ca="1" si="99"/>
        <v>#VALUE!</v>
      </c>
      <c r="GN101" s="302" t="e">
        <f t="shared" ca="1" si="99"/>
        <v>#VALUE!</v>
      </c>
      <c r="GO101" s="302" t="e">
        <f t="shared" ca="1" si="99"/>
        <v>#VALUE!</v>
      </c>
      <c r="GP101" s="301">
        <f t="shared" si="108"/>
        <v>90</v>
      </c>
      <c r="GQ101" s="301">
        <f t="shared" si="108"/>
        <v>180</v>
      </c>
      <c r="GR101" s="301">
        <f t="shared" si="108"/>
        <v>180</v>
      </c>
      <c r="GS101" s="301">
        <f t="shared" si="108"/>
        <v>180</v>
      </c>
      <c r="GT101" s="301">
        <f t="shared" si="108"/>
        <v>180</v>
      </c>
      <c r="GU101" s="303">
        <f t="shared" si="108"/>
        <v>180</v>
      </c>
      <c r="GV101" s="302">
        <f t="shared" si="108"/>
        <v>180</v>
      </c>
      <c r="GW101" s="302">
        <f t="shared" si="108"/>
        <v>45</v>
      </c>
      <c r="GX101" s="302">
        <f t="shared" si="108"/>
        <v>0</v>
      </c>
      <c r="GY101" s="302">
        <f t="shared" si="108"/>
        <v>0</v>
      </c>
      <c r="GZ101" s="302">
        <f t="shared" si="108"/>
        <v>0</v>
      </c>
      <c r="HA101" s="302">
        <f t="shared" si="108"/>
        <v>0</v>
      </c>
      <c r="HB101" s="302">
        <f t="shared" si="108"/>
        <v>0</v>
      </c>
      <c r="HC101" s="302">
        <f t="shared" si="108"/>
        <v>0</v>
      </c>
      <c r="HD101" s="302">
        <f t="shared" si="108"/>
        <v>0</v>
      </c>
      <c r="HE101" s="302">
        <f t="shared" si="108"/>
        <v>0</v>
      </c>
      <c r="HF101" s="304"/>
      <c r="HG101" s="305"/>
    </row>
    <row r="102" spans="1:215" s="343" customFormat="1" ht="15.75" customHeight="1">
      <c r="A102" s="338"/>
      <c r="B102" s="292" t="s">
        <v>445</v>
      </c>
      <c r="C102" s="292" t="s">
        <v>203</v>
      </c>
      <c r="D102" s="292" t="s">
        <v>255</v>
      </c>
      <c r="E102" s="292" t="s">
        <v>450</v>
      </c>
      <c r="F102" s="292" t="s">
        <v>186</v>
      </c>
      <c r="G102" s="292" t="s">
        <v>350</v>
      </c>
      <c r="H102" s="292" t="s">
        <v>351</v>
      </c>
      <c r="I102" s="292" t="s">
        <v>352</v>
      </c>
      <c r="J102" s="292" t="s">
        <v>186</v>
      </c>
      <c r="K102" s="292" t="s">
        <v>353</v>
      </c>
      <c r="L102" s="292" t="s">
        <v>359</v>
      </c>
      <c r="M102" s="292" t="s">
        <v>374</v>
      </c>
      <c r="N102" s="292" t="str">
        <f t="shared" si="100"/>
        <v>Technology -Development</v>
      </c>
      <c r="O102" s="292" t="str">
        <f t="shared" si="101"/>
        <v>Tech Consultant-Senior-US-Technology</v>
      </c>
      <c r="P102" s="292" t="str">
        <f t="shared" si="102"/>
        <v>Technology  - Tech Consultant</v>
      </c>
      <c r="Q102" s="293">
        <f t="shared" si="83"/>
        <v>291330</v>
      </c>
      <c r="R102" s="294">
        <f t="shared" si="84"/>
        <v>0</v>
      </c>
      <c r="S102" s="295">
        <f t="shared" si="103"/>
        <v>180</v>
      </c>
      <c r="T102" s="295">
        <f t="shared" si="85"/>
        <v>1755</v>
      </c>
      <c r="U102" s="296" t="str">
        <f t="shared" si="104"/>
        <v>Tech Consultant - Senior</v>
      </c>
      <c r="V102" s="295" t="str">
        <f t="shared" si="105"/>
        <v>6-9 years</v>
      </c>
      <c r="W102" s="292" t="str">
        <f t="shared" si="106"/>
        <v>Onshore</v>
      </c>
      <c r="X102" s="292" t="s">
        <v>259</v>
      </c>
      <c r="Y102" s="292" t="s">
        <v>451</v>
      </c>
      <c r="Z102" s="292" t="s">
        <v>243</v>
      </c>
      <c r="AA102" s="297">
        <f>[1]Resourcing!QD106</f>
        <v>378.90956521739099</v>
      </c>
      <c r="AB102" s="298">
        <f t="shared" si="107"/>
        <v>166</v>
      </c>
      <c r="AC102" s="299"/>
      <c r="AD102" s="299"/>
      <c r="AE102" s="299"/>
      <c r="AF102" s="299"/>
      <c r="AG102" s="299"/>
      <c r="AH102" s="299"/>
      <c r="AI102" s="299"/>
      <c r="AJ102" s="299"/>
      <c r="AK102" s="299"/>
      <c r="AL102" s="299"/>
      <c r="AM102" s="299"/>
      <c r="AN102" s="299"/>
      <c r="AO102" s="299"/>
      <c r="AP102" s="299"/>
      <c r="AQ102" s="299"/>
      <c r="AR102" s="299"/>
      <c r="AS102" s="299"/>
      <c r="AT102" s="299"/>
      <c r="AU102" s="299"/>
      <c r="AV102" s="299"/>
      <c r="AW102" s="299"/>
      <c r="AX102" s="299"/>
      <c r="AY102" s="299"/>
      <c r="AZ102" s="299"/>
      <c r="BA102" s="299"/>
      <c r="BB102" s="299"/>
      <c r="BC102" s="299"/>
      <c r="BD102" s="299"/>
      <c r="BE102" s="299"/>
      <c r="BF102" s="299"/>
      <c r="BG102" s="299"/>
      <c r="BH102" s="299"/>
      <c r="BI102" s="299"/>
      <c r="BJ102" s="299"/>
      <c r="BK102" s="299"/>
      <c r="BL102" s="299"/>
      <c r="BM102" s="299"/>
      <c r="BN102" s="299"/>
      <c r="BO102" s="299"/>
      <c r="BP102" s="299"/>
      <c r="BQ102" s="299"/>
      <c r="BR102" s="299"/>
      <c r="BS102" s="299"/>
      <c r="BT102" s="299"/>
      <c r="BU102" s="299"/>
      <c r="BV102" s="299"/>
      <c r="BW102" s="299"/>
      <c r="BX102" s="299"/>
      <c r="BY102" s="299"/>
      <c r="BZ102" s="299"/>
      <c r="CA102" s="299"/>
      <c r="CB102" s="299"/>
      <c r="CC102" s="299"/>
      <c r="CD102" s="299"/>
      <c r="CE102" s="299"/>
      <c r="CF102" s="299"/>
      <c r="CG102" s="299">
        <v>45</v>
      </c>
      <c r="CH102" s="299">
        <v>45</v>
      </c>
      <c r="CI102" s="299">
        <v>45</v>
      </c>
      <c r="CJ102" s="299">
        <v>45</v>
      </c>
      <c r="CK102" s="299">
        <v>45</v>
      </c>
      <c r="CL102" s="299">
        <v>45</v>
      </c>
      <c r="CM102" s="299">
        <v>45</v>
      </c>
      <c r="CN102" s="299">
        <v>45</v>
      </c>
      <c r="CO102" s="299">
        <v>45</v>
      </c>
      <c r="CP102" s="299">
        <v>45</v>
      </c>
      <c r="CQ102" s="299">
        <v>45</v>
      </c>
      <c r="CR102" s="299">
        <v>45</v>
      </c>
      <c r="CS102" s="299">
        <v>45</v>
      </c>
      <c r="CT102" s="299">
        <v>45</v>
      </c>
      <c r="CU102" s="299">
        <v>45</v>
      </c>
      <c r="CV102" s="299">
        <v>45</v>
      </c>
      <c r="CW102" s="299">
        <v>45</v>
      </c>
      <c r="CX102" s="299">
        <v>45</v>
      </c>
      <c r="CY102" s="299">
        <v>45</v>
      </c>
      <c r="CZ102" s="299">
        <v>45</v>
      </c>
      <c r="DA102" s="299">
        <v>45</v>
      </c>
      <c r="DB102" s="299">
        <v>45</v>
      </c>
      <c r="DC102" s="299">
        <v>45</v>
      </c>
      <c r="DD102" s="299">
        <v>45</v>
      </c>
      <c r="DE102" s="299">
        <v>45</v>
      </c>
      <c r="DF102" s="299">
        <v>45</v>
      </c>
      <c r="DG102" s="299">
        <v>45</v>
      </c>
      <c r="DH102" s="299">
        <v>45</v>
      </c>
      <c r="DI102" s="299">
        <v>45</v>
      </c>
      <c r="DJ102" s="299">
        <v>45</v>
      </c>
      <c r="DK102" s="299">
        <v>45</v>
      </c>
      <c r="DL102" s="299">
        <v>45</v>
      </c>
      <c r="DM102" s="299">
        <v>45</v>
      </c>
      <c r="DN102" s="299">
        <v>45</v>
      </c>
      <c r="DO102" s="299">
        <v>45</v>
      </c>
      <c r="DP102" s="299">
        <v>45</v>
      </c>
      <c r="DQ102" s="299">
        <v>45</v>
      </c>
      <c r="DR102" s="299"/>
      <c r="DS102" s="299"/>
      <c r="DT102" s="299">
        <v>45</v>
      </c>
      <c r="DU102" s="299">
        <v>45</v>
      </c>
      <c r="DV102" s="299"/>
      <c r="DW102" s="299"/>
      <c r="DX102" s="299"/>
      <c r="DY102" s="299"/>
      <c r="DZ102" s="299"/>
      <c r="EA102" s="299"/>
      <c r="EB102" s="299"/>
      <c r="EC102" s="299"/>
      <c r="ED102" s="299"/>
      <c r="EE102" s="299"/>
      <c r="EF102" s="299"/>
      <c r="EG102" s="299"/>
      <c r="EH102" s="299"/>
      <c r="EI102" s="299"/>
      <c r="EJ102" s="299"/>
      <c r="EK102" s="299"/>
      <c r="EL102" s="299"/>
      <c r="EM102" s="299"/>
      <c r="EN102" s="299"/>
      <c r="EO102" s="299"/>
      <c r="EP102" s="299"/>
      <c r="EQ102" s="299"/>
      <c r="ER102" s="299"/>
      <c r="ES102" s="299"/>
      <c r="ET102" s="299"/>
      <c r="EU102" s="299"/>
      <c r="EV102" s="299"/>
      <c r="EW102" s="299"/>
      <c r="EX102" s="299"/>
      <c r="EY102" s="299"/>
      <c r="EZ102" s="299"/>
      <c r="FA102" s="299"/>
      <c r="FB102" s="299"/>
      <c r="FC102" s="299"/>
      <c r="FD102" s="299"/>
      <c r="FE102" s="299"/>
      <c r="FF102" s="299"/>
      <c r="FG102" s="299"/>
      <c r="FH102" s="299"/>
      <c r="FI102" s="299"/>
      <c r="FJ102" s="299"/>
      <c r="FK102" s="299"/>
      <c r="FL102" s="299"/>
      <c r="FM102" s="299"/>
      <c r="FN102" s="299"/>
      <c r="FO102" s="299"/>
      <c r="FP102" s="299"/>
      <c r="FQ102" s="300" t="e">
        <f t="shared" ca="1" si="94"/>
        <v>#VALUE!</v>
      </c>
      <c r="FR102" s="300" t="e">
        <f t="shared" ca="1" si="98"/>
        <v>#VALUE!</v>
      </c>
      <c r="FS102" s="300" t="e">
        <f t="shared" ca="1" si="98"/>
        <v>#VALUE!</v>
      </c>
      <c r="FT102" s="300" t="e">
        <f t="shared" ca="1" si="98"/>
        <v>#VALUE!</v>
      </c>
      <c r="FU102" s="300" t="e">
        <f t="shared" ca="1" si="98"/>
        <v>#VALUE!</v>
      </c>
      <c r="FV102" s="300" t="e">
        <f t="shared" ca="1" si="98"/>
        <v>#VALUE!</v>
      </c>
      <c r="FW102" s="300" t="e">
        <f t="shared" ca="1" si="98"/>
        <v>#VALUE!</v>
      </c>
      <c r="FX102" s="300" t="e">
        <f t="shared" ca="1" si="98"/>
        <v>#VALUE!</v>
      </c>
      <c r="FY102" s="300" t="e">
        <f t="shared" ca="1" si="98"/>
        <v>#VALUE!</v>
      </c>
      <c r="FZ102" s="300" t="e">
        <f t="shared" ca="1" si="98"/>
        <v>#VALUE!</v>
      </c>
      <c r="GA102" s="301" t="e">
        <f t="shared" ca="1" si="98"/>
        <v>#VALUE!</v>
      </c>
      <c r="GB102" s="301" t="e">
        <f t="shared" ca="1" si="99"/>
        <v>#VALUE!</v>
      </c>
      <c r="GC102" s="301" t="e">
        <f t="shared" ca="1" si="99"/>
        <v>#VALUE!</v>
      </c>
      <c r="GD102" s="301" t="e">
        <f t="shared" ca="1" si="99"/>
        <v>#VALUE!</v>
      </c>
      <c r="GE102" s="301" t="e">
        <f t="shared" ca="1" si="99"/>
        <v>#VALUE!</v>
      </c>
      <c r="GF102" s="301" t="e">
        <f t="shared" ca="1" si="99"/>
        <v>#VALUE!</v>
      </c>
      <c r="GG102" s="301" t="e">
        <f t="shared" ca="1" si="99"/>
        <v>#VALUE!</v>
      </c>
      <c r="GH102" s="301" t="e">
        <f t="shared" ca="1" si="99"/>
        <v>#VALUE!</v>
      </c>
      <c r="GI102" s="301" t="e">
        <f t="shared" ca="1" si="99"/>
        <v>#VALUE!</v>
      </c>
      <c r="GJ102" s="301" t="e">
        <f t="shared" ca="1" si="99"/>
        <v>#VALUE!</v>
      </c>
      <c r="GK102" s="301" t="e">
        <f t="shared" ca="1" si="99"/>
        <v>#VALUE!</v>
      </c>
      <c r="GL102" s="301" t="e">
        <f t="shared" ca="1" si="99"/>
        <v>#VALUE!</v>
      </c>
      <c r="GM102" s="301" t="e">
        <f t="shared" ca="1" si="99"/>
        <v>#VALUE!</v>
      </c>
      <c r="GN102" s="302" t="e">
        <f t="shared" ca="1" si="99"/>
        <v>#VALUE!</v>
      </c>
      <c r="GO102" s="302" t="e">
        <f t="shared" ca="1" si="99"/>
        <v>#VALUE!</v>
      </c>
      <c r="GP102" s="339">
        <f t="shared" si="108"/>
        <v>90</v>
      </c>
      <c r="GQ102" s="339">
        <f t="shared" si="108"/>
        <v>90</v>
      </c>
      <c r="GR102" s="339">
        <f t="shared" si="108"/>
        <v>0</v>
      </c>
      <c r="GS102" s="339">
        <f t="shared" si="108"/>
        <v>0</v>
      </c>
      <c r="GT102" s="339">
        <f t="shared" si="108"/>
        <v>0</v>
      </c>
      <c r="GU102" s="340">
        <f t="shared" si="108"/>
        <v>0</v>
      </c>
      <c r="GV102" s="339">
        <f t="shared" si="108"/>
        <v>0</v>
      </c>
      <c r="GW102" s="339">
        <f t="shared" si="108"/>
        <v>0</v>
      </c>
      <c r="GX102" s="339">
        <f t="shared" si="108"/>
        <v>0</v>
      </c>
      <c r="GY102" s="339">
        <f t="shared" si="108"/>
        <v>0</v>
      </c>
      <c r="GZ102" s="339">
        <f t="shared" si="108"/>
        <v>0</v>
      </c>
      <c r="HA102" s="339">
        <f t="shared" si="108"/>
        <v>0</v>
      </c>
      <c r="HB102" s="339">
        <f t="shared" si="108"/>
        <v>0</v>
      </c>
      <c r="HC102" s="339">
        <f t="shared" si="108"/>
        <v>0</v>
      </c>
      <c r="HD102" s="339">
        <f t="shared" si="108"/>
        <v>0</v>
      </c>
      <c r="HE102" s="339">
        <f t="shared" si="108"/>
        <v>0</v>
      </c>
      <c r="HF102" s="341"/>
      <c r="HG102" s="342"/>
    </row>
    <row r="103" spans="1:215" s="306" customFormat="1" ht="15.75" customHeight="1">
      <c r="A103" s="307"/>
      <c r="B103" s="292" t="s">
        <v>445</v>
      </c>
      <c r="C103" s="292" t="s">
        <v>203</v>
      </c>
      <c r="D103" s="292" t="s">
        <v>256</v>
      </c>
      <c r="E103" s="292" t="s">
        <v>452</v>
      </c>
      <c r="F103" s="292" t="s">
        <v>186</v>
      </c>
      <c r="G103" s="292" t="s">
        <v>350</v>
      </c>
      <c r="H103" s="292" t="s">
        <v>351</v>
      </c>
      <c r="I103" s="292" t="s">
        <v>352</v>
      </c>
      <c r="J103" s="292" t="s">
        <v>186</v>
      </c>
      <c r="K103" s="292" t="s">
        <v>353</v>
      </c>
      <c r="L103" s="292" t="s">
        <v>359</v>
      </c>
      <c r="M103" s="292" t="s">
        <v>371</v>
      </c>
      <c r="N103" s="292" t="str">
        <f t="shared" si="100"/>
        <v xml:space="preserve">Technology -Basis </v>
      </c>
      <c r="O103" s="292" t="str">
        <f t="shared" si="101"/>
        <v>Technology-Manager-US-Consulting</v>
      </c>
      <c r="P103" s="292" t="str">
        <f t="shared" si="102"/>
        <v>Technology  - Technology</v>
      </c>
      <c r="Q103" s="293">
        <f t="shared" si="83"/>
        <v>1077120</v>
      </c>
      <c r="R103" s="294">
        <f t="shared" si="84"/>
        <v>97920</v>
      </c>
      <c r="S103" s="295">
        <f t="shared" si="103"/>
        <v>1160</v>
      </c>
      <c r="T103" s="295">
        <f t="shared" si="85"/>
        <v>3520</v>
      </c>
      <c r="U103" s="296" t="str">
        <f t="shared" si="104"/>
        <v>Technology - Manager</v>
      </c>
      <c r="V103" s="295" t="str">
        <f t="shared" si="105"/>
        <v>5-7 years</v>
      </c>
      <c r="W103" s="292" t="str">
        <f t="shared" si="106"/>
        <v>Onshore</v>
      </c>
      <c r="X103" s="292" t="s">
        <v>261</v>
      </c>
      <c r="Y103" s="292" t="s">
        <v>259</v>
      </c>
      <c r="Z103" s="292" t="s">
        <v>376</v>
      </c>
      <c r="AA103" s="297">
        <f>[1]Resourcing!QD107</f>
        <v>359.59227272727298</v>
      </c>
      <c r="AB103" s="298">
        <f t="shared" si="107"/>
        <v>306</v>
      </c>
      <c r="AC103" s="299"/>
      <c r="AD103" s="299"/>
      <c r="AE103" s="299"/>
      <c r="AF103" s="299"/>
      <c r="AG103" s="299"/>
      <c r="AH103" s="299"/>
      <c r="AI103" s="299"/>
      <c r="AJ103" s="299"/>
      <c r="AK103" s="299"/>
      <c r="AL103" s="299"/>
      <c r="AM103" s="299"/>
      <c r="AN103" s="299"/>
      <c r="AO103" s="299"/>
      <c r="AP103" s="299"/>
      <c r="AQ103" s="299"/>
      <c r="AR103" s="299"/>
      <c r="AS103" s="299"/>
      <c r="AT103" s="299"/>
      <c r="AU103" s="299"/>
      <c r="AV103" s="299"/>
      <c r="AW103" s="299"/>
      <c r="AX103" s="299"/>
      <c r="AY103" s="299"/>
      <c r="AZ103" s="299"/>
      <c r="BA103" s="299"/>
      <c r="BB103" s="299"/>
      <c r="BC103" s="299"/>
      <c r="BD103" s="299"/>
      <c r="BE103" s="299"/>
      <c r="BF103" s="299"/>
      <c r="BG103" s="299">
        <v>40</v>
      </c>
      <c r="BH103" s="299">
        <v>40</v>
      </c>
      <c r="BI103" s="299">
        <v>40</v>
      </c>
      <c r="BJ103" s="299">
        <v>40</v>
      </c>
      <c r="BK103" s="299">
        <v>40</v>
      </c>
      <c r="BL103" s="299">
        <v>40</v>
      </c>
      <c r="BM103" s="299">
        <v>40</v>
      </c>
      <c r="BN103" s="299">
        <v>40</v>
      </c>
      <c r="BO103" s="299">
        <v>40</v>
      </c>
      <c r="BP103" s="299">
        <v>40</v>
      </c>
      <c r="BQ103" s="299">
        <v>40</v>
      </c>
      <c r="BR103" s="299"/>
      <c r="BS103" s="299"/>
      <c r="BT103" s="299">
        <v>40</v>
      </c>
      <c r="BU103" s="299">
        <v>40</v>
      </c>
      <c r="BV103" s="299">
        <v>40</v>
      </c>
      <c r="BW103" s="299">
        <v>40</v>
      </c>
      <c r="BX103" s="299">
        <v>40</v>
      </c>
      <c r="BY103" s="299">
        <v>40</v>
      </c>
      <c r="BZ103" s="299">
        <v>40</v>
      </c>
      <c r="CA103" s="299">
        <v>40</v>
      </c>
      <c r="CB103" s="299">
        <v>40</v>
      </c>
      <c r="CC103" s="299">
        <v>40</v>
      </c>
      <c r="CD103" s="299">
        <v>40</v>
      </c>
      <c r="CE103" s="299">
        <v>40</v>
      </c>
      <c r="CF103" s="299">
        <v>40</v>
      </c>
      <c r="CG103" s="299">
        <v>40</v>
      </c>
      <c r="CH103" s="299">
        <v>40</v>
      </c>
      <c r="CI103" s="299">
        <v>40</v>
      </c>
      <c r="CJ103" s="299">
        <v>40</v>
      </c>
      <c r="CK103" s="299">
        <v>40</v>
      </c>
      <c r="CL103" s="299">
        <v>40</v>
      </c>
      <c r="CM103" s="299">
        <v>40</v>
      </c>
      <c r="CN103" s="299">
        <v>40</v>
      </c>
      <c r="CO103" s="299">
        <v>40</v>
      </c>
      <c r="CP103" s="299">
        <v>40</v>
      </c>
      <c r="CQ103" s="299">
        <v>40</v>
      </c>
      <c r="CR103" s="299">
        <v>40</v>
      </c>
      <c r="CS103" s="299">
        <v>40</v>
      </c>
      <c r="CT103" s="299">
        <v>40</v>
      </c>
      <c r="CU103" s="299">
        <v>40</v>
      </c>
      <c r="CV103" s="299">
        <v>40</v>
      </c>
      <c r="CW103" s="299">
        <v>40</v>
      </c>
      <c r="CX103" s="299">
        <v>40</v>
      </c>
      <c r="CY103" s="299">
        <v>40</v>
      </c>
      <c r="CZ103" s="299">
        <v>40</v>
      </c>
      <c r="DA103" s="299">
        <v>40</v>
      </c>
      <c r="DB103" s="299">
        <v>40</v>
      </c>
      <c r="DC103" s="299">
        <v>40</v>
      </c>
      <c r="DD103" s="299">
        <v>40</v>
      </c>
      <c r="DE103" s="299">
        <v>40</v>
      </c>
      <c r="DF103" s="299">
        <v>40</v>
      </c>
      <c r="DG103" s="299">
        <v>40</v>
      </c>
      <c r="DH103" s="299">
        <v>40</v>
      </c>
      <c r="DI103" s="299">
        <v>40</v>
      </c>
      <c r="DJ103" s="299">
        <v>40</v>
      </c>
      <c r="DK103" s="299">
        <v>40</v>
      </c>
      <c r="DL103" s="299">
        <v>40</v>
      </c>
      <c r="DM103" s="299">
        <v>40</v>
      </c>
      <c r="DN103" s="299">
        <v>40</v>
      </c>
      <c r="DO103" s="299">
        <v>40</v>
      </c>
      <c r="DP103" s="299">
        <v>40</v>
      </c>
      <c r="DQ103" s="299">
        <v>40</v>
      </c>
      <c r="DR103" s="299"/>
      <c r="DS103" s="299"/>
      <c r="DT103" s="299">
        <v>40</v>
      </c>
      <c r="DU103" s="299">
        <v>40</v>
      </c>
      <c r="DV103" s="299">
        <v>40</v>
      </c>
      <c r="DW103" s="299">
        <v>40</v>
      </c>
      <c r="DX103" s="299">
        <v>40</v>
      </c>
      <c r="DY103" s="299">
        <v>40</v>
      </c>
      <c r="DZ103" s="299">
        <v>40</v>
      </c>
      <c r="EA103" s="299">
        <v>40</v>
      </c>
      <c r="EB103" s="299">
        <v>40</v>
      </c>
      <c r="EC103" s="299">
        <v>40</v>
      </c>
      <c r="ED103" s="299">
        <v>40</v>
      </c>
      <c r="EE103" s="299">
        <v>40</v>
      </c>
      <c r="EF103" s="299">
        <v>40</v>
      </c>
      <c r="EG103" s="299">
        <v>40</v>
      </c>
      <c r="EH103" s="299">
        <v>40</v>
      </c>
      <c r="EI103" s="299">
        <v>40</v>
      </c>
      <c r="EJ103" s="299">
        <v>40</v>
      </c>
      <c r="EK103" s="299">
        <v>40</v>
      </c>
      <c r="EL103" s="299">
        <v>40</v>
      </c>
      <c r="EM103" s="299">
        <v>40</v>
      </c>
      <c r="EN103" s="299">
        <v>40</v>
      </c>
      <c r="EO103" s="299">
        <v>40</v>
      </c>
      <c r="EP103" s="299">
        <v>40</v>
      </c>
      <c r="EQ103" s="299">
        <v>40</v>
      </c>
      <c r="ER103" s="299">
        <v>40</v>
      </c>
      <c r="ES103" s="299">
        <v>40</v>
      </c>
      <c r="ET103" s="299">
        <v>40</v>
      </c>
      <c r="EU103" s="299"/>
      <c r="EV103" s="299"/>
      <c r="EW103" s="299"/>
      <c r="EX103" s="299"/>
      <c r="EY103" s="299"/>
      <c r="EZ103" s="299"/>
      <c r="FA103" s="299"/>
      <c r="FB103" s="299"/>
      <c r="FC103" s="299"/>
      <c r="FD103" s="299"/>
      <c r="FE103" s="299"/>
      <c r="FF103" s="299"/>
      <c r="FG103" s="299"/>
      <c r="FH103" s="299"/>
      <c r="FI103" s="299"/>
      <c r="FJ103" s="299"/>
      <c r="FK103" s="299"/>
      <c r="FL103" s="299"/>
      <c r="FM103" s="299"/>
      <c r="FN103" s="299"/>
      <c r="FO103" s="299"/>
      <c r="FP103" s="299"/>
      <c r="FQ103" s="300" t="e">
        <f t="shared" ca="1" si="94"/>
        <v>#VALUE!</v>
      </c>
      <c r="FR103" s="300" t="e">
        <f t="shared" ref="FR103:GA112" ca="1" si="109">SUMIF($AC$11:$FP$11,FR$12,$AC103:$FP103)</f>
        <v>#VALUE!</v>
      </c>
      <c r="FS103" s="300" t="e">
        <f t="shared" ca="1" si="109"/>
        <v>#VALUE!</v>
      </c>
      <c r="FT103" s="300" t="e">
        <f t="shared" ca="1" si="109"/>
        <v>#VALUE!</v>
      </c>
      <c r="FU103" s="300" t="e">
        <f t="shared" ca="1" si="109"/>
        <v>#VALUE!</v>
      </c>
      <c r="FV103" s="300" t="e">
        <f t="shared" ca="1" si="109"/>
        <v>#VALUE!</v>
      </c>
      <c r="FW103" s="300" t="e">
        <f t="shared" ca="1" si="109"/>
        <v>#VALUE!</v>
      </c>
      <c r="FX103" s="300" t="e">
        <f t="shared" ca="1" si="109"/>
        <v>#VALUE!</v>
      </c>
      <c r="FY103" s="300" t="e">
        <f t="shared" ca="1" si="109"/>
        <v>#VALUE!</v>
      </c>
      <c r="FZ103" s="300" t="e">
        <f t="shared" ca="1" si="109"/>
        <v>#VALUE!</v>
      </c>
      <c r="GA103" s="301" t="e">
        <f t="shared" ca="1" si="109"/>
        <v>#VALUE!</v>
      </c>
      <c r="GB103" s="301" t="e">
        <f t="shared" ref="GB103:GO112" ca="1" si="110">SUMIF($AC$11:$FP$11,GB$12,$AC103:$FP103)</f>
        <v>#VALUE!</v>
      </c>
      <c r="GC103" s="301" t="e">
        <f t="shared" ca="1" si="110"/>
        <v>#VALUE!</v>
      </c>
      <c r="GD103" s="301" t="e">
        <f t="shared" ca="1" si="110"/>
        <v>#VALUE!</v>
      </c>
      <c r="GE103" s="301" t="e">
        <f t="shared" ca="1" si="110"/>
        <v>#VALUE!</v>
      </c>
      <c r="GF103" s="301" t="e">
        <f t="shared" ca="1" si="110"/>
        <v>#VALUE!</v>
      </c>
      <c r="GG103" s="301" t="e">
        <f t="shared" ca="1" si="110"/>
        <v>#VALUE!</v>
      </c>
      <c r="GH103" s="301" t="e">
        <f t="shared" ca="1" si="110"/>
        <v>#VALUE!</v>
      </c>
      <c r="GI103" s="301" t="e">
        <f t="shared" ca="1" si="110"/>
        <v>#VALUE!</v>
      </c>
      <c r="GJ103" s="301" t="e">
        <f t="shared" ca="1" si="110"/>
        <v>#VALUE!</v>
      </c>
      <c r="GK103" s="301" t="e">
        <f t="shared" ca="1" si="110"/>
        <v>#VALUE!</v>
      </c>
      <c r="GL103" s="301" t="e">
        <f t="shared" ca="1" si="110"/>
        <v>#VALUE!</v>
      </c>
      <c r="GM103" s="301" t="e">
        <f t="shared" ca="1" si="110"/>
        <v>#VALUE!</v>
      </c>
      <c r="GN103" s="302" t="e">
        <f t="shared" ca="1" si="110"/>
        <v>#VALUE!</v>
      </c>
      <c r="GO103" s="302" t="e">
        <f t="shared" ca="1" si="110"/>
        <v>#VALUE!</v>
      </c>
      <c r="GP103" s="301">
        <f t="shared" si="108"/>
        <v>80</v>
      </c>
      <c r="GQ103" s="301">
        <f t="shared" si="108"/>
        <v>160</v>
      </c>
      <c r="GR103" s="301">
        <f t="shared" si="108"/>
        <v>160</v>
      </c>
      <c r="GS103" s="301">
        <f t="shared" si="108"/>
        <v>160</v>
      </c>
      <c r="GT103" s="301">
        <f t="shared" si="108"/>
        <v>160</v>
      </c>
      <c r="GU103" s="303">
        <f t="shared" si="108"/>
        <v>160</v>
      </c>
      <c r="GV103" s="302">
        <f t="shared" si="108"/>
        <v>160</v>
      </c>
      <c r="GW103" s="302">
        <f t="shared" si="108"/>
        <v>120</v>
      </c>
      <c r="GX103" s="302">
        <f t="shared" si="108"/>
        <v>0</v>
      </c>
      <c r="GY103" s="302">
        <f t="shared" si="108"/>
        <v>0</v>
      </c>
      <c r="GZ103" s="302">
        <f t="shared" si="108"/>
        <v>0</v>
      </c>
      <c r="HA103" s="302">
        <f t="shared" si="108"/>
        <v>0</v>
      </c>
      <c r="HB103" s="302">
        <f t="shared" si="108"/>
        <v>0</v>
      </c>
      <c r="HC103" s="302">
        <f t="shared" si="108"/>
        <v>0</v>
      </c>
      <c r="HD103" s="302">
        <f t="shared" si="108"/>
        <v>0</v>
      </c>
      <c r="HE103" s="302">
        <f t="shared" si="108"/>
        <v>0</v>
      </c>
      <c r="HF103" s="304"/>
      <c r="HG103" s="305"/>
    </row>
    <row r="104" spans="1:215" s="306" customFormat="1" ht="15.75" customHeight="1">
      <c r="A104" s="307"/>
      <c r="B104" s="292" t="s">
        <v>445</v>
      </c>
      <c r="C104" s="292" t="s">
        <v>203</v>
      </c>
      <c r="D104" s="292" t="s">
        <v>255</v>
      </c>
      <c r="E104" s="292" t="s">
        <v>453</v>
      </c>
      <c r="F104" s="292" t="s">
        <v>184</v>
      </c>
      <c r="G104" s="292" t="s">
        <v>350</v>
      </c>
      <c r="H104" s="292" t="s">
        <v>351</v>
      </c>
      <c r="I104" s="292" t="s">
        <v>352</v>
      </c>
      <c r="J104" s="292" t="s">
        <v>184</v>
      </c>
      <c r="K104" s="292" t="s">
        <v>353</v>
      </c>
      <c r="L104" s="292" t="s">
        <v>359</v>
      </c>
      <c r="M104" s="292" t="s">
        <v>374</v>
      </c>
      <c r="N104" s="292" t="str">
        <f t="shared" si="100"/>
        <v>Technology -Development</v>
      </c>
      <c r="O104" s="292" t="str">
        <f t="shared" si="101"/>
        <v>Technology-Senior Consultant-India-Consulting</v>
      </c>
      <c r="P104" s="292" t="str">
        <f t="shared" si="102"/>
        <v>Technology  - Technology</v>
      </c>
      <c r="Q104" s="293">
        <f t="shared" si="83"/>
        <v>261280</v>
      </c>
      <c r="R104" s="294">
        <f t="shared" si="84"/>
        <v>34080</v>
      </c>
      <c r="S104" s="295">
        <f t="shared" si="103"/>
        <v>1160</v>
      </c>
      <c r="T104" s="295">
        <f t="shared" si="85"/>
        <v>3680</v>
      </c>
      <c r="U104" s="296" t="str">
        <f t="shared" si="104"/>
        <v>Technology - Senior Consultant</v>
      </c>
      <c r="V104" s="295" t="str">
        <f t="shared" si="105"/>
        <v>3-5 years</v>
      </c>
      <c r="W104" s="292" t="str">
        <f t="shared" si="106"/>
        <v>Offshore</v>
      </c>
      <c r="X104" s="292" t="s">
        <v>261</v>
      </c>
      <c r="Y104" s="292" t="s">
        <v>259</v>
      </c>
      <c r="Z104" s="292" t="s">
        <v>364</v>
      </c>
      <c r="AA104" s="297">
        <f>[1]Resourcing!QD108</f>
        <v>881.16088235294103</v>
      </c>
      <c r="AB104" s="298">
        <f t="shared" si="107"/>
        <v>71</v>
      </c>
      <c r="AC104" s="299"/>
      <c r="AD104" s="299"/>
      <c r="AE104" s="299"/>
      <c r="AF104" s="299"/>
      <c r="AG104" s="299"/>
      <c r="AH104" s="299"/>
      <c r="AI104" s="299"/>
      <c r="AJ104" s="299"/>
      <c r="AK104" s="299"/>
      <c r="AL104" s="299"/>
      <c r="AM104" s="299"/>
      <c r="AN104" s="299"/>
      <c r="AO104" s="299"/>
      <c r="AP104" s="299"/>
      <c r="AQ104" s="299"/>
      <c r="AR104" s="299"/>
      <c r="AS104" s="299"/>
      <c r="AT104" s="299"/>
      <c r="AU104" s="299"/>
      <c r="AV104" s="299"/>
      <c r="AW104" s="299"/>
      <c r="AX104" s="299"/>
      <c r="AY104" s="299"/>
      <c r="AZ104" s="299"/>
      <c r="BA104" s="299"/>
      <c r="BB104" s="299"/>
      <c r="BC104" s="299">
        <v>40</v>
      </c>
      <c r="BD104" s="299">
        <v>40</v>
      </c>
      <c r="BE104" s="299">
        <v>40</v>
      </c>
      <c r="BF104" s="299">
        <v>40</v>
      </c>
      <c r="BG104" s="299">
        <v>40</v>
      </c>
      <c r="BH104" s="299">
        <v>40</v>
      </c>
      <c r="BI104" s="299">
        <v>40</v>
      </c>
      <c r="BJ104" s="299">
        <v>40</v>
      </c>
      <c r="BK104" s="299">
        <v>40</v>
      </c>
      <c r="BL104" s="299">
        <v>40</v>
      </c>
      <c r="BM104" s="299">
        <v>40</v>
      </c>
      <c r="BN104" s="299">
        <v>40</v>
      </c>
      <c r="BO104" s="299">
        <v>40</v>
      </c>
      <c r="BP104" s="299">
        <v>40</v>
      </c>
      <c r="BQ104" s="299">
        <v>40</v>
      </c>
      <c r="BR104" s="299"/>
      <c r="BS104" s="299"/>
      <c r="BT104" s="299">
        <v>40</v>
      </c>
      <c r="BU104" s="299">
        <v>40</v>
      </c>
      <c r="BV104" s="299">
        <v>40</v>
      </c>
      <c r="BW104" s="299">
        <v>40</v>
      </c>
      <c r="BX104" s="299">
        <v>40</v>
      </c>
      <c r="BY104" s="299">
        <v>40</v>
      </c>
      <c r="BZ104" s="299">
        <v>40</v>
      </c>
      <c r="CA104" s="299">
        <v>40</v>
      </c>
      <c r="CB104" s="299">
        <v>40</v>
      </c>
      <c r="CC104" s="299">
        <v>40</v>
      </c>
      <c r="CD104" s="299">
        <v>40</v>
      </c>
      <c r="CE104" s="299">
        <v>40</v>
      </c>
      <c r="CF104" s="299">
        <v>40</v>
      </c>
      <c r="CG104" s="299">
        <v>40</v>
      </c>
      <c r="CH104" s="299">
        <v>40</v>
      </c>
      <c r="CI104" s="299">
        <v>40</v>
      </c>
      <c r="CJ104" s="299">
        <v>40</v>
      </c>
      <c r="CK104" s="299">
        <v>40</v>
      </c>
      <c r="CL104" s="299">
        <v>40</v>
      </c>
      <c r="CM104" s="299">
        <v>40</v>
      </c>
      <c r="CN104" s="299">
        <v>40</v>
      </c>
      <c r="CO104" s="299">
        <v>40</v>
      </c>
      <c r="CP104" s="299">
        <v>40</v>
      </c>
      <c r="CQ104" s="299">
        <v>40</v>
      </c>
      <c r="CR104" s="299">
        <v>40</v>
      </c>
      <c r="CS104" s="299">
        <v>40</v>
      </c>
      <c r="CT104" s="299">
        <v>40</v>
      </c>
      <c r="CU104" s="299">
        <v>40</v>
      </c>
      <c r="CV104" s="299">
        <v>40</v>
      </c>
      <c r="CW104" s="299">
        <v>40</v>
      </c>
      <c r="CX104" s="299">
        <v>40</v>
      </c>
      <c r="CY104" s="299">
        <v>40</v>
      </c>
      <c r="CZ104" s="299">
        <v>40</v>
      </c>
      <c r="DA104" s="299">
        <v>40</v>
      </c>
      <c r="DB104" s="299">
        <v>40</v>
      </c>
      <c r="DC104" s="299">
        <v>40</v>
      </c>
      <c r="DD104" s="299">
        <v>40</v>
      </c>
      <c r="DE104" s="299">
        <v>40</v>
      </c>
      <c r="DF104" s="299">
        <v>40</v>
      </c>
      <c r="DG104" s="299">
        <v>40</v>
      </c>
      <c r="DH104" s="299">
        <v>40</v>
      </c>
      <c r="DI104" s="299">
        <v>40</v>
      </c>
      <c r="DJ104" s="299">
        <v>40</v>
      </c>
      <c r="DK104" s="299">
        <v>40</v>
      </c>
      <c r="DL104" s="299">
        <v>40</v>
      </c>
      <c r="DM104" s="299">
        <v>40</v>
      </c>
      <c r="DN104" s="299">
        <v>40</v>
      </c>
      <c r="DO104" s="299">
        <v>40</v>
      </c>
      <c r="DP104" s="299">
        <v>40</v>
      </c>
      <c r="DQ104" s="299">
        <v>40</v>
      </c>
      <c r="DR104" s="299"/>
      <c r="DS104" s="299"/>
      <c r="DT104" s="299">
        <v>40</v>
      </c>
      <c r="DU104" s="299">
        <v>40</v>
      </c>
      <c r="DV104" s="299">
        <v>40</v>
      </c>
      <c r="DW104" s="299">
        <v>40</v>
      </c>
      <c r="DX104" s="299">
        <v>40</v>
      </c>
      <c r="DY104" s="299">
        <v>40</v>
      </c>
      <c r="DZ104" s="299">
        <v>40</v>
      </c>
      <c r="EA104" s="299">
        <v>40</v>
      </c>
      <c r="EB104" s="299">
        <v>40</v>
      </c>
      <c r="EC104" s="299">
        <v>40</v>
      </c>
      <c r="ED104" s="299">
        <v>40</v>
      </c>
      <c r="EE104" s="299">
        <v>40</v>
      </c>
      <c r="EF104" s="299">
        <v>40</v>
      </c>
      <c r="EG104" s="299">
        <v>40</v>
      </c>
      <c r="EH104" s="299">
        <v>40</v>
      </c>
      <c r="EI104" s="299">
        <v>40</v>
      </c>
      <c r="EJ104" s="299">
        <v>40</v>
      </c>
      <c r="EK104" s="299">
        <v>40</v>
      </c>
      <c r="EL104" s="299">
        <v>40</v>
      </c>
      <c r="EM104" s="299">
        <v>40</v>
      </c>
      <c r="EN104" s="299">
        <v>40</v>
      </c>
      <c r="EO104" s="299">
        <v>40</v>
      </c>
      <c r="EP104" s="299">
        <v>40</v>
      </c>
      <c r="EQ104" s="299">
        <v>40</v>
      </c>
      <c r="ER104" s="299">
        <v>40</v>
      </c>
      <c r="ES104" s="299">
        <v>40</v>
      </c>
      <c r="ET104" s="299">
        <v>40</v>
      </c>
      <c r="EU104" s="299"/>
      <c r="EV104" s="299"/>
      <c r="EW104" s="299"/>
      <c r="EX104" s="299"/>
      <c r="EY104" s="299"/>
      <c r="EZ104" s="299"/>
      <c r="FA104" s="299"/>
      <c r="FB104" s="299"/>
      <c r="FC104" s="299"/>
      <c r="FD104" s="299"/>
      <c r="FE104" s="299"/>
      <c r="FF104" s="299"/>
      <c r="FG104" s="299"/>
      <c r="FH104" s="299"/>
      <c r="FI104" s="299"/>
      <c r="FJ104" s="299"/>
      <c r="FK104" s="299"/>
      <c r="FL104" s="299"/>
      <c r="FM104" s="299"/>
      <c r="FN104" s="299"/>
      <c r="FO104" s="299"/>
      <c r="FP104" s="299"/>
      <c r="FQ104" s="300" t="e">
        <f t="shared" ca="1" si="94"/>
        <v>#VALUE!</v>
      </c>
      <c r="FR104" s="300" t="e">
        <f t="shared" ca="1" si="109"/>
        <v>#VALUE!</v>
      </c>
      <c r="FS104" s="300" t="e">
        <f t="shared" ca="1" si="109"/>
        <v>#VALUE!</v>
      </c>
      <c r="FT104" s="300" t="e">
        <f t="shared" ca="1" si="109"/>
        <v>#VALUE!</v>
      </c>
      <c r="FU104" s="300" t="e">
        <f t="shared" ca="1" si="109"/>
        <v>#VALUE!</v>
      </c>
      <c r="FV104" s="300" t="e">
        <f t="shared" ca="1" si="109"/>
        <v>#VALUE!</v>
      </c>
      <c r="FW104" s="300" t="e">
        <f t="shared" ca="1" si="109"/>
        <v>#VALUE!</v>
      </c>
      <c r="FX104" s="300" t="e">
        <f t="shared" ca="1" si="109"/>
        <v>#VALUE!</v>
      </c>
      <c r="FY104" s="300" t="e">
        <f t="shared" ca="1" si="109"/>
        <v>#VALUE!</v>
      </c>
      <c r="FZ104" s="300" t="e">
        <f t="shared" ca="1" si="109"/>
        <v>#VALUE!</v>
      </c>
      <c r="GA104" s="301" t="e">
        <f t="shared" ca="1" si="109"/>
        <v>#VALUE!</v>
      </c>
      <c r="GB104" s="301" t="e">
        <f t="shared" ca="1" si="110"/>
        <v>#VALUE!</v>
      </c>
      <c r="GC104" s="301" t="e">
        <f t="shared" ca="1" si="110"/>
        <v>#VALUE!</v>
      </c>
      <c r="GD104" s="301" t="e">
        <f t="shared" ca="1" si="110"/>
        <v>#VALUE!</v>
      </c>
      <c r="GE104" s="301" t="e">
        <f t="shared" ca="1" si="110"/>
        <v>#VALUE!</v>
      </c>
      <c r="GF104" s="301" t="e">
        <f t="shared" ca="1" si="110"/>
        <v>#VALUE!</v>
      </c>
      <c r="GG104" s="301" t="e">
        <f t="shared" ca="1" si="110"/>
        <v>#VALUE!</v>
      </c>
      <c r="GH104" s="301" t="e">
        <f t="shared" ca="1" si="110"/>
        <v>#VALUE!</v>
      </c>
      <c r="GI104" s="301" t="e">
        <f t="shared" ca="1" si="110"/>
        <v>#VALUE!</v>
      </c>
      <c r="GJ104" s="301" t="e">
        <f t="shared" ca="1" si="110"/>
        <v>#VALUE!</v>
      </c>
      <c r="GK104" s="301" t="e">
        <f t="shared" ca="1" si="110"/>
        <v>#VALUE!</v>
      </c>
      <c r="GL104" s="301" t="e">
        <f t="shared" ca="1" si="110"/>
        <v>#VALUE!</v>
      </c>
      <c r="GM104" s="301" t="e">
        <f t="shared" ca="1" si="110"/>
        <v>#VALUE!</v>
      </c>
      <c r="GN104" s="302" t="e">
        <f t="shared" ca="1" si="110"/>
        <v>#VALUE!</v>
      </c>
      <c r="GO104" s="302" t="e">
        <f t="shared" ca="1" si="110"/>
        <v>#VALUE!</v>
      </c>
      <c r="GP104" s="301">
        <f t="shared" si="108"/>
        <v>80</v>
      </c>
      <c r="GQ104" s="301">
        <f t="shared" si="108"/>
        <v>160</v>
      </c>
      <c r="GR104" s="301">
        <f t="shared" si="108"/>
        <v>160</v>
      </c>
      <c r="GS104" s="301">
        <f t="shared" si="108"/>
        <v>160</v>
      </c>
      <c r="GT104" s="301">
        <f t="shared" si="108"/>
        <v>160</v>
      </c>
      <c r="GU104" s="303">
        <f t="shared" si="108"/>
        <v>160</v>
      </c>
      <c r="GV104" s="302">
        <f t="shared" si="108"/>
        <v>160</v>
      </c>
      <c r="GW104" s="302">
        <f t="shared" si="108"/>
        <v>120</v>
      </c>
      <c r="GX104" s="302">
        <f t="shared" si="108"/>
        <v>0</v>
      </c>
      <c r="GY104" s="302">
        <f t="shared" si="108"/>
        <v>0</v>
      </c>
      <c r="GZ104" s="302">
        <f t="shared" si="108"/>
        <v>0</v>
      </c>
      <c r="HA104" s="302">
        <f t="shared" si="108"/>
        <v>0</v>
      </c>
      <c r="HB104" s="302">
        <f t="shared" si="108"/>
        <v>0</v>
      </c>
      <c r="HC104" s="302">
        <f t="shared" si="108"/>
        <v>0</v>
      </c>
      <c r="HD104" s="302">
        <f t="shared" si="108"/>
        <v>0</v>
      </c>
      <c r="HE104" s="302">
        <f t="shared" si="108"/>
        <v>0</v>
      </c>
      <c r="HF104" s="304"/>
      <c r="HG104" s="305"/>
    </row>
    <row r="105" spans="1:215" s="306" customFormat="1" ht="15.75" customHeight="1">
      <c r="A105" s="307"/>
      <c r="B105" s="292" t="s">
        <v>348</v>
      </c>
      <c r="C105" s="292" t="s">
        <v>203</v>
      </c>
      <c r="D105" s="292" t="s">
        <v>255</v>
      </c>
      <c r="E105" s="292" t="s">
        <v>454</v>
      </c>
      <c r="F105" s="292" t="s">
        <v>184</v>
      </c>
      <c r="G105" s="292" t="s">
        <v>350</v>
      </c>
      <c r="H105" s="292" t="s">
        <v>351</v>
      </c>
      <c r="I105" s="292" t="s">
        <v>352</v>
      </c>
      <c r="J105" s="292" t="s">
        <v>184</v>
      </c>
      <c r="K105" s="292" t="s">
        <v>353</v>
      </c>
      <c r="L105" s="292" t="s">
        <v>359</v>
      </c>
      <c r="M105" s="292" t="s">
        <v>371</v>
      </c>
      <c r="N105" s="292" t="str">
        <f t="shared" si="100"/>
        <v>Technology -Development</v>
      </c>
      <c r="O105" s="292" t="str">
        <f t="shared" si="101"/>
        <v>Technology-Manager-India-Consulting</v>
      </c>
      <c r="P105" s="292" t="str">
        <f t="shared" si="102"/>
        <v>Technology  - Technology</v>
      </c>
      <c r="Q105" s="293">
        <f t="shared" si="83"/>
        <v>367290</v>
      </c>
      <c r="R105" s="294">
        <f t="shared" si="84"/>
        <v>0</v>
      </c>
      <c r="S105" s="295">
        <f t="shared" si="103"/>
        <v>1643</v>
      </c>
      <c r="T105" s="295">
        <f t="shared" si="85"/>
        <v>3710</v>
      </c>
      <c r="U105" s="296" t="str">
        <f t="shared" si="104"/>
        <v>Technology - Manager</v>
      </c>
      <c r="V105" s="295" t="str">
        <f t="shared" si="105"/>
        <v>5-7 years</v>
      </c>
      <c r="W105" s="292" t="str">
        <f t="shared" si="106"/>
        <v>Offshore</v>
      </c>
      <c r="X105" s="292" t="s">
        <v>261</v>
      </c>
      <c r="Y105" s="292" t="s">
        <v>259</v>
      </c>
      <c r="Z105" s="292" t="s">
        <v>376</v>
      </c>
      <c r="AA105" s="297">
        <f>[1]Resourcing!QD109</f>
        <v>324.83461538461501</v>
      </c>
      <c r="AB105" s="298">
        <f t="shared" si="107"/>
        <v>99</v>
      </c>
      <c r="AC105" s="299"/>
      <c r="AD105" s="299"/>
      <c r="AE105" s="299"/>
      <c r="AF105" s="299"/>
      <c r="AG105" s="299"/>
      <c r="AH105" s="299"/>
      <c r="AI105" s="299"/>
      <c r="AJ105" s="299"/>
      <c r="AK105" s="299"/>
      <c r="AL105" s="299"/>
      <c r="AM105" s="299"/>
      <c r="AN105" s="299"/>
      <c r="AO105" s="299"/>
      <c r="AP105" s="299"/>
      <c r="AQ105" s="299"/>
      <c r="AR105" s="299"/>
      <c r="AS105" s="299"/>
      <c r="AT105" s="299"/>
      <c r="AU105" s="299"/>
      <c r="AV105" s="299"/>
      <c r="AW105" s="299"/>
      <c r="AX105" s="299"/>
      <c r="AY105" s="299"/>
      <c r="AZ105" s="299"/>
      <c r="BA105" s="299"/>
      <c r="BB105" s="299"/>
      <c r="BC105" s="299"/>
      <c r="BD105" s="299"/>
      <c r="BE105" s="299"/>
      <c r="BF105" s="299"/>
      <c r="BG105" s="299"/>
      <c r="BH105" s="299"/>
      <c r="BI105" s="299"/>
      <c r="BJ105" s="299"/>
      <c r="BK105" s="299"/>
      <c r="BL105" s="299"/>
      <c r="BM105" s="299"/>
      <c r="BN105" s="299"/>
      <c r="BO105" s="299"/>
      <c r="BP105" s="299"/>
      <c r="BQ105" s="299"/>
      <c r="BR105" s="299"/>
      <c r="BS105" s="299"/>
      <c r="BT105" s="299"/>
      <c r="BU105" s="299"/>
      <c r="BV105" s="299"/>
      <c r="BW105" s="299"/>
      <c r="BX105" s="299"/>
      <c r="BY105" s="299"/>
      <c r="BZ105" s="299"/>
      <c r="CA105" s="299"/>
      <c r="CB105" s="299"/>
      <c r="CC105" s="299">
        <v>53</v>
      </c>
      <c r="CD105" s="299">
        <v>53</v>
      </c>
      <c r="CE105" s="299">
        <v>53</v>
      </c>
      <c r="CF105" s="299">
        <v>53</v>
      </c>
      <c r="CG105" s="299">
        <v>53</v>
      </c>
      <c r="CH105" s="299">
        <v>53</v>
      </c>
      <c r="CI105" s="299">
        <v>53</v>
      </c>
      <c r="CJ105" s="299">
        <v>53</v>
      </c>
      <c r="CK105" s="299">
        <v>53</v>
      </c>
      <c r="CL105" s="299">
        <v>53</v>
      </c>
      <c r="CM105" s="299">
        <v>53</v>
      </c>
      <c r="CN105" s="299">
        <v>53</v>
      </c>
      <c r="CO105" s="299">
        <v>53</v>
      </c>
      <c r="CP105" s="299">
        <v>53</v>
      </c>
      <c r="CQ105" s="299">
        <v>53</v>
      </c>
      <c r="CR105" s="299">
        <v>53</v>
      </c>
      <c r="CS105" s="299">
        <v>53</v>
      </c>
      <c r="CT105" s="299">
        <v>53</v>
      </c>
      <c r="CU105" s="299">
        <v>53</v>
      </c>
      <c r="CV105" s="299">
        <v>53</v>
      </c>
      <c r="CW105" s="299">
        <v>53</v>
      </c>
      <c r="CX105" s="299">
        <v>53</v>
      </c>
      <c r="CY105" s="299">
        <v>53</v>
      </c>
      <c r="CZ105" s="299">
        <v>53</v>
      </c>
      <c r="DA105" s="299">
        <v>53</v>
      </c>
      <c r="DB105" s="299">
        <v>53</v>
      </c>
      <c r="DC105" s="299">
        <v>53</v>
      </c>
      <c r="DD105" s="299">
        <v>53</v>
      </c>
      <c r="DE105" s="299">
        <v>53</v>
      </c>
      <c r="DF105" s="299">
        <v>53</v>
      </c>
      <c r="DG105" s="299">
        <v>53</v>
      </c>
      <c r="DH105" s="299">
        <v>53</v>
      </c>
      <c r="DI105" s="299">
        <v>53</v>
      </c>
      <c r="DJ105" s="299">
        <v>53</v>
      </c>
      <c r="DK105" s="299">
        <v>53</v>
      </c>
      <c r="DL105" s="299">
        <v>53</v>
      </c>
      <c r="DM105" s="299">
        <v>53</v>
      </c>
      <c r="DN105" s="299">
        <v>53</v>
      </c>
      <c r="DO105" s="299">
        <v>53</v>
      </c>
      <c r="DP105" s="299">
        <v>53</v>
      </c>
      <c r="DQ105" s="299">
        <v>53</v>
      </c>
      <c r="DR105" s="299">
        <v>53</v>
      </c>
      <c r="DS105" s="299">
        <v>53</v>
      </c>
      <c r="DT105" s="299">
        <v>53</v>
      </c>
      <c r="DU105" s="299">
        <v>53</v>
      </c>
      <c r="DV105" s="299">
        <v>53</v>
      </c>
      <c r="DW105" s="299">
        <v>53</v>
      </c>
      <c r="DX105" s="299">
        <v>53</v>
      </c>
      <c r="DY105" s="299">
        <v>53</v>
      </c>
      <c r="DZ105" s="299">
        <v>53</v>
      </c>
      <c r="EA105" s="299">
        <v>53</v>
      </c>
      <c r="EB105" s="299">
        <v>53</v>
      </c>
      <c r="EC105" s="299">
        <v>53</v>
      </c>
      <c r="ED105" s="299">
        <v>53</v>
      </c>
      <c r="EE105" s="299">
        <v>53</v>
      </c>
      <c r="EF105" s="299">
        <v>53</v>
      </c>
      <c r="EG105" s="299">
        <v>53</v>
      </c>
      <c r="EH105" s="299">
        <v>53</v>
      </c>
      <c r="EI105" s="299">
        <v>53</v>
      </c>
      <c r="EJ105" s="299">
        <v>53</v>
      </c>
      <c r="EK105" s="299">
        <v>53</v>
      </c>
      <c r="EL105" s="299">
        <v>53</v>
      </c>
      <c r="EM105" s="299">
        <v>53</v>
      </c>
      <c r="EN105" s="299">
        <v>53</v>
      </c>
      <c r="EO105" s="299">
        <v>53</v>
      </c>
      <c r="EP105" s="299">
        <v>53</v>
      </c>
      <c r="EQ105" s="299">
        <v>53</v>
      </c>
      <c r="ER105" s="299">
        <v>53</v>
      </c>
      <c r="ES105" s="299">
        <v>53</v>
      </c>
      <c r="ET105" s="299">
        <v>53</v>
      </c>
      <c r="EU105" s="299"/>
      <c r="EV105" s="299"/>
      <c r="EW105" s="299"/>
      <c r="EX105" s="299"/>
      <c r="EY105" s="299"/>
      <c r="EZ105" s="299"/>
      <c r="FA105" s="299"/>
      <c r="FB105" s="299"/>
      <c r="FC105" s="299"/>
      <c r="FD105" s="299"/>
      <c r="FE105" s="299"/>
      <c r="FF105" s="299"/>
      <c r="FG105" s="299"/>
      <c r="FH105" s="299"/>
      <c r="FI105" s="299"/>
      <c r="FJ105" s="299"/>
      <c r="FK105" s="299"/>
      <c r="FL105" s="299"/>
      <c r="FM105" s="299"/>
      <c r="FN105" s="299"/>
      <c r="FO105" s="299"/>
      <c r="FP105" s="299"/>
      <c r="FQ105" s="300" t="e">
        <f t="shared" ca="1" si="94"/>
        <v>#VALUE!</v>
      </c>
      <c r="FR105" s="300" t="e">
        <f t="shared" ca="1" si="109"/>
        <v>#VALUE!</v>
      </c>
      <c r="FS105" s="300" t="e">
        <f t="shared" ca="1" si="109"/>
        <v>#VALUE!</v>
      </c>
      <c r="FT105" s="300" t="e">
        <f t="shared" ca="1" si="109"/>
        <v>#VALUE!</v>
      </c>
      <c r="FU105" s="300" t="e">
        <f t="shared" ca="1" si="109"/>
        <v>#VALUE!</v>
      </c>
      <c r="FV105" s="300" t="e">
        <f t="shared" ca="1" si="109"/>
        <v>#VALUE!</v>
      </c>
      <c r="FW105" s="300" t="e">
        <f t="shared" ca="1" si="109"/>
        <v>#VALUE!</v>
      </c>
      <c r="FX105" s="300" t="e">
        <f t="shared" ca="1" si="109"/>
        <v>#VALUE!</v>
      </c>
      <c r="FY105" s="300" t="e">
        <f t="shared" ca="1" si="109"/>
        <v>#VALUE!</v>
      </c>
      <c r="FZ105" s="300" t="e">
        <f t="shared" ca="1" si="109"/>
        <v>#VALUE!</v>
      </c>
      <c r="GA105" s="301" t="e">
        <f t="shared" ca="1" si="109"/>
        <v>#VALUE!</v>
      </c>
      <c r="GB105" s="301" t="e">
        <f t="shared" ca="1" si="110"/>
        <v>#VALUE!</v>
      </c>
      <c r="GC105" s="301" t="e">
        <f t="shared" ca="1" si="110"/>
        <v>#VALUE!</v>
      </c>
      <c r="GD105" s="301" t="e">
        <f t="shared" ca="1" si="110"/>
        <v>#VALUE!</v>
      </c>
      <c r="GE105" s="301" t="e">
        <f t="shared" ca="1" si="110"/>
        <v>#VALUE!</v>
      </c>
      <c r="GF105" s="301" t="e">
        <f t="shared" ca="1" si="110"/>
        <v>#VALUE!</v>
      </c>
      <c r="GG105" s="301" t="e">
        <f t="shared" ca="1" si="110"/>
        <v>#VALUE!</v>
      </c>
      <c r="GH105" s="301" t="e">
        <f t="shared" ca="1" si="110"/>
        <v>#VALUE!</v>
      </c>
      <c r="GI105" s="301" t="e">
        <f t="shared" ca="1" si="110"/>
        <v>#VALUE!</v>
      </c>
      <c r="GJ105" s="301" t="e">
        <f t="shared" ca="1" si="110"/>
        <v>#VALUE!</v>
      </c>
      <c r="GK105" s="301" t="e">
        <f t="shared" ca="1" si="110"/>
        <v>#VALUE!</v>
      </c>
      <c r="GL105" s="301" t="e">
        <f t="shared" ca="1" si="110"/>
        <v>#VALUE!</v>
      </c>
      <c r="GM105" s="301" t="e">
        <f t="shared" ca="1" si="110"/>
        <v>#VALUE!</v>
      </c>
      <c r="GN105" s="302" t="e">
        <f t="shared" ca="1" si="110"/>
        <v>#VALUE!</v>
      </c>
      <c r="GO105" s="302" t="e">
        <f t="shared" ca="1" si="110"/>
        <v>#VALUE!</v>
      </c>
      <c r="GP105" s="301">
        <f t="shared" si="108"/>
        <v>212</v>
      </c>
      <c r="GQ105" s="301">
        <f t="shared" si="108"/>
        <v>212</v>
      </c>
      <c r="GR105" s="301">
        <f t="shared" si="108"/>
        <v>212</v>
      </c>
      <c r="GS105" s="301">
        <f t="shared" si="108"/>
        <v>212</v>
      </c>
      <c r="GT105" s="301">
        <f t="shared" si="108"/>
        <v>212</v>
      </c>
      <c r="GU105" s="303">
        <f t="shared" si="108"/>
        <v>212</v>
      </c>
      <c r="GV105" s="302">
        <f t="shared" si="108"/>
        <v>212</v>
      </c>
      <c r="GW105" s="302">
        <f t="shared" si="108"/>
        <v>159</v>
      </c>
      <c r="GX105" s="302">
        <f t="shared" si="108"/>
        <v>0</v>
      </c>
      <c r="GY105" s="302">
        <f t="shared" si="108"/>
        <v>0</v>
      </c>
      <c r="GZ105" s="302">
        <f t="shared" si="108"/>
        <v>0</v>
      </c>
      <c r="HA105" s="302">
        <f t="shared" si="108"/>
        <v>0</v>
      </c>
      <c r="HB105" s="302">
        <f t="shared" si="108"/>
        <v>0</v>
      </c>
      <c r="HC105" s="302">
        <f t="shared" si="108"/>
        <v>0</v>
      </c>
      <c r="HD105" s="302">
        <f t="shared" si="108"/>
        <v>0</v>
      </c>
      <c r="HE105" s="302">
        <f t="shared" si="108"/>
        <v>0</v>
      </c>
      <c r="HF105" s="304"/>
      <c r="HG105" s="305"/>
    </row>
    <row r="106" spans="1:215" s="306" customFormat="1" ht="15.75" customHeight="1">
      <c r="A106" s="307"/>
      <c r="B106" s="292" t="s">
        <v>348</v>
      </c>
      <c r="C106" s="292" t="s">
        <v>203</v>
      </c>
      <c r="D106" s="292" t="s">
        <v>255</v>
      </c>
      <c r="E106" s="292" t="s">
        <v>455</v>
      </c>
      <c r="F106" s="292" t="s">
        <v>184</v>
      </c>
      <c r="G106" s="292" t="s">
        <v>350</v>
      </c>
      <c r="H106" s="292" t="s">
        <v>351</v>
      </c>
      <c r="I106" s="292" t="s">
        <v>352</v>
      </c>
      <c r="J106" s="292" t="s">
        <v>184</v>
      </c>
      <c r="K106" s="292" t="s">
        <v>353</v>
      </c>
      <c r="L106" s="292" t="s">
        <v>359</v>
      </c>
      <c r="M106" s="292" t="s">
        <v>374</v>
      </c>
      <c r="N106" s="292" t="str">
        <f t="shared" si="100"/>
        <v>Technology -Development</v>
      </c>
      <c r="O106" s="292" t="str">
        <f t="shared" si="101"/>
        <v>Technology-Senior Consultant-India-Consulting</v>
      </c>
      <c r="P106" s="292" t="str">
        <f t="shared" si="102"/>
        <v>Technology  - Technology</v>
      </c>
      <c r="Q106" s="293">
        <f t="shared" ref="Q106:Q137" si="111">AB106*SUM(AZ106:ET106)</f>
        <v>790230</v>
      </c>
      <c r="R106" s="294">
        <f t="shared" ref="R106:R137" si="112">AB106*SUM(BC106:BN106)</f>
        <v>0</v>
      </c>
      <c r="S106" s="295">
        <f t="shared" si="103"/>
        <v>4929</v>
      </c>
      <c r="T106" s="295">
        <f t="shared" ref="T106:T137" si="113">SUM(AZ106:EZ106)</f>
        <v>11130</v>
      </c>
      <c r="U106" s="296" t="str">
        <f t="shared" si="104"/>
        <v>Technology - Senior Consultant</v>
      </c>
      <c r="V106" s="295" t="str">
        <f t="shared" si="105"/>
        <v>3-5 years</v>
      </c>
      <c r="W106" s="292" t="str">
        <f t="shared" si="106"/>
        <v>Offshore</v>
      </c>
      <c r="X106" s="292" t="s">
        <v>261</v>
      </c>
      <c r="Y106" s="292" t="s">
        <v>259</v>
      </c>
      <c r="Z106" s="292" t="s">
        <v>364</v>
      </c>
      <c r="AA106" s="297">
        <f>[1]Resourcing!QD110</f>
        <v>359.59227272727298</v>
      </c>
      <c r="AB106" s="298">
        <f t="shared" si="107"/>
        <v>71</v>
      </c>
      <c r="AC106" s="299"/>
      <c r="AD106" s="299"/>
      <c r="AE106" s="299"/>
      <c r="AF106" s="299"/>
      <c r="AG106" s="299"/>
      <c r="AH106" s="299"/>
      <c r="AI106" s="299"/>
      <c r="AJ106" s="299"/>
      <c r="AK106" s="299"/>
      <c r="AL106" s="299"/>
      <c r="AM106" s="299"/>
      <c r="AN106" s="299"/>
      <c r="AO106" s="299"/>
      <c r="AP106" s="299"/>
      <c r="AQ106" s="299"/>
      <c r="AR106" s="299"/>
      <c r="AS106" s="299"/>
      <c r="AT106" s="299"/>
      <c r="AU106" s="299"/>
      <c r="AV106" s="299"/>
      <c r="AW106" s="299"/>
      <c r="AX106" s="299"/>
      <c r="AY106" s="299"/>
      <c r="AZ106" s="299"/>
      <c r="BA106" s="299"/>
      <c r="BB106" s="299"/>
      <c r="BC106" s="299"/>
      <c r="BD106" s="299"/>
      <c r="BE106" s="299"/>
      <c r="BF106" s="299"/>
      <c r="BG106" s="299"/>
      <c r="BH106" s="299"/>
      <c r="BI106" s="299"/>
      <c r="BJ106" s="299"/>
      <c r="BK106" s="299"/>
      <c r="BL106" s="299"/>
      <c r="BM106" s="299"/>
      <c r="BN106" s="299"/>
      <c r="BO106" s="299"/>
      <c r="BP106" s="299"/>
      <c r="BQ106" s="299"/>
      <c r="BR106" s="299"/>
      <c r="BS106" s="299"/>
      <c r="BT106" s="299"/>
      <c r="BU106" s="299"/>
      <c r="BV106" s="299"/>
      <c r="BW106" s="299"/>
      <c r="BX106" s="299"/>
      <c r="BY106" s="299"/>
      <c r="BZ106" s="299"/>
      <c r="CA106" s="299"/>
      <c r="CB106" s="299"/>
      <c r="CC106" s="299">
        <v>159</v>
      </c>
      <c r="CD106" s="299">
        <v>159</v>
      </c>
      <c r="CE106" s="299">
        <v>159</v>
      </c>
      <c r="CF106" s="299">
        <v>159</v>
      </c>
      <c r="CG106" s="299">
        <v>159</v>
      </c>
      <c r="CH106" s="299">
        <v>159</v>
      </c>
      <c r="CI106" s="299">
        <v>159</v>
      </c>
      <c r="CJ106" s="299">
        <v>159</v>
      </c>
      <c r="CK106" s="299">
        <v>159</v>
      </c>
      <c r="CL106" s="299">
        <v>159</v>
      </c>
      <c r="CM106" s="299">
        <v>159</v>
      </c>
      <c r="CN106" s="299">
        <v>159</v>
      </c>
      <c r="CO106" s="299">
        <v>159</v>
      </c>
      <c r="CP106" s="299">
        <v>159</v>
      </c>
      <c r="CQ106" s="299">
        <v>159</v>
      </c>
      <c r="CR106" s="299">
        <v>159</v>
      </c>
      <c r="CS106" s="299">
        <v>159</v>
      </c>
      <c r="CT106" s="299">
        <v>159</v>
      </c>
      <c r="CU106" s="299">
        <v>159</v>
      </c>
      <c r="CV106" s="299">
        <v>159</v>
      </c>
      <c r="CW106" s="299">
        <v>159</v>
      </c>
      <c r="CX106" s="299">
        <v>159</v>
      </c>
      <c r="CY106" s="299">
        <v>159</v>
      </c>
      <c r="CZ106" s="299">
        <v>159</v>
      </c>
      <c r="DA106" s="299">
        <v>159</v>
      </c>
      <c r="DB106" s="299">
        <v>159</v>
      </c>
      <c r="DC106" s="299">
        <v>159</v>
      </c>
      <c r="DD106" s="299">
        <v>159</v>
      </c>
      <c r="DE106" s="299">
        <v>159</v>
      </c>
      <c r="DF106" s="299">
        <v>159</v>
      </c>
      <c r="DG106" s="299">
        <v>159</v>
      </c>
      <c r="DH106" s="299">
        <v>159</v>
      </c>
      <c r="DI106" s="299">
        <v>159</v>
      </c>
      <c r="DJ106" s="299">
        <v>159</v>
      </c>
      <c r="DK106" s="299">
        <v>159</v>
      </c>
      <c r="DL106" s="299">
        <v>159</v>
      </c>
      <c r="DM106" s="299">
        <v>159</v>
      </c>
      <c r="DN106" s="299">
        <v>159</v>
      </c>
      <c r="DO106" s="299">
        <v>159</v>
      </c>
      <c r="DP106" s="299">
        <v>159</v>
      </c>
      <c r="DQ106" s="299">
        <v>159</v>
      </c>
      <c r="DR106" s="299">
        <v>159</v>
      </c>
      <c r="DS106" s="299">
        <v>159</v>
      </c>
      <c r="DT106" s="299">
        <v>159</v>
      </c>
      <c r="DU106" s="299">
        <v>159</v>
      </c>
      <c r="DV106" s="299">
        <v>159</v>
      </c>
      <c r="DW106" s="299">
        <v>159</v>
      </c>
      <c r="DX106" s="299">
        <v>159</v>
      </c>
      <c r="DY106" s="299">
        <v>159</v>
      </c>
      <c r="DZ106" s="299">
        <v>159</v>
      </c>
      <c r="EA106" s="299">
        <v>159</v>
      </c>
      <c r="EB106" s="299">
        <v>159</v>
      </c>
      <c r="EC106" s="299">
        <v>159</v>
      </c>
      <c r="ED106" s="299">
        <v>159</v>
      </c>
      <c r="EE106" s="299">
        <v>159</v>
      </c>
      <c r="EF106" s="299">
        <v>159</v>
      </c>
      <c r="EG106" s="299">
        <v>159</v>
      </c>
      <c r="EH106" s="299">
        <v>159</v>
      </c>
      <c r="EI106" s="299">
        <v>159</v>
      </c>
      <c r="EJ106" s="299">
        <v>159</v>
      </c>
      <c r="EK106" s="299">
        <v>159</v>
      </c>
      <c r="EL106" s="299">
        <v>159</v>
      </c>
      <c r="EM106" s="299">
        <v>159</v>
      </c>
      <c r="EN106" s="299">
        <v>159</v>
      </c>
      <c r="EO106" s="299">
        <v>159</v>
      </c>
      <c r="EP106" s="299">
        <v>159</v>
      </c>
      <c r="EQ106" s="299">
        <v>159</v>
      </c>
      <c r="ER106" s="299">
        <v>159</v>
      </c>
      <c r="ES106" s="299">
        <v>159</v>
      </c>
      <c r="ET106" s="299">
        <v>159</v>
      </c>
      <c r="EU106" s="299"/>
      <c r="EV106" s="299"/>
      <c r="EW106" s="299"/>
      <c r="EX106" s="299"/>
      <c r="EY106" s="299"/>
      <c r="EZ106" s="299"/>
      <c r="FA106" s="299"/>
      <c r="FB106" s="299"/>
      <c r="FC106" s="299"/>
      <c r="FD106" s="299"/>
      <c r="FE106" s="299"/>
      <c r="FF106" s="299"/>
      <c r="FG106" s="299"/>
      <c r="FH106" s="299"/>
      <c r="FI106" s="299"/>
      <c r="FJ106" s="299"/>
      <c r="FK106" s="299"/>
      <c r="FL106" s="299"/>
      <c r="FM106" s="299"/>
      <c r="FN106" s="299"/>
      <c r="FO106" s="299"/>
      <c r="FP106" s="299"/>
      <c r="FQ106" s="300" t="e">
        <f t="shared" ca="1" si="94"/>
        <v>#VALUE!</v>
      </c>
      <c r="FR106" s="300" t="e">
        <f t="shared" ca="1" si="109"/>
        <v>#VALUE!</v>
      </c>
      <c r="FS106" s="300" t="e">
        <f t="shared" ca="1" si="109"/>
        <v>#VALUE!</v>
      </c>
      <c r="FT106" s="300" t="e">
        <f t="shared" ca="1" si="109"/>
        <v>#VALUE!</v>
      </c>
      <c r="FU106" s="300" t="e">
        <f t="shared" ca="1" si="109"/>
        <v>#VALUE!</v>
      </c>
      <c r="FV106" s="300" t="e">
        <f t="shared" ca="1" si="109"/>
        <v>#VALUE!</v>
      </c>
      <c r="FW106" s="300" t="e">
        <f t="shared" ca="1" si="109"/>
        <v>#VALUE!</v>
      </c>
      <c r="FX106" s="300" t="e">
        <f t="shared" ca="1" si="109"/>
        <v>#VALUE!</v>
      </c>
      <c r="FY106" s="300" t="e">
        <f t="shared" ca="1" si="109"/>
        <v>#VALUE!</v>
      </c>
      <c r="FZ106" s="300" t="e">
        <f t="shared" ca="1" si="109"/>
        <v>#VALUE!</v>
      </c>
      <c r="GA106" s="301" t="e">
        <f t="shared" ca="1" si="109"/>
        <v>#VALUE!</v>
      </c>
      <c r="GB106" s="301" t="e">
        <f t="shared" ca="1" si="110"/>
        <v>#VALUE!</v>
      </c>
      <c r="GC106" s="301" t="e">
        <f t="shared" ca="1" si="110"/>
        <v>#VALUE!</v>
      </c>
      <c r="GD106" s="301" t="e">
        <f t="shared" ca="1" si="110"/>
        <v>#VALUE!</v>
      </c>
      <c r="GE106" s="301" t="e">
        <f t="shared" ca="1" si="110"/>
        <v>#VALUE!</v>
      </c>
      <c r="GF106" s="301" t="e">
        <f t="shared" ca="1" si="110"/>
        <v>#VALUE!</v>
      </c>
      <c r="GG106" s="301" t="e">
        <f t="shared" ca="1" si="110"/>
        <v>#VALUE!</v>
      </c>
      <c r="GH106" s="301" t="e">
        <f t="shared" ca="1" si="110"/>
        <v>#VALUE!</v>
      </c>
      <c r="GI106" s="301" t="e">
        <f t="shared" ca="1" si="110"/>
        <v>#VALUE!</v>
      </c>
      <c r="GJ106" s="301" t="e">
        <f t="shared" ca="1" si="110"/>
        <v>#VALUE!</v>
      </c>
      <c r="GK106" s="301" t="e">
        <f t="shared" ca="1" si="110"/>
        <v>#VALUE!</v>
      </c>
      <c r="GL106" s="301" t="e">
        <f t="shared" ca="1" si="110"/>
        <v>#VALUE!</v>
      </c>
      <c r="GM106" s="301" t="e">
        <f t="shared" ca="1" si="110"/>
        <v>#VALUE!</v>
      </c>
      <c r="GN106" s="302" t="e">
        <f t="shared" ca="1" si="110"/>
        <v>#VALUE!</v>
      </c>
      <c r="GO106" s="302" t="e">
        <f t="shared" ca="1" si="110"/>
        <v>#VALUE!</v>
      </c>
      <c r="GP106" s="301">
        <f t="shared" si="108"/>
        <v>636</v>
      </c>
      <c r="GQ106" s="301">
        <f t="shared" si="108"/>
        <v>636</v>
      </c>
      <c r="GR106" s="301">
        <f t="shared" si="108"/>
        <v>636</v>
      </c>
      <c r="GS106" s="301">
        <f t="shared" si="108"/>
        <v>636</v>
      </c>
      <c r="GT106" s="301">
        <f t="shared" si="108"/>
        <v>636</v>
      </c>
      <c r="GU106" s="303">
        <f t="shared" si="108"/>
        <v>636</v>
      </c>
      <c r="GV106" s="302">
        <f t="shared" si="108"/>
        <v>636</v>
      </c>
      <c r="GW106" s="302">
        <f t="shared" si="108"/>
        <v>477</v>
      </c>
      <c r="GX106" s="302">
        <f t="shared" si="108"/>
        <v>0</v>
      </c>
      <c r="GY106" s="302">
        <f t="shared" si="108"/>
        <v>0</v>
      </c>
      <c r="GZ106" s="302">
        <f t="shared" si="108"/>
        <v>0</v>
      </c>
      <c r="HA106" s="302">
        <f t="shared" si="108"/>
        <v>0</v>
      </c>
      <c r="HB106" s="302">
        <f t="shared" si="108"/>
        <v>0</v>
      </c>
      <c r="HC106" s="302">
        <f t="shared" si="108"/>
        <v>0</v>
      </c>
      <c r="HD106" s="302">
        <f t="shared" si="108"/>
        <v>0</v>
      </c>
      <c r="HE106" s="302">
        <f t="shared" si="108"/>
        <v>0</v>
      </c>
      <c r="HF106" s="304"/>
      <c r="HG106" s="305"/>
    </row>
    <row r="107" spans="1:215" s="306" customFormat="1" ht="15.75" customHeight="1">
      <c r="A107" s="307"/>
      <c r="B107" s="292" t="s">
        <v>348</v>
      </c>
      <c r="C107" s="292" t="s">
        <v>203</v>
      </c>
      <c r="D107" s="292" t="s">
        <v>255</v>
      </c>
      <c r="E107" s="292" t="s">
        <v>456</v>
      </c>
      <c r="F107" s="292" t="s">
        <v>184</v>
      </c>
      <c r="G107" s="292" t="s">
        <v>350</v>
      </c>
      <c r="H107" s="292" t="s">
        <v>351</v>
      </c>
      <c r="I107" s="292" t="s">
        <v>352</v>
      </c>
      <c r="J107" s="292" t="s">
        <v>184</v>
      </c>
      <c r="K107" s="292" t="s">
        <v>353</v>
      </c>
      <c r="L107" s="292" t="s">
        <v>359</v>
      </c>
      <c r="M107" s="292" t="s">
        <v>367</v>
      </c>
      <c r="N107" s="292" t="str">
        <f t="shared" si="100"/>
        <v>Technology -Development</v>
      </c>
      <c r="O107" s="292" t="str">
        <f t="shared" si="101"/>
        <v>Technology-Consultant-India-Consulting</v>
      </c>
      <c r="P107" s="292" t="str">
        <f t="shared" si="102"/>
        <v>Technology  - Technology</v>
      </c>
      <c r="Q107" s="293">
        <f t="shared" si="111"/>
        <v>894600</v>
      </c>
      <c r="R107" s="294">
        <f t="shared" si="112"/>
        <v>0</v>
      </c>
      <c r="S107" s="295">
        <f t="shared" si="103"/>
        <v>6603</v>
      </c>
      <c r="T107" s="295">
        <f t="shared" si="113"/>
        <v>14910</v>
      </c>
      <c r="U107" s="296" t="str">
        <f t="shared" si="104"/>
        <v>Technology - Consultant</v>
      </c>
      <c r="V107" s="295" t="str">
        <f t="shared" si="105"/>
        <v>1-3 years</v>
      </c>
      <c r="W107" s="292" t="str">
        <f t="shared" si="106"/>
        <v>Offshore</v>
      </c>
      <c r="X107" s="292" t="s">
        <v>261</v>
      </c>
      <c r="Y107" s="292" t="s">
        <v>259</v>
      </c>
      <c r="Z107" s="292" t="s">
        <v>368</v>
      </c>
      <c r="AA107" s="297">
        <f>[1]Resourcing!QD111</f>
        <v>62.440434782608698</v>
      </c>
      <c r="AB107" s="298">
        <f t="shared" si="107"/>
        <v>60</v>
      </c>
      <c r="AC107" s="299"/>
      <c r="AD107" s="299"/>
      <c r="AE107" s="299"/>
      <c r="AF107" s="299"/>
      <c r="AG107" s="299"/>
      <c r="AH107" s="299"/>
      <c r="AI107" s="299"/>
      <c r="AJ107" s="299"/>
      <c r="AK107" s="299"/>
      <c r="AL107" s="299"/>
      <c r="AM107" s="299"/>
      <c r="AN107" s="299"/>
      <c r="AO107" s="299"/>
      <c r="AP107" s="299"/>
      <c r="AQ107" s="299"/>
      <c r="AR107" s="299"/>
      <c r="AS107" s="299"/>
      <c r="AT107" s="299"/>
      <c r="AU107" s="299"/>
      <c r="AV107" s="299"/>
      <c r="AW107" s="299"/>
      <c r="AX107" s="299"/>
      <c r="AY107" s="299"/>
      <c r="AZ107" s="299"/>
      <c r="BA107" s="299"/>
      <c r="BB107" s="299"/>
      <c r="BC107" s="299"/>
      <c r="BD107" s="299"/>
      <c r="BE107" s="299"/>
      <c r="BF107" s="299"/>
      <c r="BG107" s="299"/>
      <c r="BH107" s="299"/>
      <c r="BI107" s="299"/>
      <c r="BJ107" s="299"/>
      <c r="BK107" s="299"/>
      <c r="BL107" s="299"/>
      <c r="BM107" s="299"/>
      <c r="BN107" s="299"/>
      <c r="BO107" s="299"/>
      <c r="BP107" s="299"/>
      <c r="BQ107" s="299"/>
      <c r="BR107" s="299"/>
      <c r="BS107" s="299"/>
      <c r="BT107" s="299"/>
      <c r="BU107" s="299"/>
      <c r="BV107" s="299"/>
      <c r="BW107" s="299"/>
      <c r="BX107" s="299"/>
      <c r="BY107" s="299"/>
      <c r="BZ107" s="299"/>
      <c r="CA107" s="299"/>
      <c r="CB107" s="299"/>
      <c r="CC107" s="299">
        <v>213</v>
      </c>
      <c r="CD107" s="299">
        <v>213</v>
      </c>
      <c r="CE107" s="299">
        <v>213</v>
      </c>
      <c r="CF107" s="299">
        <v>213</v>
      </c>
      <c r="CG107" s="299">
        <v>213</v>
      </c>
      <c r="CH107" s="299">
        <v>213</v>
      </c>
      <c r="CI107" s="299">
        <v>213</v>
      </c>
      <c r="CJ107" s="299">
        <v>213</v>
      </c>
      <c r="CK107" s="299">
        <v>213</v>
      </c>
      <c r="CL107" s="299">
        <v>213</v>
      </c>
      <c r="CM107" s="299">
        <v>213</v>
      </c>
      <c r="CN107" s="299">
        <v>213</v>
      </c>
      <c r="CO107" s="299">
        <v>213</v>
      </c>
      <c r="CP107" s="299">
        <v>213</v>
      </c>
      <c r="CQ107" s="299">
        <v>213</v>
      </c>
      <c r="CR107" s="299">
        <v>213</v>
      </c>
      <c r="CS107" s="299">
        <v>213</v>
      </c>
      <c r="CT107" s="299">
        <v>213</v>
      </c>
      <c r="CU107" s="299">
        <v>213</v>
      </c>
      <c r="CV107" s="299">
        <v>213</v>
      </c>
      <c r="CW107" s="299">
        <v>213</v>
      </c>
      <c r="CX107" s="299">
        <v>213</v>
      </c>
      <c r="CY107" s="299">
        <v>213</v>
      </c>
      <c r="CZ107" s="299">
        <v>213</v>
      </c>
      <c r="DA107" s="299">
        <v>213</v>
      </c>
      <c r="DB107" s="299">
        <v>213</v>
      </c>
      <c r="DC107" s="299">
        <v>213</v>
      </c>
      <c r="DD107" s="299">
        <v>213</v>
      </c>
      <c r="DE107" s="299">
        <v>213</v>
      </c>
      <c r="DF107" s="299">
        <v>213</v>
      </c>
      <c r="DG107" s="299">
        <v>213</v>
      </c>
      <c r="DH107" s="299">
        <v>213</v>
      </c>
      <c r="DI107" s="299">
        <v>213</v>
      </c>
      <c r="DJ107" s="299">
        <v>213</v>
      </c>
      <c r="DK107" s="299">
        <v>213</v>
      </c>
      <c r="DL107" s="299">
        <v>213</v>
      </c>
      <c r="DM107" s="299">
        <v>213</v>
      </c>
      <c r="DN107" s="299">
        <v>213</v>
      </c>
      <c r="DO107" s="299">
        <v>213</v>
      </c>
      <c r="DP107" s="299">
        <v>213</v>
      </c>
      <c r="DQ107" s="299">
        <v>213</v>
      </c>
      <c r="DR107" s="299">
        <v>213</v>
      </c>
      <c r="DS107" s="299">
        <v>213</v>
      </c>
      <c r="DT107" s="299">
        <v>213</v>
      </c>
      <c r="DU107" s="299">
        <v>213</v>
      </c>
      <c r="DV107" s="299">
        <v>213</v>
      </c>
      <c r="DW107" s="299">
        <v>213</v>
      </c>
      <c r="DX107" s="299">
        <v>213</v>
      </c>
      <c r="DY107" s="299">
        <v>213</v>
      </c>
      <c r="DZ107" s="299">
        <v>213</v>
      </c>
      <c r="EA107" s="299">
        <v>213</v>
      </c>
      <c r="EB107" s="299">
        <v>213</v>
      </c>
      <c r="EC107" s="299">
        <v>213</v>
      </c>
      <c r="ED107" s="299">
        <v>213</v>
      </c>
      <c r="EE107" s="299">
        <v>213</v>
      </c>
      <c r="EF107" s="299">
        <v>213</v>
      </c>
      <c r="EG107" s="299">
        <v>213</v>
      </c>
      <c r="EH107" s="299">
        <v>213</v>
      </c>
      <c r="EI107" s="299">
        <v>213</v>
      </c>
      <c r="EJ107" s="299">
        <v>213</v>
      </c>
      <c r="EK107" s="299">
        <v>213</v>
      </c>
      <c r="EL107" s="299">
        <v>213</v>
      </c>
      <c r="EM107" s="299">
        <v>213</v>
      </c>
      <c r="EN107" s="299">
        <v>213</v>
      </c>
      <c r="EO107" s="299">
        <v>213</v>
      </c>
      <c r="EP107" s="299">
        <v>213</v>
      </c>
      <c r="EQ107" s="299">
        <v>213</v>
      </c>
      <c r="ER107" s="299">
        <v>213</v>
      </c>
      <c r="ES107" s="299">
        <v>213</v>
      </c>
      <c r="ET107" s="299">
        <v>213</v>
      </c>
      <c r="EU107" s="299"/>
      <c r="EV107" s="299"/>
      <c r="EW107" s="299"/>
      <c r="EX107" s="299"/>
      <c r="EY107" s="299"/>
      <c r="EZ107" s="299"/>
      <c r="FA107" s="299"/>
      <c r="FB107" s="299"/>
      <c r="FC107" s="299"/>
      <c r="FD107" s="299"/>
      <c r="FE107" s="299"/>
      <c r="FF107" s="299"/>
      <c r="FG107" s="299"/>
      <c r="FH107" s="299"/>
      <c r="FI107" s="299"/>
      <c r="FJ107" s="299"/>
      <c r="FK107" s="299"/>
      <c r="FL107" s="299"/>
      <c r="FM107" s="299"/>
      <c r="FN107" s="299"/>
      <c r="FO107" s="299"/>
      <c r="FP107" s="299"/>
      <c r="FQ107" s="300" t="e">
        <f t="shared" ca="1" si="94"/>
        <v>#VALUE!</v>
      </c>
      <c r="FR107" s="300" t="e">
        <f t="shared" ca="1" si="109"/>
        <v>#VALUE!</v>
      </c>
      <c r="FS107" s="300" t="e">
        <f t="shared" ca="1" si="109"/>
        <v>#VALUE!</v>
      </c>
      <c r="FT107" s="300" t="e">
        <f t="shared" ca="1" si="109"/>
        <v>#VALUE!</v>
      </c>
      <c r="FU107" s="300" t="e">
        <f t="shared" ca="1" si="109"/>
        <v>#VALUE!</v>
      </c>
      <c r="FV107" s="300" t="e">
        <f t="shared" ca="1" si="109"/>
        <v>#VALUE!</v>
      </c>
      <c r="FW107" s="300" t="e">
        <f t="shared" ca="1" si="109"/>
        <v>#VALUE!</v>
      </c>
      <c r="FX107" s="300" t="e">
        <f t="shared" ca="1" si="109"/>
        <v>#VALUE!</v>
      </c>
      <c r="FY107" s="300" t="e">
        <f t="shared" ca="1" si="109"/>
        <v>#VALUE!</v>
      </c>
      <c r="FZ107" s="300" t="e">
        <f t="shared" ca="1" si="109"/>
        <v>#VALUE!</v>
      </c>
      <c r="GA107" s="301" t="e">
        <f t="shared" ca="1" si="109"/>
        <v>#VALUE!</v>
      </c>
      <c r="GB107" s="301" t="e">
        <f t="shared" ca="1" si="110"/>
        <v>#VALUE!</v>
      </c>
      <c r="GC107" s="301" t="e">
        <f t="shared" ca="1" si="110"/>
        <v>#VALUE!</v>
      </c>
      <c r="GD107" s="301" t="e">
        <f t="shared" ca="1" si="110"/>
        <v>#VALUE!</v>
      </c>
      <c r="GE107" s="301" t="e">
        <f t="shared" ca="1" si="110"/>
        <v>#VALUE!</v>
      </c>
      <c r="GF107" s="301" t="e">
        <f t="shared" ca="1" si="110"/>
        <v>#VALUE!</v>
      </c>
      <c r="GG107" s="301" t="e">
        <f t="shared" ca="1" si="110"/>
        <v>#VALUE!</v>
      </c>
      <c r="GH107" s="301" t="e">
        <f t="shared" ca="1" si="110"/>
        <v>#VALUE!</v>
      </c>
      <c r="GI107" s="301" t="e">
        <f t="shared" ca="1" si="110"/>
        <v>#VALUE!</v>
      </c>
      <c r="GJ107" s="301" t="e">
        <f t="shared" ca="1" si="110"/>
        <v>#VALUE!</v>
      </c>
      <c r="GK107" s="301" t="e">
        <f t="shared" ca="1" si="110"/>
        <v>#VALUE!</v>
      </c>
      <c r="GL107" s="301" t="e">
        <f t="shared" ca="1" si="110"/>
        <v>#VALUE!</v>
      </c>
      <c r="GM107" s="301" t="e">
        <f t="shared" ca="1" si="110"/>
        <v>#VALUE!</v>
      </c>
      <c r="GN107" s="302" t="e">
        <f t="shared" ca="1" si="110"/>
        <v>#VALUE!</v>
      </c>
      <c r="GO107" s="302" t="e">
        <f t="shared" ca="1" si="110"/>
        <v>#VALUE!</v>
      </c>
      <c r="GP107" s="301">
        <f t="shared" si="108"/>
        <v>852</v>
      </c>
      <c r="GQ107" s="301">
        <f t="shared" si="108"/>
        <v>852</v>
      </c>
      <c r="GR107" s="301">
        <f t="shared" si="108"/>
        <v>852</v>
      </c>
      <c r="GS107" s="301">
        <f t="shared" si="108"/>
        <v>852</v>
      </c>
      <c r="GT107" s="301">
        <f t="shared" si="108"/>
        <v>852</v>
      </c>
      <c r="GU107" s="303">
        <f t="shared" si="108"/>
        <v>852</v>
      </c>
      <c r="GV107" s="302">
        <f t="shared" si="108"/>
        <v>852</v>
      </c>
      <c r="GW107" s="302">
        <f t="shared" si="108"/>
        <v>639</v>
      </c>
      <c r="GX107" s="302">
        <f t="shared" si="108"/>
        <v>0</v>
      </c>
      <c r="GY107" s="302">
        <f t="shared" si="108"/>
        <v>0</v>
      </c>
      <c r="GZ107" s="302">
        <f t="shared" si="108"/>
        <v>0</v>
      </c>
      <c r="HA107" s="302">
        <f t="shared" si="108"/>
        <v>0</v>
      </c>
      <c r="HB107" s="302">
        <f t="shared" si="108"/>
        <v>0</v>
      </c>
      <c r="HC107" s="302">
        <f t="shared" si="108"/>
        <v>0</v>
      </c>
      <c r="HD107" s="302">
        <f t="shared" si="108"/>
        <v>0</v>
      </c>
      <c r="HE107" s="302">
        <f t="shared" si="108"/>
        <v>0</v>
      </c>
      <c r="HF107" s="304"/>
      <c r="HG107" s="305"/>
    </row>
    <row r="108" spans="1:215" s="306" customFormat="1" ht="15.75" customHeight="1">
      <c r="A108" s="307"/>
      <c r="B108" s="292" t="s">
        <v>348</v>
      </c>
      <c r="C108" s="292" t="s">
        <v>203</v>
      </c>
      <c r="D108" s="292" t="s">
        <v>255</v>
      </c>
      <c r="E108" s="292" t="s">
        <v>457</v>
      </c>
      <c r="F108" s="292" t="s">
        <v>184</v>
      </c>
      <c r="G108" s="292" t="s">
        <v>350</v>
      </c>
      <c r="H108" s="292" t="s">
        <v>351</v>
      </c>
      <c r="I108" s="292" t="s">
        <v>352</v>
      </c>
      <c r="J108" s="292" t="s">
        <v>184</v>
      </c>
      <c r="K108" s="292" t="s">
        <v>353</v>
      </c>
      <c r="L108" s="292" t="s">
        <v>359</v>
      </c>
      <c r="M108" s="292" t="s">
        <v>363</v>
      </c>
      <c r="N108" s="292" t="str">
        <f t="shared" si="100"/>
        <v>Technology -Development</v>
      </c>
      <c r="O108" s="292" t="str">
        <f t="shared" si="101"/>
        <v>Technology-Analyst-India-Consulting</v>
      </c>
      <c r="P108" s="292" t="str">
        <f t="shared" si="102"/>
        <v>Technology  - Technology</v>
      </c>
      <c r="Q108" s="293">
        <f t="shared" si="111"/>
        <v>356160</v>
      </c>
      <c r="R108" s="294">
        <f t="shared" si="112"/>
        <v>0</v>
      </c>
      <c r="S108" s="295">
        <f t="shared" si="103"/>
        <v>3286</v>
      </c>
      <c r="T108" s="295">
        <f t="shared" si="113"/>
        <v>7420</v>
      </c>
      <c r="U108" s="296" t="str">
        <f t="shared" si="104"/>
        <v>Technology - Analyst</v>
      </c>
      <c r="V108" s="295" t="str">
        <f t="shared" si="105"/>
        <v>0-1 years</v>
      </c>
      <c r="W108" s="292" t="str">
        <f t="shared" si="106"/>
        <v>Offshore</v>
      </c>
      <c r="X108" s="292" t="s">
        <v>261</v>
      </c>
      <c r="Y108" s="292" t="s">
        <v>259</v>
      </c>
      <c r="Z108" s="292" t="s">
        <v>384</v>
      </c>
      <c r="AA108" s="297">
        <f>[1]Resourcing!QD112</f>
        <v>86.524000000000001</v>
      </c>
      <c r="AB108" s="298">
        <f t="shared" si="107"/>
        <v>48</v>
      </c>
      <c r="AC108" s="299"/>
      <c r="AD108" s="299"/>
      <c r="AE108" s="299"/>
      <c r="AF108" s="299"/>
      <c r="AG108" s="299"/>
      <c r="AH108" s="299"/>
      <c r="AI108" s="299"/>
      <c r="AJ108" s="299"/>
      <c r="AK108" s="299"/>
      <c r="AL108" s="299"/>
      <c r="AM108" s="299"/>
      <c r="AN108" s="299"/>
      <c r="AO108" s="299"/>
      <c r="AP108" s="299"/>
      <c r="AQ108" s="299"/>
      <c r="AR108" s="299"/>
      <c r="AS108" s="299"/>
      <c r="AT108" s="299"/>
      <c r="AU108" s="299"/>
      <c r="AV108" s="299"/>
      <c r="AW108" s="299"/>
      <c r="AX108" s="299"/>
      <c r="AY108" s="299"/>
      <c r="AZ108" s="299"/>
      <c r="BA108" s="299"/>
      <c r="BB108" s="299"/>
      <c r="BC108" s="299"/>
      <c r="BD108" s="299"/>
      <c r="BE108" s="299"/>
      <c r="BF108" s="299"/>
      <c r="BG108" s="299"/>
      <c r="BH108" s="299"/>
      <c r="BI108" s="299"/>
      <c r="BJ108" s="299"/>
      <c r="BK108" s="299"/>
      <c r="BL108" s="299"/>
      <c r="BM108" s="299"/>
      <c r="BN108" s="299"/>
      <c r="BO108" s="299"/>
      <c r="BP108" s="299"/>
      <c r="BQ108" s="299"/>
      <c r="BR108" s="299"/>
      <c r="BS108" s="299"/>
      <c r="BT108" s="299"/>
      <c r="BU108" s="299"/>
      <c r="BV108" s="299"/>
      <c r="BW108" s="299"/>
      <c r="BX108" s="299"/>
      <c r="BY108" s="299"/>
      <c r="BZ108" s="299"/>
      <c r="CA108" s="299"/>
      <c r="CB108" s="299"/>
      <c r="CC108" s="299">
        <v>106</v>
      </c>
      <c r="CD108" s="299">
        <v>106</v>
      </c>
      <c r="CE108" s="299">
        <v>106</v>
      </c>
      <c r="CF108" s="299">
        <v>106</v>
      </c>
      <c r="CG108" s="299">
        <v>106</v>
      </c>
      <c r="CH108" s="299">
        <v>106</v>
      </c>
      <c r="CI108" s="299">
        <v>106</v>
      </c>
      <c r="CJ108" s="299">
        <v>106</v>
      </c>
      <c r="CK108" s="299">
        <v>106</v>
      </c>
      <c r="CL108" s="299">
        <v>106</v>
      </c>
      <c r="CM108" s="299">
        <v>106</v>
      </c>
      <c r="CN108" s="299">
        <v>106</v>
      </c>
      <c r="CO108" s="299">
        <v>106</v>
      </c>
      <c r="CP108" s="299">
        <v>106</v>
      </c>
      <c r="CQ108" s="299">
        <v>106</v>
      </c>
      <c r="CR108" s="299">
        <v>106</v>
      </c>
      <c r="CS108" s="299">
        <v>106</v>
      </c>
      <c r="CT108" s="299">
        <v>106</v>
      </c>
      <c r="CU108" s="299">
        <v>106</v>
      </c>
      <c r="CV108" s="299">
        <v>106</v>
      </c>
      <c r="CW108" s="299">
        <v>106</v>
      </c>
      <c r="CX108" s="299">
        <v>106</v>
      </c>
      <c r="CY108" s="299">
        <v>106</v>
      </c>
      <c r="CZ108" s="299">
        <v>106</v>
      </c>
      <c r="DA108" s="299">
        <v>106</v>
      </c>
      <c r="DB108" s="299">
        <v>106</v>
      </c>
      <c r="DC108" s="299">
        <v>106</v>
      </c>
      <c r="DD108" s="299">
        <v>106</v>
      </c>
      <c r="DE108" s="299">
        <v>106</v>
      </c>
      <c r="DF108" s="299">
        <v>106</v>
      </c>
      <c r="DG108" s="299">
        <v>106</v>
      </c>
      <c r="DH108" s="299">
        <v>106</v>
      </c>
      <c r="DI108" s="299">
        <v>106</v>
      </c>
      <c r="DJ108" s="299">
        <v>106</v>
      </c>
      <c r="DK108" s="299">
        <v>106</v>
      </c>
      <c r="DL108" s="299">
        <v>106</v>
      </c>
      <c r="DM108" s="299">
        <v>106</v>
      </c>
      <c r="DN108" s="299">
        <v>106</v>
      </c>
      <c r="DO108" s="299">
        <v>106</v>
      </c>
      <c r="DP108" s="299">
        <v>106</v>
      </c>
      <c r="DQ108" s="299">
        <v>106</v>
      </c>
      <c r="DR108" s="299">
        <v>106</v>
      </c>
      <c r="DS108" s="299">
        <v>106</v>
      </c>
      <c r="DT108" s="299">
        <v>106</v>
      </c>
      <c r="DU108" s="299">
        <v>106</v>
      </c>
      <c r="DV108" s="299">
        <v>106</v>
      </c>
      <c r="DW108" s="299">
        <v>106</v>
      </c>
      <c r="DX108" s="299">
        <v>106</v>
      </c>
      <c r="DY108" s="299">
        <v>106</v>
      </c>
      <c r="DZ108" s="299">
        <v>106</v>
      </c>
      <c r="EA108" s="299">
        <v>106</v>
      </c>
      <c r="EB108" s="299">
        <v>106</v>
      </c>
      <c r="EC108" s="299">
        <v>106</v>
      </c>
      <c r="ED108" s="299">
        <v>106</v>
      </c>
      <c r="EE108" s="299">
        <v>106</v>
      </c>
      <c r="EF108" s="299">
        <v>106</v>
      </c>
      <c r="EG108" s="299">
        <v>106</v>
      </c>
      <c r="EH108" s="299">
        <v>106</v>
      </c>
      <c r="EI108" s="299">
        <v>106</v>
      </c>
      <c r="EJ108" s="299">
        <v>106</v>
      </c>
      <c r="EK108" s="299">
        <v>106</v>
      </c>
      <c r="EL108" s="299">
        <v>106</v>
      </c>
      <c r="EM108" s="299">
        <v>106</v>
      </c>
      <c r="EN108" s="299">
        <v>106</v>
      </c>
      <c r="EO108" s="299">
        <v>106</v>
      </c>
      <c r="EP108" s="299">
        <v>106</v>
      </c>
      <c r="EQ108" s="299">
        <v>106</v>
      </c>
      <c r="ER108" s="299">
        <v>106</v>
      </c>
      <c r="ES108" s="299">
        <v>106</v>
      </c>
      <c r="ET108" s="299">
        <v>106</v>
      </c>
      <c r="EU108" s="299"/>
      <c r="EV108" s="299"/>
      <c r="EW108" s="299"/>
      <c r="EX108" s="299"/>
      <c r="EY108" s="299"/>
      <c r="EZ108" s="299"/>
      <c r="FA108" s="299"/>
      <c r="FB108" s="299"/>
      <c r="FC108" s="299"/>
      <c r="FD108" s="299"/>
      <c r="FE108" s="299"/>
      <c r="FF108" s="299"/>
      <c r="FG108" s="299"/>
      <c r="FH108" s="299"/>
      <c r="FI108" s="299"/>
      <c r="FJ108" s="299"/>
      <c r="FK108" s="299"/>
      <c r="FL108" s="299"/>
      <c r="FM108" s="299"/>
      <c r="FN108" s="299"/>
      <c r="FO108" s="299"/>
      <c r="FP108" s="299"/>
      <c r="FQ108" s="300" t="e">
        <f t="shared" ca="1" si="94"/>
        <v>#VALUE!</v>
      </c>
      <c r="FR108" s="300" t="e">
        <f t="shared" ca="1" si="109"/>
        <v>#VALUE!</v>
      </c>
      <c r="FS108" s="300" t="e">
        <f t="shared" ca="1" si="109"/>
        <v>#VALUE!</v>
      </c>
      <c r="FT108" s="300" t="e">
        <f t="shared" ca="1" si="109"/>
        <v>#VALUE!</v>
      </c>
      <c r="FU108" s="300" t="e">
        <f t="shared" ca="1" si="109"/>
        <v>#VALUE!</v>
      </c>
      <c r="FV108" s="300" t="e">
        <f t="shared" ca="1" si="109"/>
        <v>#VALUE!</v>
      </c>
      <c r="FW108" s="300" t="e">
        <f t="shared" ca="1" si="109"/>
        <v>#VALUE!</v>
      </c>
      <c r="FX108" s="300" t="e">
        <f t="shared" ca="1" si="109"/>
        <v>#VALUE!</v>
      </c>
      <c r="FY108" s="300" t="e">
        <f t="shared" ca="1" si="109"/>
        <v>#VALUE!</v>
      </c>
      <c r="FZ108" s="300" t="e">
        <f t="shared" ca="1" si="109"/>
        <v>#VALUE!</v>
      </c>
      <c r="GA108" s="301" t="e">
        <f t="shared" ca="1" si="109"/>
        <v>#VALUE!</v>
      </c>
      <c r="GB108" s="301" t="e">
        <f t="shared" ca="1" si="110"/>
        <v>#VALUE!</v>
      </c>
      <c r="GC108" s="301" t="e">
        <f t="shared" ca="1" si="110"/>
        <v>#VALUE!</v>
      </c>
      <c r="GD108" s="301" t="e">
        <f t="shared" ca="1" si="110"/>
        <v>#VALUE!</v>
      </c>
      <c r="GE108" s="301" t="e">
        <f t="shared" ca="1" si="110"/>
        <v>#VALUE!</v>
      </c>
      <c r="GF108" s="301" t="e">
        <f t="shared" ca="1" si="110"/>
        <v>#VALUE!</v>
      </c>
      <c r="GG108" s="301" t="e">
        <f t="shared" ca="1" si="110"/>
        <v>#VALUE!</v>
      </c>
      <c r="GH108" s="301" t="e">
        <f t="shared" ca="1" si="110"/>
        <v>#VALUE!</v>
      </c>
      <c r="GI108" s="301" t="e">
        <f t="shared" ca="1" si="110"/>
        <v>#VALUE!</v>
      </c>
      <c r="GJ108" s="301" t="e">
        <f t="shared" ca="1" si="110"/>
        <v>#VALUE!</v>
      </c>
      <c r="GK108" s="301" t="e">
        <f t="shared" ca="1" si="110"/>
        <v>#VALUE!</v>
      </c>
      <c r="GL108" s="301" t="e">
        <f t="shared" ca="1" si="110"/>
        <v>#VALUE!</v>
      </c>
      <c r="GM108" s="301" t="e">
        <f t="shared" ca="1" si="110"/>
        <v>#VALUE!</v>
      </c>
      <c r="GN108" s="302" t="e">
        <f t="shared" ca="1" si="110"/>
        <v>#VALUE!</v>
      </c>
      <c r="GO108" s="302" t="e">
        <f t="shared" ca="1" si="110"/>
        <v>#VALUE!</v>
      </c>
      <c r="GP108" s="301">
        <f t="shared" si="108"/>
        <v>424</v>
      </c>
      <c r="GQ108" s="301">
        <f t="shared" si="108"/>
        <v>424</v>
      </c>
      <c r="GR108" s="301">
        <f t="shared" si="108"/>
        <v>424</v>
      </c>
      <c r="GS108" s="301">
        <f t="shared" si="108"/>
        <v>424</v>
      </c>
      <c r="GT108" s="301">
        <f t="shared" si="108"/>
        <v>424</v>
      </c>
      <c r="GU108" s="303">
        <f t="shared" si="108"/>
        <v>424</v>
      </c>
      <c r="GV108" s="302">
        <f t="shared" si="108"/>
        <v>424</v>
      </c>
      <c r="GW108" s="302">
        <f t="shared" si="108"/>
        <v>318</v>
      </c>
      <c r="GX108" s="302">
        <f t="shared" si="108"/>
        <v>0</v>
      </c>
      <c r="GY108" s="302">
        <f t="shared" si="108"/>
        <v>0</v>
      </c>
      <c r="GZ108" s="302">
        <f t="shared" si="108"/>
        <v>0</v>
      </c>
      <c r="HA108" s="302">
        <f t="shared" si="108"/>
        <v>0</v>
      </c>
      <c r="HB108" s="302">
        <f t="shared" si="108"/>
        <v>0</v>
      </c>
      <c r="HC108" s="302">
        <f t="shared" si="108"/>
        <v>0</v>
      </c>
      <c r="HD108" s="302">
        <f t="shared" si="108"/>
        <v>0</v>
      </c>
      <c r="HE108" s="302">
        <f t="shared" si="108"/>
        <v>0</v>
      </c>
      <c r="HF108" s="304"/>
      <c r="HG108" s="305"/>
    </row>
    <row r="109" spans="1:215" s="306" customFormat="1" ht="15.75" customHeight="1">
      <c r="A109" s="307"/>
      <c r="B109" s="292" t="s">
        <v>348</v>
      </c>
      <c r="C109" s="292" t="s">
        <v>203</v>
      </c>
      <c r="D109" s="292" t="s">
        <v>255</v>
      </c>
      <c r="E109" s="292" t="s">
        <v>458</v>
      </c>
      <c r="F109" s="292" t="s">
        <v>184</v>
      </c>
      <c r="G109" s="292" t="s">
        <v>350</v>
      </c>
      <c r="H109" s="292" t="s">
        <v>351</v>
      </c>
      <c r="I109" s="292" t="s">
        <v>352</v>
      </c>
      <c r="J109" s="292" t="s">
        <v>184</v>
      </c>
      <c r="K109" s="292" t="s">
        <v>353</v>
      </c>
      <c r="L109" s="292" t="s">
        <v>359</v>
      </c>
      <c r="M109" s="292" t="s">
        <v>371</v>
      </c>
      <c r="N109" s="292" t="str">
        <f t="shared" si="100"/>
        <v>Technology -Development</v>
      </c>
      <c r="O109" s="292" t="str">
        <f t="shared" si="101"/>
        <v>Technology-Manager-India-Consulting</v>
      </c>
      <c r="P109" s="292" t="str">
        <f t="shared" si="102"/>
        <v>Technology  - Technology</v>
      </c>
      <c r="Q109" s="293">
        <f t="shared" si="111"/>
        <v>401940</v>
      </c>
      <c r="R109" s="294">
        <f t="shared" si="112"/>
        <v>0</v>
      </c>
      <c r="S109" s="295">
        <f t="shared" si="103"/>
        <v>1798</v>
      </c>
      <c r="T109" s="295">
        <f t="shared" si="113"/>
        <v>4060</v>
      </c>
      <c r="U109" s="296" t="str">
        <f t="shared" si="104"/>
        <v>Technology - Manager</v>
      </c>
      <c r="V109" s="295" t="str">
        <f t="shared" si="105"/>
        <v>5-7 years</v>
      </c>
      <c r="W109" s="292" t="str">
        <f t="shared" si="106"/>
        <v>Offshore</v>
      </c>
      <c r="X109" s="292" t="s">
        <v>261</v>
      </c>
      <c r="Y109" s="292" t="s">
        <v>259</v>
      </c>
      <c r="Z109" s="292" t="s">
        <v>376</v>
      </c>
      <c r="AA109" s="297">
        <f>[1]Resourcing!QD113</f>
        <v>63.310285714285698</v>
      </c>
      <c r="AB109" s="298">
        <f t="shared" si="107"/>
        <v>99</v>
      </c>
      <c r="AC109" s="299"/>
      <c r="AD109" s="299"/>
      <c r="AE109" s="299"/>
      <c r="AF109" s="299"/>
      <c r="AG109" s="299"/>
      <c r="AH109" s="299"/>
      <c r="AI109" s="299"/>
      <c r="AJ109" s="299"/>
      <c r="AK109" s="299"/>
      <c r="AL109" s="299"/>
      <c r="AM109" s="299"/>
      <c r="AN109" s="299"/>
      <c r="AO109" s="299"/>
      <c r="AP109" s="299"/>
      <c r="AQ109" s="299"/>
      <c r="AR109" s="299"/>
      <c r="AS109" s="299"/>
      <c r="AT109" s="299"/>
      <c r="AU109" s="299"/>
      <c r="AV109" s="299"/>
      <c r="AW109" s="299"/>
      <c r="AX109" s="299"/>
      <c r="AY109" s="299"/>
      <c r="AZ109" s="299"/>
      <c r="BA109" s="299"/>
      <c r="BB109" s="299"/>
      <c r="BC109" s="299"/>
      <c r="BD109" s="299"/>
      <c r="BE109" s="299"/>
      <c r="BF109" s="299"/>
      <c r="BG109" s="299"/>
      <c r="BH109" s="299"/>
      <c r="BI109" s="299"/>
      <c r="BJ109" s="299"/>
      <c r="BK109" s="299"/>
      <c r="BL109" s="299"/>
      <c r="BM109" s="299"/>
      <c r="BN109" s="299"/>
      <c r="BO109" s="299"/>
      <c r="BP109" s="299"/>
      <c r="BQ109" s="299"/>
      <c r="BR109" s="299"/>
      <c r="BS109" s="299"/>
      <c r="BT109" s="299"/>
      <c r="BU109" s="299"/>
      <c r="BV109" s="299"/>
      <c r="BW109" s="299"/>
      <c r="BX109" s="299"/>
      <c r="BY109" s="299"/>
      <c r="BZ109" s="299"/>
      <c r="CA109" s="299"/>
      <c r="CB109" s="299"/>
      <c r="CC109" s="299">
        <v>58</v>
      </c>
      <c r="CD109" s="299">
        <v>58</v>
      </c>
      <c r="CE109" s="299">
        <v>58</v>
      </c>
      <c r="CF109" s="299">
        <v>58</v>
      </c>
      <c r="CG109" s="299">
        <v>58</v>
      </c>
      <c r="CH109" s="299">
        <v>58</v>
      </c>
      <c r="CI109" s="299">
        <v>58</v>
      </c>
      <c r="CJ109" s="299">
        <v>58</v>
      </c>
      <c r="CK109" s="299">
        <v>58</v>
      </c>
      <c r="CL109" s="299">
        <v>58</v>
      </c>
      <c r="CM109" s="299">
        <v>58</v>
      </c>
      <c r="CN109" s="299">
        <v>58</v>
      </c>
      <c r="CO109" s="299">
        <v>58</v>
      </c>
      <c r="CP109" s="299">
        <v>58</v>
      </c>
      <c r="CQ109" s="299">
        <v>58</v>
      </c>
      <c r="CR109" s="299">
        <v>58</v>
      </c>
      <c r="CS109" s="299">
        <v>58</v>
      </c>
      <c r="CT109" s="299">
        <v>58</v>
      </c>
      <c r="CU109" s="299">
        <v>58</v>
      </c>
      <c r="CV109" s="299">
        <v>58</v>
      </c>
      <c r="CW109" s="299">
        <v>58</v>
      </c>
      <c r="CX109" s="299">
        <v>58</v>
      </c>
      <c r="CY109" s="299">
        <v>58</v>
      </c>
      <c r="CZ109" s="299">
        <v>58</v>
      </c>
      <c r="DA109" s="299">
        <v>58</v>
      </c>
      <c r="DB109" s="299">
        <v>58</v>
      </c>
      <c r="DC109" s="299">
        <v>58</v>
      </c>
      <c r="DD109" s="299">
        <v>58</v>
      </c>
      <c r="DE109" s="299">
        <v>58</v>
      </c>
      <c r="DF109" s="299">
        <v>58</v>
      </c>
      <c r="DG109" s="299">
        <v>58</v>
      </c>
      <c r="DH109" s="299">
        <v>58</v>
      </c>
      <c r="DI109" s="299">
        <v>58</v>
      </c>
      <c r="DJ109" s="299">
        <v>58</v>
      </c>
      <c r="DK109" s="299">
        <v>58</v>
      </c>
      <c r="DL109" s="299">
        <v>58</v>
      </c>
      <c r="DM109" s="299">
        <v>58</v>
      </c>
      <c r="DN109" s="299">
        <v>58</v>
      </c>
      <c r="DO109" s="299">
        <v>58</v>
      </c>
      <c r="DP109" s="299">
        <v>58</v>
      </c>
      <c r="DQ109" s="299">
        <v>58</v>
      </c>
      <c r="DR109" s="299">
        <v>58</v>
      </c>
      <c r="DS109" s="299">
        <v>58</v>
      </c>
      <c r="DT109" s="299">
        <v>58</v>
      </c>
      <c r="DU109" s="299">
        <v>58</v>
      </c>
      <c r="DV109" s="299">
        <v>58</v>
      </c>
      <c r="DW109" s="299">
        <v>58</v>
      </c>
      <c r="DX109" s="299">
        <v>58</v>
      </c>
      <c r="DY109" s="299">
        <v>58</v>
      </c>
      <c r="DZ109" s="299">
        <v>58</v>
      </c>
      <c r="EA109" s="299">
        <v>58</v>
      </c>
      <c r="EB109" s="299">
        <v>58</v>
      </c>
      <c r="EC109" s="299">
        <v>58</v>
      </c>
      <c r="ED109" s="299">
        <v>58</v>
      </c>
      <c r="EE109" s="299">
        <v>58</v>
      </c>
      <c r="EF109" s="299">
        <v>58</v>
      </c>
      <c r="EG109" s="299">
        <v>58</v>
      </c>
      <c r="EH109" s="299">
        <v>58</v>
      </c>
      <c r="EI109" s="299">
        <v>58</v>
      </c>
      <c r="EJ109" s="299">
        <v>58</v>
      </c>
      <c r="EK109" s="299">
        <v>58</v>
      </c>
      <c r="EL109" s="299">
        <v>58</v>
      </c>
      <c r="EM109" s="299">
        <v>58</v>
      </c>
      <c r="EN109" s="299">
        <v>58</v>
      </c>
      <c r="EO109" s="299">
        <v>58</v>
      </c>
      <c r="EP109" s="299">
        <v>58</v>
      </c>
      <c r="EQ109" s="299">
        <v>58</v>
      </c>
      <c r="ER109" s="299">
        <v>58</v>
      </c>
      <c r="ES109" s="299">
        <v>58</v>
      </c>
      <c r="ET109" s="299">
        <v>58</v>
      </c>
      <c r="EU109" s="299"/>
      <c r="EV109" s="299"/>
      <c r="EW109" s="299"/>
      <c r="EX109" s="299"/>
      <c r="EY109" s="299"/>
      <c r="EZ109" s="299"/>
      <c r="FA109" s="299"/>
      <c r="FB109" s="299"/>
      <c r="FC109" s="299"/>
      <c r="FD109" s="299"/>
      <c r="FE109" s="299"/>
      <c r="FF109" s="299"/>
      <c r="FG109" s="299"/>
      <c r="FH109" s="299"/>
      <c r="FI109" s="299"/>
      <c r="FJ109" s="299"/>
      <c r="FK109" s="299"/>
      <c r="FL109" s="299"/>
      <c r="FM109" s="299"/>
      <c r="FN109" s="299"/>
      <c r="FO109" s="299"/>
      <c r="FP109" s="299"/>
      <c r="FQ109" s="300" t="e">
        <f t="shared" ca="1" si="94"/>
        <v>#VALUE!</v>
      </c>
      <c r="FR109" s="300" t="e">
        <f t="shared" ca="1" si="109"/>
        <v>#VALUE!</v>
      </c>
      <c r="FS109" s="300" t="e">
        <f t="shared" ca="1" si="109"/>
        <v>#VALUE!</v>
      </c>
      <c r="FT109" s="300" t="e">
        <f t="shared" ca="1" si="109"/>
        <v>#VALUE!</v>
      </c>
      <c r="FU109" s="300" t="e">
        <f t="shared" ca="1" si="109"/>
        <v>#VALUE!</v>
      </c>
      <c r="FV109" s="300" t="e">
        <f t="shared" ca="1" si="109"/>
        <v>#VALUE!</v>
      </c>
      <c r="FW109" s="300" t="e">
        <f t="shared" ca="1" si="109"/>
        <v>#VALUE!</v>
      </c>
      <c r="FX109" s="300" t="e">
        <f t="shared" ca="1" si="109"/>
        <v>#VALUE!</v>
      </c>
      <c r="FY109" s="300" t="e">
        <f t="shared" ca="1" si="109"/>
        <v>#VALUE!</v>
      </c>
      <c r="FZ109" s="300" t="e">
        <f t="shared" ca="1" si="109"/>
        <v>#VALUE!</v>
      </c>
      <c r="GA109" s="301" t="e">
        <f t="shared" ca="1" si="109"/>
        <v>#VALUE!</v>
      </c>
      <c r="GB109" s="301" t="e">
        <f t="shared" ca="1" si="110"/>
        <v>#VALUE!</v>
      </c>
      <c r="GC109" s="301" t="e">
        <f t="shared" ca="1" si="110"/>
        <v>#VALUE!</v>
      </c>
      <c r="GD109" s="301" t="e">
        <f t="shared" ca="1" si="110"/>
        <v>#VALUE!</v>
      </c>
      <c r="GE109" s="301" t="e">
        <f t="shared" ca="1" si="110"/>
        <v>#VALUE!</v>
      </c>
      <c r="GF109" s="301" t="e">
        <f t="shared" ca="1" si="110"/>
        <v>#VALUE!</v>
      </c>
      <c r="GG109" s="301" t="e">
        <f t="shared" ca="1" si="110"/>
        <v>#VALUE!</v>
      </c>
      <c r="GH109" s="301" t="e">
        <f t="shared" ca="1" si="110"/>
        <v>#VALUE!</v>
      </c>
      <c r="GI109" s="301" t="e">
        <f t="shared" ca="1" si="110"/>
        <v>#VALUE!</v>
      </c>
      <c r="GJ109" s="301" t="e">
        <f t="shared" ca="1" si="110"/>
        <v>#VALUE!</v>
      </c>
      <c r="GK109" s="301" t="e">
        <f t="shared" ca="1" si="110"/>
        <v>#VALUE!</v>
      </c>
      <c r="GL109" s="301" t="e">
        <f t="shared" ca="1" si="110"/>
        <v>#VALUE!</v>
      </c>
      <c r="GM109" s="301" t="e">
        <f t="shared" ca="1" si="110"/>
        <v>#VALUE!</v>
      </c>
      <c r="GN109" s="302" t="e">
        <f t="shared" ca="1" si="110"/>
        <v>#VALUE!</v>
      </c>
      <c r="GO109" s="302" t="e">
        <f t="shared" ca="1" si="110"/>
        <v>#VALUE!</v>
      </c>
      <c r="GP109" s="301">
        <f t="shared" si="108"/>
        <v>232</v>
      </c>
      <c r="GQ109" s="301">
        <f t="shared" si="108"/>
        <v>232</v>
      </c>
      <c r="GR109" s="301">
        <f t="shared" si="108"/>
        <v>232</v>
      </c>
      <c r="GS109" s="301">
        <f t="shared" si="108"/>
        <v>232</v>
      </c>
      <c r="GT109" s="301">
        <f t="shared" si="108"/>
        <v>232</v>
      </c>
      <c r="GU109" s="303">
        <f t="shared" si="108"/>
        <v>232</v>
      </c>
      <c r="GV109" s="302">
        <f t="shared" si="108"/>
        <v>232</v>
      </c>
      <c r="GW109" s="302">
        <f t="shared" si="108"/>
        <v>174</v>
      </c>
      <c r="GX109" s="302">
        <f t="shared" si="108"/>
        <v>0</v>
      </c>
      <c r="GY109" s="302">
        <f t="shared" si="108"/>
        <v>0</v>
      </c>
      <c r="GZ109" s="302">
        <f t="shared" si="108"/>
        <v>0</v>
      </c>
      <c r="HA109" s="302">
        <f t="shared" si="108"/>
        <v>0</v>
      </c>
      <c r="HB109" s="302">
        <f t="shared" si="108"/>
        <v>0</v>
      </c>
      <c r="HC109" s="302">
        <f t="shared" si="108"/>
        <v>0</v>
      </c>
      <c r="HD109" s="302">
        <f t="shared" si="108"/>
        <v>0</v>
      </c>
      <c r="HE109" s="302">
        <f t="shared" si="108"/>
        <v>0</v>
      </c>
      <c r="HF109" s="304"/>
      <c r="HG109" s="305"/>
    </row>
    <row r="110" spans="1:215" s="306" customFormat="1" ht="15.75" customHeight="1">
      <c r="A110" s="307"/>
      <c r="B110" s="292" t="s">
        <v>348</v>
      </c>
      <c r="C110" s="292" t="s">
        <v>203</v>
      </c>
      <c r="D110" s="292" t="s">
        <v>255</v>
      </c>
      <c r="E110" s="292" t="s">
        <v>459</v>
      </c>
      <c r="F110" s="292" t="s">
        <v>184</v>
      </c>
      <c r="G110" s="292" t="s">
        <v>350</v>
      </c>
      <c r="H110" s="292" t="s">
        <v>351</v>
      </c>
      <c r="I110" s="292" t="s">
        <v>352</v>
      </c>
      <c r="J110" s="292" t="s">
        <v>184</v>
      </c>
      <c r="K110" s="292" t="s">
        <v>353</v>
      </c>
      <c r="L110" s="292" t="s">
        <v>359</v>
      </c>
      <c r="M110" s="292" t="s">
        <v>374</v>
      </c>
      <c r="N110" s="292" t="str">
        <f t="shared" si="100"/>
        <v>Technology -Development</v>
      </c>
      <c r="O110" s="292" t="str">
        <f t="shared" si="101"/>
        <v>Technology-Senior Consultant-India-Consulting</v>
      </c>
      <c r="P110" s="292" t="str">
        <f t="shared" si="102"/>
        <v>Technology  - Technology</v>
      </c>
      <c r="Q110" s="293">
        <f t="shared" si="111"/>
        <v>859810</v>
      </c>
      <c r="R110" s="294">
        <f t="shared" si="112"/>
        <v>0</v>
      </c>
      <c r="S110" s="295">
        <f t="shared" si="103"/>
        <v>5363</v>
      </c>
      <c r="T110" s="295">
        <f t="shared" si="113"/>
        <v>12110</v>
      </c>
      <c r="U110" s="296" t="str">
        <f t="shared" si="104"/>
        <v>Technology - Senior Consultant</v>
      </c>
      <c r="V110" s="295" t="str">
        <f t="shared" si="105"/>
        <v>3-5 years</v>
      </c>
      <c r="W110" s="292" t="str">
        <f t="shared" si="106"/>
        <v>Offshore</v>
      </c>
      <c r="X110" s="292" t="s">
        <v>261</v>
      </c>
      <c r="Y110" s="292" t="s">
        <v>259</v>
      </c>
      <c r="Z110" s="292" t="s">
        <v>364</v>
      </c>
      <c r="AA110" s="297">
        <f>[1]Resourcing!QD114</f>
        <v>53.8131428571429</v>
      </c>
      <c r="AB110" s="298">
        <f t="shared" si="107"/>
        <v>71</v>
      </c>
      <c r="AC110" s="299"/>
      <c r="AD110" s="299"/>
      <c r="AE110" s="299"/>
      <c r="AF110" s="299"/>
      <c r="AG110" s="299"/>
      <c r="AH110" s="299"/>
      <c r="AI110" s="299"/>
      <c r="AJ110" s="299"/>
      <c r="AK110" s="299"/>
      <c r="AL110" s="299"/>
      <c r="AM110" s="299"/>
      <c r="AN110" s="299"/>
      <c r="AO110" s="299"/>
      <c r="AP110" s="299"/>
      <c r="AQ110" s="299"/>
      <c r="AR110" s="299"/>
      <c r="AS110" s="299"/>
      <c r="AT110" s="299"/>
      <c r="AU110" s="299"/>
      <c r="AV110" s="299"/>
      <c r="AW110" s="299"/>
      <c r="AX110" s="299"/>
      <c r="AY110" s="299"/>
      <c r="AZ110" s="299"/>
      <c r="BA110" s="299"/>
      <c r="BB110" s="299"/>
      <c r="BC110" s="299"/>
      <c r="BD110" s="299"/>
      <c r="BE110" s="299"/>
      <c r="BF110" s="299"/>
      <c r="BG110" s="299"/>
      <c r="BH110" s="299"/>
      <c r="BI110" s="299"/>
      <c r="BJ110" s="299"/>
      <c r="BK110" s="299"/>
      <c r="BL110" s="299"/>
      <c r="BM110" s="299"/>
      <c r="BN110" s="299"/>
      <c r="BO110" s="299"/>
      <c r="BP110" s="299"/>
      <c r="BQ110" s="299"/>
      <c r="BR110" s="299"/>
      <c r="BS110" s="299"/>
      <c r="BT110" s="299"/>
      <c r="BU110" s="299"/>
      <c r="BV110" s="299"/>
      <c r="BW110" s="299"/>
      <c r="BX110" s="299"/>
      <c r="BY110" s="299"/>
      <c r="BZ110" s="299"/>
      <c r="CA110" s="299"/>
      <c r="CB110" s="299"/>
      <c r="CC110" s="299">
        <v>173</v>
      </c>
      <c r="CD110" s="299">
        <v>173</v>
      </c>
      <c r="CE110" s="299">
        <v>173</v>
      </c>
      <c r="CF110" s="299">
        <v>173</v>
      </c>
      <c r="CG110" s="299">
        <v>173</v>
      </c>
      <c r="CH110" s="299">
        <v>173</v>
      </c>
      <c r="CI110" s="299">
        <v>173</v>
      </c>
      <c r="CJ110" s="299">
        <v>173</v>
      </c>
      <c r="CK110" s="299">
        <v>173</v>
      </c>
      <c r="CL110" s="299">
        <v>173</v>
      </c>
      <c r="CM110" s="299">
        <v>173</v>
      </c>
      <c r="CN110" s="299">
        <v>173</v>
      </c>
      <c r="CO110" s="299">
        <v>173</v>
      </c>
      <c r="CP110" s="299">
        <v>173</v>
      </c>
      <c r="CQ110" s="299">
        <v>173</v>
      </c>
      <c r="CR110" s="299">
        <v>173</v>
      </c>
      <c r="CS110" s="299">
        <v>173</v>
      </c>
      <c r="CT110" s="299">
        <v>173</v>
      </c>
      <c r="CU110" s="299">
        <v>173</v>
      </c>
      <c r="CV110" s="299">
        <v>173</v>
      </c>
      <c r="CW110" s="299">
        <v>173</v>
      </c>
      <c r="CX110" s="299">
        <v>173</v>
      </c>
      <c r="CY110" s="299">
        <v>173</v>
      </c>
      <c r="CZ110" s="299">
        <v>173</v>
      </c>
      <c r="DA110" s="299">
        <v>173</v>
      </c>
      <c r="DB110" s="299">
        <v>173</v>
      </c>
      <c r="DC110" s="299">
        <v>173</v>
      </c>
      <c r="DD110" s="299">
        <v>173</v>
      </c>
      <c r="DE110" s="299">
        <v>173</v>
      </c>
      <c r="DF110" s="299">
        <v>173</v>
      </c>
      <c r="DG110" s="299">
        <v>173</v>
      </c>
      <c r="DH110" s="299">
        <v>173</v>
      </c>
      <c r="DI110" s="299">
        <v>173</v>
      </c>
      <c r="DJ110" s="299">
        <v>173</v>
      </c>
      <c r="DK110" s="299">
        <v>173</v>
      </c>
      <c r="DL110" s="299">
        <v>173</v>
      </c>
      <c r="DM110" s="299">
        <v>173</v>
      </c>
      <c r="DN110" s="299">
        <v>173</v>
      </c>
      <c r="DO110" s="299">
        <v>173</v>
      </c>
      <c r="DP110" s="299">
        <v>173</v>
      </c>
      <c r="DQ110" s="299">
        <v>173</v>
      </c>
      <c r="DR110" s="299">
        <v>173</v>
      </c>
      <c r="DS110" s="299">
        <v>173</v>
      </c>
      <c r="DT110" s="299">
        <v>173</v>
      </c>
      <c r="DU110" s="299">
        <v>173</v>
      </c>
      <c r="DV110" s="299">
        <v>173</v>
      </c>
      <c r="DW110" s="299">
        <v>173</v>
      </c>
      <c r="DX110" s="299">
        <v>173</v>
      </c>
      <c r="DY110" s="299">
        <v>173</v>
      </c>
      <c r="DZ110" s="299">
        <v>173</v>
      </c>
      <c r="EA110" s="299">
        <v>173</v>
      </c>
      <c r="EB110" s="299">
        <v>173</v>
      </c>
      <c r="EC110" s="299">
        <v>173</v>
      </c>
      <c r="ED110" s="299">
        <v>173</v>
      </c>
      <c r="EE110" s="299">
        <v>173</v>
      </c>
      <c r="EF110" s="299">
        <v>173</v>
      </c>
      <c r="EG110" s="299">
        <v>173</v>
      </c>
      <c r="EH110" s="299">
        <v>173</v>
      </c>
      <c r="EI110" s="299">
        <v>173</v>
      </c>
      <c r="EJ110" s="299">
        <v>173</v>
      </c>
      <c r="EK110" s="299">
        <v>173</v>
      </c>
      <c r="EL110" s="299">
        <v>173</v>
      </c>
      <c r="EM110" s="299">
        <v>173</v>
      </c>
      <c r="EN110" s="299">
        <v>173</v>
      </c>
      <c r="EO110" s="299">
        <v>173</v>
      </c>
      <c r="EP110" s="299">
        <v>173</v>
      </c>
      <c r="EQ110" s="299">
        <v>173</v>
      </c>
      <c r="ER110" s="299">
        <v>173</v>
      </c>
      <c r="ES110" s="299">
        <v>173</v>
      </c>
      <c r="ET110" s="299">
        <v>173</v>
      </c>
      <c r="EU110" s="299"/>
      <c r="EV110" s="299"/>
      <c r="EW110" s="299"/>
      <c r="EX110" s="299"/>
      <c r="EY110" s="299"/>
      <c r="EZ110" s="299"/>
      <c r="FA110" s="299"/>
      <c r="FB110" s="299"/>
      <c r="FC110" s="299"/>
      <c r="FD110" s="299"/>
      <c r="FE110" s="299"/>
      <c r="FF110" s="299"/>
      <c r="FG110" s="299"/>
      <c r="FH110" s="299"/>
      <c r="FI110" s="299"/>
      <c r="FJ110" s="299"/>
      <c r="FK110" s="299"/>
      <c r="FL110" s="299"/>
      <c r="FM110" s="299"/>
      <c r="FN110" s="299"/>
      <c r="FO110" s="299"/>
      <c r="FP110" s="299"/>
      <c r="FQ110" s="300" t="e">
        <f t="shared" ref="FQ110:FQ141" ca="1" si="114">SUMIF($AC$11:$FP$11,FQ$12,$AC110:$FP110)</f>
        <v>#VALUE!</v>
      </c>
      <c r="FR110" s="300" t="e">
        <f t="shared" ca="1" si="109"/>
        <v>#VALUE!</v>
      </c>
      <c r="FS110" s="300" t="e">
        <f t="shared" ca="1" si="109"/>
        <v>#VALUE!</v>
      </c>
      <c r="FT110" s="300" t="e">
        <f t="shared" ca="1" si="109"/>
        <v>#VALUE!</v>
      </c>
      <c r="FU110" s="300" t="e">
        <f t="shared" ca="1" si="109"/>
        <v>#VALUE!</v>
      </c>
      <c r="FV110" s="300" t="e">
        <f t="shared" ca="1" si="109"/>
        <v>#VALUE!</v>
      </c>
      <c r="FW110" s="300" t="e">
        <f t="shared" ca="1" si="109"/>
        <v>#VALUE!</v>
      </c>
      <c r="FX110" s="300" t="e">
        <f t="shared" ca="1" si="109"/>
        <v>#VALUE!</v>
      </c>
      <c r="FY110" s="300" t="e">
        <f t="shared" ca="1" si="109"/>
        <v>#VALUE!</v>
      </c>
      <c r="FZ110" s="300" t="e">
        <f t="shared" ca="1" si="109"/>
        <v>#VALUE!</v>
      </c>
      <c r="GA110" s="301" t="e">
        <f t="shared" ca="1" si="109"/>
        <v>#VALUE!</v>
      </c>
      <c r="GB110" s="301" t="e">
        <f t="shared" ca="1" si="110"/>
        <v>#VALUE!</v>
      </c>
      <c r="GC110" s="301" t="e">
        <f t="shared" ca="1" si="110"/>
        <v>#VALUE!</v>
      </c>
      <c r="GD110" s="301" t="e">
        <f t="shared" ca="1" si="110"/>
        <v>#VALUE!</v>
      </c>
      <c r="GE110" s="301" t="e">
        <f t="shared" ca="1" si="110"/>
        <v>#VALUE!</v>
      </c>
      <c r="GF110" s="301" t="e">
        <f t="shared" ca="1" si="110"/>
        <v>#VALUE!</v>
      </c>
      <c r="GG110" s="301" t="e">
        <f t="shared" ca="1" si="110"/>
        <v>#VALUE!</v>
      </c>
      <c r="GH110" s="301" t="e">
        <f t="shared" ca="1" si="110"/>
        <v>#VALUE!</v>
      </c>
      <c r="GI110" s="301" t="e">
        <f t="shared" ca="1" si="110"/>
        <v>#VALUE!</v>
      </c>
      <c r="GJ110" s="301" t="e">
        <f t="shared" ca="1" si="110"/>
        <v>#VALUE!</v>
      </c>
      <c r="GK110" s="301" t="e">
        <f t="shared" ca="1" si="110"/>
        <v>#VALUE!</v>
      </c>
      <c r="GL110" s="301" t="e">
        <f t="shared" ca="1" si="110"/>
        <v>#VALUE!</v>
      </c>
      <c r="GM110" s="301" t="e">
        <f t="shared" ca="1" si="110"/>
        <v>#VALUE!</v>
      </c>
      <c r="GN110" s="302" t="e">
        <f t="shared" ca="1" si="110"/>
        <v>#VALUE!</v>
      </c>
      <c r="GO110" s="302" t="e">
        <f t="shared" ca="1" si="110"/>
        <v>#VALUE!</v>
      </c>
      <c r="GP110" s="301">
        <f t="shared" ref="GP110:HE124" si="115">SUMIF($AB$8:$FO$8,GP$9,$AB110:$FO110)</f>
        <v>692</v>
      </c>
      <c r="GQ110" s="301">
        <f t="shared" si="115"/>
        <v>692</v>
      </c>
      <c r="GR110" s="301">
        <f t="shared" si="115"/>
        <v>692</v>
      </c>
      <c r="GS110" s="301">
        <f t="shared" si="115"/>
        <v>692</v>
      </c>
      <c r="GT110" s="301">
        <f t="shared" si="115"/>
        <v>692</v>
      </c>
      <c r="GU110" s="303">
        <f t="shared" si="115"/>
        <v>692</v>
      </c>
      <c r="GV110" s="302">
        <f t="shared" si="115"/>
        <v>692</v>
      </c>
      <c r="GW110" s="302">
        <f t="shared" si="115"/>
        <v>519</v>
      </c>
      <c r="GX110" s="302">
        <f t="shared" si="115"/>
        <v>0</v>
      </c>
      <c r="GY110" s="302">
        <f t="shared" si="115"/>
        <v>0</v>
      </c>
      <c r="GZ110" s="302">
        <f t="shared" si="115"/>
        <v>0</v>
      </c>
      <c r="HA110" s="302">
        <f t="shared" si="115"/>
        <v>0</v>
      </c>
      <c r="HB110" s="302">
        <f t="shared" si="115"/>
        <v>0</v>
      </c>
      <c r="HC110" s="302">
        <f t="shared" si="115"/>
        <v>0</v>
      </c>
      <c r="HD110" s="302">
        <f t="shared" si="115"/>
        <v>0</v>
      </c>
      <c r="HE110" s="302">
        <f t="shared" si="115"/>
        <v>0</v>
      </c>
      <c r="HF110" s="304"/>
      <c r="HG110" s="305"/>
    </row>
    <row r="111" spans="1:215" s="306" customFormat="1" ht="14.25" customHeight="1">
      <c r="A111" s="307"/>
      <c r="B111" s="292" t="s">
        <v>348</v>
      </c>
      <c r="C111" s="292" t="s">
        <v>203</v>
      </c>
      <c r="D111" s="292" t="s">
        <v>255</v>
      </c>
      <c r="E111" s="292" t="s">
        <v>460</v>
      </c>
      <c r="F111" s="292" t="s">
        <v>184</v>
      </c>
      <c r="G111" s="292" t="s">
        <v>350</v>
      </c>
      <c r="H111" s="292" t="s">
        <v>351</v>
      </c>
      <c r="I111" s="292" t="s">
        <v>352</v>
      </c>
      <c r="J111" s="292" t="s">
        <v>184</v>
      </c>
      <c r="K111" s="292" t="s">
        <v>353</v>
      </c>
      <c r="L111" s="292" t="s">
        <v>359</v>
      </c>
      <c r="M111" s="292" t="s">
        <v>367</v>
      </c>
      <c r="N111" s="292" t="str">
        <f t="shared" si="100"/>
        <v>Technology -Development</v>
      </c>
      <c r="O111" s="292" t="str">
        <f t="shared" si="101"/>
        <v>Technology-Consultant-India-Consulting</v>
      </c>
      <c r="P111" s="292" t="str">
        <f t="shared" si="102"/>
        <v>Technology  - Technology</v>
      </c>
      <c r="Q111" s="293">
        <f t="shared" si="111"/>
        <v>966000</v>
      </c>
      <c r="R111" s="294">
        <f t="shared" si="112"/>
        <v>0</v>
      </c>
      <c r="S111" s="295">
        <f t="shared" si="103"/>
        <v>7130</v>
      </c>
      <c r="T111" s="295">
        <f t="shared" si="113"/>
        <v>16100</v>
      </c>
      <c r="U111" s="296" t="str">
        <f t="shared" si="104"/>
        <v>Technology - Consultant</v>
      </c>
      <c r="V111" s="295" t="str">
        <f t="shared" si="105"/>
        <v>1-3 years</v>
      </c>
      <c r="W111" s="292" t="str">
        <f t="shared" si="106"/>
        <v>Offshore</v>
      </c>
      <c r="X111" s="292" t="s">
        <v>261</v>
      </c>
      <c r="Y111" s="292" t="s">
        <v>259</v>
      </c>
      <c r="Z111" s="292" t="s">
        <v>368</v>
      </c>
      <c r="AA111" s="297">
        <f>[1]Resourcing!QD115</f>
        <v>43.262</v>
      </c>
      <c r="AB111" s="298">
        <f t="shared" si="107"/>
        <v>60</v>
      </c>
      <c r="AC111" s="299"/>
      <c r="AD111" s="299"/>
      <c r="AE111" s="299"/>
      <c r="AF111" s="299"/>
      <c r="AG111" s="299"/>
      <c r="AH111" s="299"/>
      <c r="AI111" s="299"/>
      <c r="AJ111" s="299"/>
      <c r="AK111" s="299"/>
      <c r="AL111" s="299"/>
      <c r="AM111" s="299"/>
      <c r="AN111" s="299"/>
      <c r="AO111" s="299"/>
      <c r="AP111" s="299"/>
      <c r="AQ111" s="299"/>
      <c r="AR111" s="299"/>
      <c r="AS111" s="299"/>
      <c r="AT111" s="299"/>
      <c r="AU111" s="299"/>
      <c r="AV111" s="299"/>
      <c r="AW111" s="299"/>
      <c r="AX111" s="299"/>
      <c r="AY111" s="299"/>
      <c r="AZ111" s="299"/>
      <c r="BA111" s="299"/>
      <c r="BB111" s="299"/>
      <c r="BC111" s="299"/>
      <c r="BD111" s="299"/>
      <c r="BE111" s="299"/>
      <c r="BF111" s="299"/>
      <c r="BG111" s="299"/>
      <c r="BH111" s="299"/>
      <c r="BI111" s="299"/>
      <c r="BJ111" s="299"/>
      <c r="BK111" s="299"/>
      <c r="BL111" s="299"/>
      <c r="BM111" s="299"/>
      <c r="BN111" s="299"/>
      <c r="BO111" s="299"/>
      <c r="BP111" s="299"/>
      <c r="BQ111" s="299"/>
      <c r="BR111" s="299"/>
      <c r="BS111" s="299"/>
      <c r="BT111" s="299"/>
      <c r="BU111" s="299"/>
      <c r="BV111" s="299"/>
      <c r="BW111" s="299"/>
      <c r="BX111" s="299"/>
      <c r="BY111" s="299"/>
      <c r="BZ111" s="299"/>
      <c r="CA111" s="299"/>
      <c r="CB111" s="299"/>
      <c r="CC111" s="299">
        <v>230</v>
      </c>
      <c r="CD111" s="299">
        <v>230</v>
      </c>
      <c r="CE111" s="299">
        <v>230</v>
      </c>
      <c r="CF111" s="299">
        <v>230</v>
      </c>
      <c r="CG111" s="299">
        <v>230</v>
      </c>
      <c r="CH111" s="299">
        <v>230</v>
      </c>
      <c r="CI111" s="299">
        <v>230</v>
      </c>
      <c r="CJ111" s="299">
        <v>230</v>
      </c>
      <c r="CK111" s="299">
        <v>230</v>
      </c>
      <c r="CL111" s="299">
        <v>230</v>
      </c>
      <c r="CM111" s="299">
        <v>230</v>
      </c>
      <c r="CN111" s="299">
        <v>230</v>
      </c>
      <c r="CO111" s="299">
        <v>230</v>
      </c>
      <c r="CP111" s="299">
        <v>230</v>
      </c>
      <c r="CQ111" s="299">
        <v>230</v>
      </c>
      <c r="CR111" s="299">
        <v>230</v>
      </c>
      <c r="CS111" s="299">
        <v>230</v>
      </c>
      <c r="CT111" s="299">
        <v>230</v>
      </c>
      <c r="CU111" s="299">
        <v>230</v>
      </c>
      <c r="CV111" s="299">
        <v>230</v>
      </c>
      <c r="CW111" s="299">
        <v>230</v>
      </c>
      <c r="CX111" s="299">
        <v>230</v>
      </c>
      <c r="CY111" s="299">
        <v>230</v>
      </c>
      <c r="CZ111" s="299">
        <v>230</v>
      </c>
      <c r="DA111" s="299">
        <v>230</v>
      </c>
      <c r="DB111" s="299">
        <v>230</v>
      </c>
      <c r="DC111" s="299">
        <v>230</v>
      </c>
      <c r="DD111" s="299">
        <v>230</v>
      </c>
      <c r="DE111" s="299">
        <v>230</v>
      </c>
      <c r="DF111" s="299">
        <v>230</v>
      </c>
      <c r="DG111" s="299">
        <v>230</v>
      </c>
      <c r="DH111" s="299">
        <v>230</v>
      </c>
      <c r="DI111" s="299">
        <v>230</v>
      </c>
      <c r="DJ111" s="299">
        <v>230</v>
      </c>
      <c r="DK111" s="299">
        <v>230</v>
      </c>
      <c r="DL111" s="299">
        <v>230</v>
      </c>
      <c r="DM111" s="299">
        <v>230</v>
      </c>
      <c r="DN111" s="299">
        <v>230</v>
      </c>
      <c r="DO111" s="299">
        <v>230</v>
      </c>
      <c r="DP111" s="299">
        <v>230</v>
      </c>
      <c r="DQ111" s="299">
        <v>230</v>
      </c>
      <c r="DR111" s="299">
        <v>230</v>
      </c>
      <c r="DS111" s="299">
        <v>230</v>
      </c>
      <c r="DT111" s="299">
        <v>230</v>
      </c>
      <c r="DU111" s="299">
        <v>230</v>
      </c>
      <c r="DV111" s="299">
        <v>230</v>
      </c>
      <c r="DW111" s="299">
        <v>230</v>
      </c>
      <c r="DX111" s="299">
        <v>230</v>
      </c>
      <c r="DY111" s="299">
        <v>230</v>
      </c>
      <c r="DZ111" s="299">
        <v>230</v>
      </c>
      <c r="EA111" s="299">
        <v>230</v>
      </c>
      <c r="EB111" s="299">
        <v>230</v>
      </c>
      <c r="EC111" s="299">
        <v>230</v>
      </c>
      <c r="ED111" s="299">
        <v>230</v>
      </c>
      <c r="EE111" s="299">
        <v>230</v>
      </c>
      <c r="EF111" s="299">
        <v>230</v>
      </c>
      <c r="EG111" s="299">
        <v>230</v>
      </c>
      <c r="EH111" s="299">
        <v>230</v>
      </c>
      <c r="EI111" s="299">
        <v>230</v>
      </c>
      <c r="EJ111" s="299">
        <v>230</v>
      </c>
      <c r="EK111" s="299">
        <v>230</v>
      </c>
      <c r="EL111" s="299">
        <v>230</v>
      </c>
      <c r="EM111" s="299">
        <v>230</v>
      </c>
      <c r="EN111" s="299">
        <v>230</v>
      </c>
      <c r="EO111" s="299">
        <v>230</v>
      </c>
      <c r="EP111" s="299">
        <v>230</v>
      </c>
      <c r="EQ111" s="299">
        <v>230</v>
      </c>
      <c r="ER111" s="299">
        <v>230</v>
      </c>
      <c r="ES111" s="299">
        <v>230</v>
      </c>
      <c r="ET111" s="299">
        <v>230</v>
      </c>
      <c r="EU111" s="299"/>
      <c r="EV111" s="299"/>
      <c r="EW111" s="299"/>
      <c r="EX111" s="299"/>
      <c r="EY111" s="299"/>
      <c r="EZ111" s="299"/>
      <c r="FA111" s="299"/>
      <c r="FB111" s="299"/>
      <c r="FC111" s="299"/>
      <c r="FD111" s="299"/>
      <c r="FE111" s="299"/>
      <c r="FF111" s="299"/>
      <c r="FG111" s="299"/>
      <c r="FH111" s="299"/>
      <c r="FI111" s="299"/>
      <c r="FJ111" s="299"/>
      <c r="FK111" s="299"/>
      <c r="FL111" s="299"/>
      <c r="FM111" s="299"/>
      <c r="FN111" s="299"/>
      <c r="FO111" s="299"/>
      <c r="FP111" s="299"/>
      <c r="FQ111" s="300" t="e">
        <f t="shared" ca="1" si="114"/>
        <v>#VALUE!</v>
      </c>
      <c r="FR111" s="300" t="e">
        <f t="shared" ca="1" si="109"/>
        <v>#VALUE!</v>
      </c>
      <c r="FS111" s="300" t="e">
        <f t="shared" ca="1" si="109"/>
        <v>#VALUE!</v>
      </c>
      <c r="FT111" s="300" t="e">
        <f t="shared" ca="1" si="109"/>
        <v>#VALUE!</v>
      </c>
      <c r="FU111" s="300" t="e">
        <f t="shared" ca="1" si="109"/>
        <v>#VALUE!</v>
      </c>
      <c r="FV111" s="300" t="e">
        <f t="shared" ca="1" si="109"/>
        <v>#VALUE!</v>
      </c>
      <c r="FW111" s="300" t="e">
        <f t="shared" ca="1" si="109"/>
        <v>#VALUE!</v>
      </c>
      <c r="FX111" s="300" t="e">
        <f t="shared" ca="1" si="109"/>
        <v>#VALUE!</v>
      </c>
      <c r="FY111" s="300" t="e">
        <f t="shared" ca="1" si="109"/>
        <v>#VALUE!</v>
      </c>
      <c r="FZ111" s="300" t="e">
        <f t="shared" ca="1" si="109"/>
        <v>#VALUE!</v>
      </c>
      <c r="GA111" s="301" t="e">
        <f t="shared" ca="1" si="109"/>
        <v>#VALUE!</v>
      </c>
      <c r="GB111" s="301" t="e">
        <f t="shared" ca="1" si="110"/>
        <v>#VALUE!</v>
      </c>
      <c r="GC111" s="301" t="e">
        <f t="shared" ca="1" si="110"/>
        <v>#VALUE!</v>
      </c>
      <c r="GD111" s="301" t="e">
        <f t="shared" ca="1" si="110"/>
        <v>#VALUE!</v>
      </c>
      <c r="GE111" s="301" t="e">
        <f t="shared" ca="1" si="110"/>
        <v>#VALUE!</v>
      </c>
      <c r="GF111" s="301" t="e">
        <f t="shared" ca="1" si="110"/>
        <v>#VALUE!</v>
      </c>
      <c r="GG111" s="301" t="e">
        <f t="shared" ca="1" si="110"/>
        <v>#VALUE!</v>
      </c>
      <c r="GH111" s="301" t="e">
        <f t="shared" ca="1" si="110"/>
        <v>#VALUE!</v>
      </c>
      <c r="GI111" s="301" t="e">
        <f t="shared" ca="1" si="110"/>
        <v>#VALUE!</v>
      </c>
      <c r="GJ111" s="301" t="e">
        <f t="shared" ca="1" si="110"/>
        <v>#VALUE!</v>
      </c>
      <c r="GK111" s="301" t="e">
        <f t="shared" ca="1" si="110"/>
        <v>#VALUE!</v>
      </c>
      <c r="GL111" s="301" t="e">
        <f t="shared" ca="1" si="110"/>
        <v>#VALUE!</v>
      </c>
      <c r="GM111" s="301" t="e">
        <f t="shared" ca="1" si="110"/>
        <v>#VALUE!</v>
      </c>
      <c r="GN111" s="302" t="e">
        <f t="shared" ca="1" si="110"/>
        <v>#VALUE!</v>
      </c>
      <c r="GO111" s="302" t="e">
        <f t="shared" ca="1" si="110"/>
        <v>#VALUE!</v>
      </c>
      <c r="GP111" s="301">
        <f t="shared" si="115"/>
        <v>920</v>
      </c>
      <c r="GQ111" s="301">
        <f t="shared" si="115"/>
        <v>920</v>
      </c>
      <c r="GR111" s="301">
        <f t="shared" si="115"/>
        <v>920</v>
      </c>
      <c r="GS111" s="301">
        <f t="shared" si="115"/>
        <v>920</v>
      </c>
      <c r="GT111" s="301">
        <f t="shared" si="115"/>
        <v>920</v>
      </c>
      <c r="GU111" s="303">
        <f t="shared" si="115"/>
        <v>920</v>
      </c>
      <c r="GV111" s="302">
        <f t="shared" si="115"/>
        <v>920</v>
      </c>
      <c r="GW111" s="302">
        <f t="shared" si="115"/>
        <v>690</v>
      </c>
      <c r="GX111" s="302">
        <f t="shared" si="115"/>
        <v>0</v>
      </c>
      <c r="GY111" s="302">
        <f t="shared" si="115"/>
        <v>0</v>
      </c>
      <c r="GZ111" s="302">
        <f t="shared" si="115"/>
        <v>0</v>
      </c>
      <c r="HA111" s="302">
        <f t="shared" si="115"/>
        <v>0</v>
      </c>
      <c r="HB111" s="302">
        <f t="shared" si="115"/>
        <v>0</v>
      </c>
      <c r="HC111" s="302">
        <f t="shared" si="115"/>
        <v>0</v>
      </c>
      <c r="HD111" s="302">
        <f t="shared" si="115"/>
        <v>0</v>
      </c>
      <c r="HE111" s="302">
        <f t="shared" si="115"/>
        <v>0</v>
      </c>
      <c r="HF111" s="304"/>
      <c r="HG111" s="305"/>
    </row>
    <row r="112" spans="1:215" s="306" customFormat="1" ht="14.25" customHeight="1">
      <c r="A112" s="307"/>
      <c r="B112" s="292" t="s">
        <v>348</v>
      </c>
      <c r="C112" s="292" t="s">
        <v>203</v>
      </c>
      <c r="D112" s="292" t="s">
        <v>255</v>
      </c>
      <c r="E112" s="292" t="s">
        <v>461</v>
      </c>
      <c r="F112" s="292" t="s">
        <v>184</v>
      </c>
      <c r="G112" s="292" t="s">
        <v>350</v>
      </c>
      <c r="H112" s="292" t="s">
        <v>351</v>
      </c>
      <c r="I112" s="292" t="s">
        <v>352</v>
      </c>
      <c r="J112" s="292" t="s">
        <v>184</v>
      </c>
      <c r="K112" s="292" t="s">
        <v>353</v>
      </c>
      <c r="L112" s="292" t="s">
        <v>359</v>
      </c>
      <c r="M112" s="292" t="s">
        <v>363</v>
      </c>
      <c r="N112" s="292" t="str">
        <f t="shared" si="100"/>
        <v>Technology -Development</v>
      </c>
      <c r="O112" s="292" t="str">
        <f t="shared" si="101"/>
        <v>Technology-Analyst-India-Consulting</v>
      </c>
      <c r="P112" s="292" t="str">
        <f t="shared" si="102"/>
        <v>Technology  - Technology</v>
      </c>
      <c r="Q112" s="293">
        <f t="shared" si="111"/>
        <v>386400</v>
      </c>
      <c r="R112" s="294">
        <f t="shared" si="112"/>
        <v>0</v>
      </c>
      <c r="S112" s="295">
        <f t="shared" si="103"/>
        <v>3565</v>
      </c>
      <c r="T112" s="295">
        <f t="shared" si="113"/>
        <v>8050</v>
      </c>
      <c r="U112" s="296" t="str">
        <f t="shared" si="104"/>
        <v>Technology - Analyst</v>
      </c>
      <c r="V112" s="295" t="str">
        <f t="shared" si="105"/>
        <v>0-1 years</v>
      </c>
      <c r="W112" s="292" t="str">
        <f t="shared" si="106"/>
        <v>Offshore</v>
      </c>
      <c r="X112" s="292" t="s">
        <v>261</v>
      </c>
      <c r="Y112" s="292" t="s">
        <v>259</v>
      </c>
      <c r="Z112" s="292" t="s">
        <v>384</v>
      </c>
      <c r="AA112" s="297">
        <f>[1]Resourcing!QD116</f>
        <v>86.524000000000001</v>
      </c>
      <c r="AB112" s="298">
        <f t="shared" si="107"/>
        <v>48</v>
      </c>
      <c r="AC112" s="299"/>
      <c r="AD112" s="299"/>
      <c r="AE112" s="299"/>
      <c r="AF112" s="299"/>
      <c r="AG112" s="299"/>
      <c r="AH112" s="299"/>
      <c r="AI112" s="299"/>
      <c r="AJ112" s="299"/>
      <c r="AK112" s="299"/>
      <c r="AL112" s="299"/>
      <c r="AM112" s="299"/>
      <c r="AN112" s="299"/>
      <c r="AO112" s="299"/>
      <c r="AP112" s="299"/>
      <c r="AQ112" s="299"/>
      <c r="AR112" s="299"/>
      <c r="AS112" s="299"/>
      <c r="AT112" s="299"/>
      <c r="AU112" s="299"/>
      <c r="AV112" s="299"/>
      <c r="AW112" s="299"/>
      <c r="AX112" s="299"/>
      <c r="AY112" s="299"/>
      <c r="AZ112" s="299"/>
      <c r="BA112" s="299"/>
      <c r="BB112" s="299"/>
      <c r="BC112" s="299"/>
      <c r="BD112" s="299"/>
      <c r="BE112" s="299"/>
      <c r="BF112" s="299"/>
      <c r="BG112" s="299"/>
      <c r="BH112" s="299"/>
      <c r="BI112" s="299"/>
      <c r="BJ112" s="299"/>
      <c r="BK112" s="299"/>
      <c r="BL112" s="299"/>
      <c r="BM112" s="299"/>
      <c r="BN112" s="299"/>
      <c r="BO112" s="299"/>
      <c r="BP112" s="299"/>
      <c r="BQ112" s="299"/>
      <c r="BR112" s="299"/>
      <c r="BS112" s="299"/>
      <c r="BT112" s="299"/>
      <c r="BU112" s="299"/>
      <c r="BV112" s="299"/>
      <c r="BW112" s="299"/>
      <c r="BX112" s="299"/>
      <c r="BY112" s="299"/>
      <c r="BZ112" s="299"/>
      <c r="CA112" s="299"/>
      <c r="CB112" s="299"/>
      <c r="CC112" s="299">
        <v>115</v>
      </c>
      <c r="CD112" s="299">
        <v>115</v>
      </c>
      <c r="CE112" s="299">
        <v>115</v>
      </c>
      <c r="CF112" s="299">
        <v>115</v>
      </c>
      <c r="CG112" s="299">
        <v>115</v>
      </c>
      <c r="CH112" s="299">
        <v>115</v>
      </c>
      <c r="CI112" s="299">
        <v>115</v>
      </c>
      <c r="CJ112" s="299">
        <v>115</v>
      </c>
      <c r="CK112" s="299">
        <v>115</v>
      </c>
      <c r="CL112" s="299">
        <v>115</v>
      </c>
      <c r="CM112" s="299">
        <v>115</v>
      </c>
      <c r="CN112" s="299">
        <v>115</v>
      </c>
      <c r="CO112" s="299">
        <v>115</v>
      </c>
      <c r="CP112" s="299">
        <v>115</v>
      </c>
      <c r="CQ112" s="299">
        <v>115</v>
      </c>
      <c r="CR112" s="299">
        <v>115</v>
      </c>
      <c r="CS112" s="299">
        <v>115</v>
      </c>
      <c r="CT112" s="299">
        <v>115</v>
      </c>
      <c r="CU112" s="299">
        <v>115</v>
      </c>
      <c r="CV112" s="299">
        <v>115</v>
      </c>
      <c r="CW112" s="299">
        <v>115</v>
      </c>
      <c r="CX112" s="299">
        <v>115</v>
      </c>
      <c r="CY112" s="299">
        <v>115</v>
      </c>
      <c r="CZ112" s="299">
        <v>115</v>
      </c>
      <c r="DA112" s="299">
        <v>115</v>
      </c>
      <c r="DB112" s="299">
        <v>115</v>
      </c>
      <c r="DC112" s="299">
        <v>115</v>
      </c>
      <c r="DD112" s="299">
        <v>115</v>
      </c>
      <c r="DE112" s="299">
        <v>115</v>
      </c>
      <c r="DF112" s="299">
        <v>115</v>
      </c>
      <c r="DG112" s="299">
        <v>115</v>
      </c>
      <c r="DH112" s="299">
        <v>115</v>
      </c>
      <c r="DI112" s="299">
        <v>115</v>
      </c>
      <c r="DJ112" s="299">
        <v>115</v>
      </c>
      <c r="DK112" s="299">
        <v>115</v>
      </c>
      <c r="DL112" s="299">
        <v>115</v>
      </c>
      <c r="DM112" s="299">
        <v>115</v>
      </c>
      <c r="DN112" s="299">
        <v>115</v>
      </c>
      <c r="DO112" s="299">
        <v>115</v>
      </c>
      <c r="DP112" s="299">
        <v>115</v>
      </c>
      <c r="DQ112" s="299">
        <v>115</v>
      </c>
      <c r="DR112" s="299">
        <v>115</v>
      </c>
      <c r="DS112" s="299">
        <v>115</v>
      </c>
      <c r="DT112" s="299">
        <v>115</v>
      </c>
      <c r="DU112" s="299">
        <v>115</v>
      </c>
      <c r="DV112" s="299">
        <v>115</v>
      </c>
      <c r="DW112" s="299">
        <v>115</v>
      </c>
      <c r="DX112" s="299">
        <v>115</v>
      </c>
      <c r="DY112" s="299">
        <v>115</v>
      </c>
      <c r="DZ112" s="299">
        <v>115</v>
      </c>
      <c r="EA112" s="299">
        <v>115</v>
      </c>
      <c r="EB112" s="299">
        <v>115</v>
      </c>
      <c r="EC112" s="299">
        <v>115</v>
      </c>
      <c r="ED112" s="299">
        <v>115</v>
      </c>
      <c r="EE112" s="299">
        <v>115</v>
      </c>
      <c r="EF112" s="299">
        <v>115</v>
      </c>
      <c r="EG112" s="299">
        <v>115</v>
      </c>
      <c r="EH112" s="299">
        <v>115</v>
      </c>
      <c r="EI112" s="299">
        <v>115</v>
      </c>
      <c r="EJ112" s="299">
        <v>115</v>
      </c>
      <c r="EK112" s="299">
        <v>115</v>
      </c>
      <c r="EL112" s="299">
        <v>115</v>
      </c>
      <c r="EM112" s="299">
        <v>115</v>
      </c>
      <c r="EN112" s="299">
        <v>115</v>
      </c>
      <c r="EO112" s="299">
        <v>115</v>
      </c>
      <c r="EP112" s="299">
        <v>115</v>
      </c>
      <c r="EQ112" s="299">
        <v>115</v>
      </c>
      <c r="ER112" s="299">
        <v>115</v>
      </c>
      <c r="ES112" s="299">
        <v>115</v>
      </c>
      <c r="ET112" s="299">
        <v>115</v>
      </c>
      <c r="EU112" s="299"/>
      <c r="EV112" s="299"/>
      <c r="EW112" s="299"/>
      <c r="EX112" s="299"/>
      <c r="EY112" s="299"/>
      <c r="EZ112" s="299"/>
      <c r="FA112" s="299"/>
      <c r="FB112" s="299"/>
      <c r="FC112" s="299"/>
      <c r="FD112" s="299"/>
      <c r="FE112" s="299"/>
      <c r="FF112" s="299"/>
      <c r="FG112" s="299"/>
      <c r="FH112" s="299"/>
      <c r="FI112" s="299"/>
      <c r="FJ112" s="299"/>
      <c r="FK112" s="299"/>
      <c r="FL112" s="299"/>
      <c r="FM112" s="299"/>
      <c r="FN112" s="299"/>
      <c r="FO112" s="299"/>
      <c r="FP112" s="299"/>
      <c r="FQ112" s="300" t="e">
        <f t="shared" ca="1" si="114"/>
        <v>#VALUE!</v>
      </c>
      <c r="FR112" s="300" t="e">
        <f t="shared" ca="1" si="109"/>
        <v>#VALUE!</v>
      </c>
      <c r="FS112" s="300" t="e">
        <f t="shared" ca="1" si="109"/>
        <v>#VALUE!</v>
      </c>
      <c r="FT112" s="300" t="e">
        <f t="shared" ca="1" si="109"/>
        <v>#VALUE!</v>
      </c>
      <c r="FU112" s="300" t="e">
        <f t="shared" ca="1" si="109"/>
        <v>#VALUE!</v>
      </c>
      <c r="FV112" s="300" t="e">
        <f t="shared" ca="1" si="109"/>
        <v>#VALUE!</v>
      </c>
      <c r="FW112" s="300" t="e">
        <f t="shared" ca="1" si="109"/>
        <v>#VALUE!</v>
      </c>
      <c r="FX112" s="300" t="e">
        <f t="shared" ca="1" si="109"/>
        <v>#VALUE!</v>
      </c>
      <c r="FY112" s="300" t="e">
        <f t="shared" ca="1" si="109"/>
        <v>#VALUE!</v>
      </c>
      <c r="FZ112" s="300" t="e">
        <f t="shared" ca="1" si="109"/>
        <v>#VALUE!</v>
      </c>
      <c r="GA112" s="301" t="e">
        <f t="shared" ca="1" si="109"/>
        <v>#VALUE!</v>
      </c>
      <c r="GB112" s="301" t="e">
        <f t="shared" ca="1" si="110"/>
        <v>#VALUE!</v>
      </c>
      <c r="GC112" s="301" t="e">
        <f t="shared" ca="1" si="110"/>
        <v>#VALUE!</v>
      </c>
      <c r="GD112" s="301" t="e">
        <f t="shared" ca="1" si="110"/>
        <v>#VALUE!</v>
      </c>
      <c r="GE112" s="301" t="e">
        <f t="shared" ca="1" si="110"/>
        <v>#VALUE!</v>
      </c>
      <c r="GF112" s="301" t="e">
        <f t="shared" ca="1" si="110"/>
        <v>#VALUE!</v>
      </c>
      <c r="GG112" s="301" t="e">
        <f t="shared" ca="1" si="110"/>
        <v>#VALUE!</v>
      </c>
      <c r="GH112" s="301" t="e">
        <f t="shared" ca="1" si="110"/>
        <v>#VALUE!</v>
      </c>
      <c r="GI112" s="301" t="e">
        <f t="shared" ca="1" si="110"/>
        <v>#VALUE!</v>
      </c>
      <c r="GJ112" s="301" t="e">
        <f t="shared" ca="1" si="110"/>
        <v>#VALUE!</v>
      </c>
      <c r="GK112" s="301" t="e">
        <f t="shared" ca="1" si="110"/>
        <v>#VALUE!</v>
      </c>
      <c r="GL112" s="301" t="e">
        <f t="shared" ca="1" si="110"/>
        <v>#VALUE!</v>
      </c>
      <c r="GM112" s="301" t="e">
        <f t="shared" ca="1" si="110"/>
        <v>#VALUE!</v>
      </c>
      <c r="GN112" s="302" t="e">
        <f t="shared" ca="1" si="110"/>
        <v>#VALUE!</v>
      </c>
      <c r="GO112" s="302" t="e">
        <f t="shared" ca="1" si="110"/>
        <v>#VALUE!</v>
      </c>
      <c r="GP112" s="301">
        <f t="shared" si="115"/>
        <v>460</v>
      </c>
      <c r="GQ112" s="301">
        <f t="shared" si="115"/>
        <v>460</v>
      </c>
      <c r="GR112" s="301">
        <f t="shared" si="115"/>
        <v>460</v>
      </c>
      <c r="GS112" s="301">
        <f t="shared" si="115"/>
        <v>460</v>
      </c>
      <c r="GT112" s="301">
        <f t="shared" si="115"/>
        <v>460</v>
      </c>
      <c r="GU112" s="303">
        <f t="shared" si="115"/>
        <v>460</v>
      </c>
      <c r="GV112" s="302">
        <f t="shared" si="115"/>
        <v>460</v>
      </c>
      <c r="GW112" s="302">
        <f t="shared" si="115"/>
        <v>345</v>
      </c>
      <c r="GX112" s="302">
        <f t="shared" si="115"/>
        <v>0</v>
      </c>
      <c r="GY112" s="302">
        <f t="shared" si="115"/>
        <v>0</v>
      </c>
      <c r="GZ112" s="302">
        <f t="shared" si="115"/>
        <v>0</v>
      </c>
      <c r="HA112" s="302">
        <f t="shared" si="115"/>
        <v>0</v>
      </c>
      <c r="HB112" s="302">
        <f t="shared" si="115"/>
        <v>0</v>
      </c>
      <c r="HC112" s="302">
        <f t="shared" si="115"/>
        <v>0</v>
      </c>
      <c r="HD112" s="302">
        <f t="shared" si="115"/>
        <v>0</v>
      </c>
      <c r="HE112" s="302">
        <f t="shared" si="115"/>
        <v>0</v>
      </c>
      <c r="HF112" s="304"/>
      <c r="HG112" s="305"/>
    </row>
    <row r="113" spans="1:215" s="306" customFormat="1" ht="14.25" customHeight="1">
      <c r="A113" s="307"/>
      <c r="B113" s="292" t="s">
        <v>348</v>
      </c>
      <c r="C113" s="292" t="s">
        <v>203</v>
      </c>
      <c r="D113" s="292" t="s">
        <v>257</v>
      </c>
      <c r="E113" s="292" t="s">
        <v>462</v>
      </c>
      <c r="F113" s="292" t="s">
        <v>184</v>
      </c>
      <c r="G113" s="292" t="s">
        <v>350</v>
      </c>
      <c r="H113" s="292" t="s">
        <v>351</v>
      </c>
      <c r="I113" s="292" t="s">
        <v>352</v>
      </c>
      <c r="J113" s="292" t="s">
        <v>184</v>
      </c>
      <c r="K113" s="292" t="s">
        <v>353</v>
      </c>
      <c r="L113" s="292" t="s">
        <v>359</v>
      </c>
      <c r="M113" s="292" t="s">
        <v>371</v>
      </c>
      <c r="N113" s="292" t="str">
        <f t="shared" si="100"/>
        <v>Technology -Basis SME 1</v>
      </c>
      <c r="O113" s="292" t="str">
        <f t="shared" si="101"/>
        <v>Technology-Manager-India-Consulting</v>
      </c>
      <c r="P113" s="292" t="str">
        <f t="shared" si="102"/>
        <v>Technology  - Technology</v>
      </c>
      <c r="Q113" s="293">
        <f t="shared" si="111"/>
        <v>374220</v>
      </c>
      <c r="R113" s="294">
        <f t="shared" si="112"/>
        <v>17820</v>
      </c>
      <c r="S113" s="295">
        <f t="shared" si="103"/>
        <v>1305</v>
      </c>
      <c r="T113" s="295">
        <f t="shared" si="113"/>
        <v>3780</v>
      </c>
      <c r="U113" s="296" t="str">
        <f t="shared" si="104"/>
        <v>Technology - Manager</v>
      </c>
      <c r="V113" s="295" t="str">
        <f t="shared" si="105"/>
        <v>5-7 years</v>
      </c>
      <c r="W113" s="292" t="str">
        <f t="shared" si="106"/>
        <v>Offshore</v>
      </c>
      <c r="X113" s="292" t="s">
        <v>261</v>
      </c>
      <c r="Y113" s="292" t="s">
        <v>259</v>
      </c>
      <c r="Z113" s="292" t="s">
        <v>376</v>
      </c>
      <c r="AA113" s="297">
        <f>[1]Resourcing!QD117</f>
        <v>63.310285714285698</v>
      </c>
      <c r="AB113" s="298">
        <f t="shared" si="107"/>
        <v>99</v>
      </c>
      <c r="AC113" s="299"/>
      <c r="AD113" s="299"/>
      <c r="AE113" s="299"/>
      <c r="AF113" s="299"/>
      <c r="AG113" s="299"/>
      <c r="AH113" s="299"/>
      <c r="AI113" s="299"/>
      <c r="AJ113" s="299"/>
      <c r="AK113" s="299"/>
      <c r="AL113" s="299"/>
      <c r="AM113" s="299"/>
      <c r="AN113" s="299"/>
      <c r="AO113" s="299"/>
      <c r="AP113" s="299"/>
      <c r="AQ113" s="299"/>
      <c r="AR113" s="299"/>
      <c r="AS113" s="299"/>
      <c r="AT113" s="299"/>
      <c r="AU113" s="299"/>
      <c r="AV113" s="299"/>
      <c r="AW113" s="299"/>
      <c r="AX113" s="299"/>
      <c r="AY113" s="299"/>
      <c r="AZ113" s="299"/>
      <c r="BA113" s="299"/>
      <c r="BB113" s="299"/>
      <c r="BC113" s="299"/>
      <c r="BD113" s="299"/>
      <c r="BE113" s="299"/>
      <c r="BF113" s="299"/>
      <c r="BG113" s="299"/>
      <c r="BH113" s="299"/>
      <c r="BI113" s="299"/>
      <c r="BJ113" s="299"/>
      <c r="BK113" s="299">
        <v>45</v>
      </c>
      <c r="BL113" s="299">
        <v>45</v>
      </c>
      <c r="BM113" s="299">
        <v>45</v>
      </c>
      <c r="BN113" s="299">
        <v>45</v>
      </c>
      <c r="BO113" s="299">
        <v>45</v>
      </c>
      <c r="BP113" s="299">
        <v>45</v>
      </c>
      <c r="BQ113" s="299">
        <v>45</v>
      </c>
      <c r="BR113" s="299"/>
      <c r="BS113" s="299"/>
      <c r="BT113" s="299">
        <v>45</v>
      </c>
      <c r="BU113" s="299">
        <v>45</v>
      </c>
      <c r="BV113" s="299">
        <v>45</v>
      </c>
      <c r="BW113" s="299">
        <v>45</v>
      </c>
      <c r="BX113" s="299">
        <v>45</v>
      </c>
      <c r="BY113" s="299">
        <v>45</v>
      </c>
      <c r="BZ113" s="299">
        <v>45</v>
      </c>
      <c r="CA113" s="299">
        <v>45</v>
      </c>
      <c r="CB113" s="299">
        <v>45</v>
      </c>
      <c r="CC113" s="299">
        <v>45</v>
      </c>
      <c r="CD113" s="299">
        <v>45</v>
      </c>
      <c r="CE113" s="299">
        <v>45</v>
      </c>
      <c r="CF113" s="299">
        <v>45</v>
      </c>
      <c r="CG113" s="299">
        <v>45</v>
      </c>
      <c r="CH113" s="299">
        <v>45</v>
      </c>
      <c r="CI113" s="299">
        <v>45</v>
      </c>
      <c r="CJ113" s="299">
        <v>45</v>
      </c>
      <c r="CK113" s="299">
        <v>45</v>
      </c>
      <c r="CL113" s="299">
        <v>45</v>
      </c>
      <c r="CM113" s="299">
        <v>45</v>
      </c>
      <c r="CN113" s="299">
        <v>45</v>
      </c>
      <c r="CO113" s="299">
        <v>45</v>
      </c>
      <c r="CP113" s="299">
        <v>45</v>
      </c>
      <c r="CQ113" s="299">
        <v>45</v>
      </c>
      <c r="CR113" s="299">
        <v>45</v>
      </c>
      <c r="CS113" s="299">
        <v>45</v>
      </c>
      <c r="CT113" s="299">
        <v>45</v>
      </c>
      <c r="CU113" s="299">
        <v>45</v>
      </c>
      <c r="CV113" s="299">
        <v>45</v>
      </c>
      <c r="CW113" s="299">
        <v>45</v>
      </c>
      <c r="CX113" s="299">
        <v>45</v>
      </c>
      <c r="CY113" s="299">
        <v>45</v>
      </c>
      <c r="CZ113" s="299">
        <v>45</v>
      </c>
      <c r="DA113" s="299">
        <v>45</v>
      </c>
      <c r="DB113" s="299">
        <v>45</v>
      </c>
      <c r="DC113" s="299">
        <v>45</v>
      </c>
      <c r="DD113" s="299">
        <v>45</v>
      </c>
      <c r="DE113" s="299">
        <v>45</v>
      </c>
      <c r="DF113" s="299">
        <v>45</v>
      </c>
      <c r="DG113" s="299">
        <v>45</v>
      </c>
      <c r="DH113" s="299">
        <v>45</v>
      </c>
      <c r="DI113" s="299">
        <v>45</v>
      </c>
      <c r="DJ113" s="299">
        <v>45</v>
      </c>
      <c r="DK113" s="299">
        <v>45</v>
      </c>
      <c r="DL113" s="299">
        <v>45</v>
      </c>
      <c r="DM113" s="299">
        <v>45</v>
      </c>
      <c r="DN113" s="299">
        <v>45</v>
      </c>
      <c r="DO113" s="299">
        <v>45</v>
      </c>
      <c r="DP113" s="299">
        <v>45</v>
      </c>
      <c r="DQ113" s="299">
        <v>45</v>
      </c>
      <c r="DR113" s="299"/>
      <c r="DS113" s="299"/>
      <c r="DT113" s="299">
        <v>45</v>
      </c>
      <c r="DU113" s="299">
        <v>45</v>
      </c>
      <c r="DV113" s="299">
        <v>45</v>
      </c>
      <c r="DW113" s="299">
        <v>45</v>
      </c>
      <c r="DX113" s="299">
        <v>45</v>
      </c>
      <c r="DY113" s="299">
        <v>45</v>
      </c>
      <c r="DZ113" s="299">
        <v>45</v>
      </c>
      <c r="EA113" s="299">
        <v>45</v>
      </c>
      <c r="EB113" s="299">
        <v>45</v>
      </c>
      <c r="EC113" s="299">
        <v>45</v>
      </c>
      <c r="ED113" s="299">
        <v>45</v>
      </c>
      <c r="EE113" s="299">
        <v>45</v>
      </c>
      <c r="EF113" s="299">
        <v>45</v>
      </c>
      <c r="EG113" s="299">
        <v>45</v>
      </c>
      <c r="EH113" s="299">
        <v>45</v>
      </c>
      <c r="EI113" s="299">
        <v>45</v>
      </c>
      <c r="EJ113" s="299">
        <v>45</v>
      </c>
      <c r="EK113" s="299">
        <v>45</v>
      </c>
      <c r="EL113" s="299">
        <v>45</v>
      </c>
      <c r="EM113" s="299">
        <v>45</v>
      </c>
      <c r="EN113" s="299">
        <v>45</v>
      </c>
      <c r="EO113" s="299">
        <v>45</v>
      </c>
      <c r="EP113" s="299">
        <v>45</v>
      </c>
      <c r="EQ113" s="299">
        <v>45</v>
      </c>
      <c r="ER113" s="299">
        <v>45</v>
      </c>
      <c r="ES113" s="299">
        <v>45</v>
      </c>
      <c r="ET113" s="299">
        <v>45</v>
      </c>
      <c r="EU113" s="299"/>
      <c r="EV113" s="299"/>
      <c r="EW113" s="299"/>
      <c r="EX113" s="299"/>
      <c r="EY113" s="299"/>
      <c r="EZ113" s="299"/>
      <c r="FA113" s="299"/>
      <c r="FB113" s="299"/>
      <c r="FC113" s="299"/>
      <c r="FD113" s="299"/>
      <c r="FE113" s="299"/>
      <c r="FF113" s="299"/>
      <c r="FG113" s="299"/>
      <c r="FH113" s="299"/>
      <c r="FI113" s="299"/>
      <c r="FJ113" s="299"/>
      <c r="FK113" s="299"/>
      <c r="FL113" s="299"/>
      <c r="FM113" s="299"/>
      <c r="FN113" s="299"/>
      <c r="FO113" s="299"/>
      <c r="FP113" s="299"/>
      <c r="FQ113" s="300" t="e">
        <f t="shared" ca="1" si="114"/>
        <v>#VALUE!</v>
      </c>
      <c r="FR113" s="300" t="e">
        <f t="shared" ref="FR113:GA122" ca="1" si="116">SUMIF($AC$11:$FP$11,FR$12,$AC113:$FP113)</f>
        <v>#VALUE!</v>
      </c>
      <c r="FS113" s="300" t="e">
        <f t="shared" ca="1" si="116"/>
        <v>#VALUE!</v>
      </c>
      <c r="FT113" s="300" t="e">
        <f t="shared" ca="1" si="116"/>
        <v>#VALUE!</v>
      </c>
      <c r="FU113" s="300" t="e">
        <f t="shared" ca="1" si="116"/>
        <v>#VALUE!</v>
      </c>
      <c r="FV113" s="300" t="e">
        <f t="shared" ca="1" si="116"/>
        <v>#VALUE!</v>
      </c>
      <c r="FW113" s="300" t="e">
        <f t="shared" ca="1" si="116"/>
        <v>#VALUE!</v>
      </c>
      <c r="FX113" s="300" t="e">
        <f t="shared" ca="1" si="116"/>
        <v>#VALUE!</v>
      </c>
      <c r="FY113" s="300" t="e">
        <f t="shared" ca="1" si="116"/>
        <v>#VALUE!</v>
      </c>
      <c r="FZ113" s="300" t="e">
        <f t="shared" ca="1" si="116"/>
        <v>#VALUE!</v>
      </c>
      <c r="GA113" s="301" t="e">
        <f t="shared" ca="1" si="116"/>
        <v>#VALUE!</v>
      </c>
      <c r="GB113" s="301" t="e">
        <f t="shared" ref="GB113:GO122" ca="1" si="117">SUMIF($AC$11:$FP$11,GB$12,$AC113:$FP113)</f>
        <v>#VALUE!</v>
      </c>
      <c r="GC113" s="301" t="e">
        <f t="shared" ca="1" si="117"/>
        <v>#VALUE!</v>
      </c>
      <c r="GD113" s="301" t="e">
        <f t="shared" ca="1" si="117"/>
        <v>#VALUE!</v>
      </c>
      <c r="GE113" s="301" t="e">
        <f t="shared" ca="1" si="117"/>
        <v>#VALUE!</v>
      </c>
      <c r="GF113" s="301" t="e">
        <f t="shared" ca="1" si="117"/>
        <v>#VALUE!</v>
      </c>
      <c r="GG113" s="301" t="e">
        <f t="shared" ca="1" si="117"/>
        <v>#VALUE!</v>
      </c>
      <c r="GH113" s="301" t="e">
        <f t="shared" ca="1" si="117"/>
        <v>#VALUE!</v>
      </c>
      <c r="GI113" s="301" t="e">
        <f t="shared" ca="1" si="117"/>
        <v>#VALUE!</v>
      </c>
      <c r="GJ113" s="301" t="e">
        <f t="shared" ca="1" si="117"/>
        <v>#VALUE!</v>
      </c>
      <c r="GK113" s="301" t="e">
        <f t="shared" ca="1" si="117"/>
        <v>#VALUE!</v>
      </c>
      <c r="GL113" s="301" t="e">
        <f t="shared" ca="1" si="117"/>
        <v>#VALUE!</v>
      </c>
      <c r="GM113" s="301" t="e">
        <f t="shared" ca="1" si="117"/>
        <v>#VALUE!</v>
      </c>
      <c r="GN113" s="302" t="e">
        <f t="shared" ca="1" si="117"/>
        <v>#VALUE!</v>
      </c>
      <c r="GO113" s="302" t="e">
        <f t="shared" ca="1" si="117"/>
        <v>#VALUE!</v>
      </c>
      <c r="GP113" s="301">
        <f t="shared" si="115"/>
        <v>90</v>
      </c>
      <c r="GQ113" s="301">
        <f t="shared" si="115"/>
        <v>180</v>
      </c>
      <c r="GR113" s="301">
        <f t="shared" si="115"/>
        <v>180</v>
      </c>
      <c r="GS113" s="301">
        <f t="shared" si="115"/>
        <v>180</v>
      </c>
      <c r="GT113" s="301">
        <f t="shared" si="115"/>
        <v>180</v>
      </c>
      <c r="GU113" s="303">
        <f t="shared" si="115"/>
        <v>180</v>
      </c>
      <c r="GV113" s="302">
        <f t="shared" si="115"/>
        <v>180</v>
      </c>
      <c r="GW113" s="302">
        <f t="shared" si="115"/>
        <v>135</v>
      </c>
      <c r="GX113" s="302">
        <f t="shared" si="115"/>
        <v>0</v>
      </c>
      <c r="GY113" s="302">
        <f t="shared" si="115"/>
        <v>0</v>
      </c>
      <c r="GZ113" s="302">
        <f t="shared" si="115"/>
        <v>0</v>
      </c>
      <c r="HA113" s="302">
        <f t="shared" si="115"/>
        <v>0</v>
      </c>
      <c r="HB113" s="302">
        <f t="shared" si="115"/>
        <v>0</v>
      </c>
      <c r="HC113" s="302">
        <f t="shared" si="115"/>
        <v>0</v>
      </c>
      <c r="HD113" s="302">
        <f t="shared" si="115"/>
        <v>0</v>
      </c>
      <c r="HE113" s="302">
        <f t="shared" si="115"/>
        <v>0</v>
      </c>
      <c r="HF113" s="304"/>
      <c r="HG113" s="305"/>
    </row>
    <row r="114" spans="1:215" s="306" customFormat="1" ht="14.25" customHeight="1">
      <c r="A114" s="307"/>
      <c r="B114" s="292" t="s">
        <v>445</v>
      </c>
      <c r="C114" s="292" t="s">
        <v>203</v>
      </c>
      <c r="D114" s="292" t="s">
        <v>258</v>
      </c>
      <c r="E114" s="292" t="s">
        <v>462</v>
      </c>
      <c r="F114" s="292" t="s">
        <v>184</v>
      </c>
      <c r="G114" s="292" t="s">
        <v>350</v>
      </c>
      <c r="H114" s="292" t="s">
        <v>351</v>
      </c>
      <c r="I114" s="292" t="s">
        <v>352</v>
      </c>
      <c r="J114" s="292" t="s">
        <v>184</v>
      </c>
      <c r="K114" s="292" t="s">
        <v>353</v>
      </c>
      <c r="L114" s="292" t="s">
        <v>359</v>
      </c>
      <c r="M114" s="292" t="s">
        <v>374</v>
      </c>
      <c r="N114" s="292" t="str">
        <f t="shared" si="100"/>
        <v>Technology -Basis SME 2</v>
      </c>
      <c r="O114" s="292" t="str">
        <f t="shared" si="101"/>
        <v>Technology-Senior Consultant-India-Consulting</v>
      </c>
      <c r="P114" s="292" t="str">
        <f t="shared" si="102"/>
        <v>Technology  - Technology</v>
      </c>
      <c r="Q114" s="293">
        <f t="shared" si="111"/>
        <v>255600</v>
      </c>
      <c r="R114" s="294">
        <f t="shared" si="112"/>
        <v>0</v>
      </c>
      <c r="S114" s="295">
        <f t="shared" si="103"/>
        <v>1305</v>
      </c>
      <c r="T114" s="295">
        <f t="shared" si="113"/>
        <v>3600</v>
      </c>
      <c r="U114" s="296" t="str">
        <f t="shared" si="104"/>
        <v>Technology - Senior Consultant</v>
      </c>
      <c r="V114" s="295" t="str">
        <f t="shared" si="105"/>
        <v>3-5 years</v>
      </c>
      <c r="W114" s="292" t="str">
        <f t="shared" si="106"/>
        <v>Offshore</v>
      </c>
      <c r="X114" s="292" t="s">
        <v>261</v>
      </c>
      <c r="Y114" s="292" t="s">
        <v>259</v>
      </c>
      <c r="Z114" s="292" t="s">
        <v>364</v>
      </c>
      <c r="AA114" s="297">
        <f>[1]Resourcing!QD118</f>
        <v>53.8131428571429</v>
      </c>
      <c r="AB114" s="298">
        <f t="shared" si="107"/>
        <v>71</v>
      </c>
      <c r="AC114" s="299"/>
      <c r="AD114" s="299"/>
      <c r="AE114" s="299"/>
      <c r="AF114" s="299"/>
      <c r="AG114" s="299"/>
      <c r="AH114" s="299"/>
      <c r="AI114" s="299"/>
      <c r="AJ114" s="299"/>
      <c r="AK114" s="299"/>
      <c r="AL114" s="299"/>
      <c r="AM114" s="299"/>
      <c r="AN114" s="299"/>
      <c r="AO114" s="299"/>
      <c r="AP114" s="299"/>
      <c r="AQ114" s="299"/>
      <c r="AR114" s="299"/>
      <c r="AS114" s="299"/>
      <c r="AT114" s="299"/>
      <c r="AU114" s="299"/>
      <c r="AV114" s="299"/>
      <c r="AW114" s="299"/>
      <c r="AX114" s="299"/>
      <c r="AY114" s="299"/>
      <c r="AZ114" s="299"/>
      <c r="BA114" s="299"/>
      <c r="BB114" s="299"/>
      <c r="BC114" s="299"/>
      <c r="BD114" s="299"/>
      <c r="BE114" s="299"/>
      <c r="BF114" s="299"/>
      <c r="BG114" s="299"/>
      <c r="BH114" s="299"/>
      <c r="BI114" s="299"/>
      <c r="BJ114" s="299"/>
      <c r="BK114" s="299"/>
      <c r="BL114" s="299"/>
      <c r="BM114" s="299"/>
      <c r="BN114" s="299"/>
      <c r="BO114" s="299">
        <v>45</v>
      </c>
      <c r="BP114" s="299">
        <v>45</v>
      </c>
      <c r="BQ114" s="299">
        <v>45</v>
      </c>
      <c r="BR114" s="299"/>
      <c r="BS114" s="299"/>
      <c r="BT114" s="299">
        <v>45</v>
      </c>
      <c r="BU114" s="299">
        <v>45</v>
      </c>
      <c r="BV114" s="299">
        <v>45</v>
      </c>
      <c r="BW114" s="299">
        <v>45</v>
      </c>
      <c r="BX114" s="299">
        <v>45</v>
      </c>
      <c r="BY114" s="299">
        <v>45</v>
      </c>
      <c r="BZ114" s="299">
        <v>45</v>
      </c>
      <c r="CA114" s="299">
        <v>45</v>
      </c>
      <c r="CB114" s="299">
        <v>45</v>
      </c>
      <c r="CC114" s="299">
        <v>45</v>
      </c>
      <c r="CD114" s="299">
        <v>45</v>
      </c>
      <c r="CE114" s="299">
        <v>45</v>
      </c>
      <c r="CF114" s="299">
        <v>45</v>
      </c>
      <c r="CG114" s="299">
        <v>45</v>
      </c>
      <c r="CH114" s="299">
        <v>45</v>
      </c>
      <c r="CI114" s="299">
        <v>45</v>
      </c>
      <c r="CJ114" s="299">
        <v>45</v>
      </c>
      <c r="CK114" s="299">
        <v>45</v>
      </c>
      <c r="CL114" s="299">
        <v>45</v>
      </c>
      <c r="CM114" s="299">
        <v>45</v>
      </c>
      <c r="CN114" s="299">
        <v>45</v>
      </c>
      <c r="CO114" s="299">
        <v>45</v>
      </c>
      <c r="CP114" s="299">
        <v>45</v>
      </c>
      <c r="CQ114" s="299">
        <v>45</v>
      </c>
      <c r="CR114" s="299">
        <v>45</v>
      </c>
      <c r="CS114" s="299">
        <v>45</v>
      </c>
      <c r="CT114" s="299">
        <v>45</v>
      </c>
      <c r="CU114" s="299">
        <v>45</v>
      </c>
      <c r="CV114" s="299">
        <v>45</v>
      </c>
      <c r="CW114" s="299">
        <v>45</v>
      </c>
      <c r="CX114" s="299">
        <v>45</v>
      </c>
      <c r="CY114" s="299">
        <v>45</v>
      </c>
      <c r="CZ114" s="299">
        <v>45</v>
      </c>
      <c r="DA114" s="299">
        <v>45</v>
      </c>
      <c r="DB114" s="299">
        <v>45</v>
      </c>
      <c r="DC114" s="299">
        <v>45</v>
      </c>
      <c r="DD114" s="299">
        <v>45</v>
      </c>
      <c r="DE114" s="299">
        <v>45</v>
      </c>
      <c r="DF114" s="299">
        <v>45</v>
      </c>
      <c r="DG114" s="299">
        <v>45</v>
      </c>
      <c r="DH114" s="299">
        <v>45</v>
      </c>
      <c r="DI114" s="299">
        <v>45</v>
      </c>
      <c r="DJ114" s="299">
        <v>45</v>
      </c>
      <c r="DK114" s="299">
        <v>45</v>
      </c>
      <c r="DL114" s="299">
        <v>45</v>
      </c>
      <c r="DM114" s="299">
        <v>45</v>
      </c>
      <c r="DN114" s="299">
        <v>45</v>
      </c>
      <c r="DO114" s="299">
        <v>45</v>
      </c>
      <c r="DP114" s="299">
        <v>45</v>
      </c>
      <c r="DQ114" s="299">
        <v>45</v>
      </c>
      <c r="DR114" s="299"/>
      <c r="DS114" s="299"/>
      <c r="DT114" s="299">
        <v>45</v>
      </c>
      <c r="DU114" s="299">
        <v>45</v>
      </c>
      <c r="DV114" s="299">
        <v>45</v>
      </c>
      <c r="DW114" s="299">
        <v>45</v>
      </c>
      <c r="DX114" s="299">
        <v>45</v>
      </c>
      <c r="DY114" s="299">
        <v>45</v>
      </c>
      <c r="DZ114" s="299">
        <v>45</v>
      </c>
      <c r="EA114" s="299">
        <v>45</v>
      </c>
      <c r="EB114" s="299">
        <v>45</v>
      </c>
      <c r="EC114" s="299">
        <v>45</v>
      </c>
      <c r="ED114" s="299">
        <v>45</v>
      </c>
      <c r="EE114" s="299">
        <v>45</v>
      </c>
      <c r="EF114" s="299">
        <v>45</v>
      </c>
      <c r="EG114" s="299">
        <v>45</v>
      </c>
      <c r="EH114" s="299">
        <v>45</v>
      </c>
      <c r="EI114" s="299">
        <v>45</v>
      </c>
      <c r="EJ114" s="299">
        <v>45</v>
      </c>
      <c r="EK114" s="299">
        <v>45</v>
      </c>
      <c r="EL114" s="299">
        <v>45</v>
      </c>
      <c r="EM114" s="299">
        <v>45</v>
      </c>
      <c r="EN114" s="299">
        <v>45</v>
      </c>
      <c r="EO114" s="299">
        <v>45</v>
      </c>
      <c r="EP114" s="299">
        <v>45</v>
      </c>
      <c r="EQ114" s="299">
        <v>45</v>
      </c>
      <c r="ER114" s="299">
        <v>45</v>
      </c>
      <c r="ES114" s="299">
        <v>45</v>
      </c>
      <c r="ET114" s="299">
        <v>45</v>
      </c>
      <c r="EU114" s="299"/>
      <c r="EV114" s="299"/>
      <c r="EW114" s="299"/>
      <c r="EX114" s="299"/>
      <c r="EY114" s="299"/>
      <c r="EZ114" s="299"/>
      <c r="FA114" s="299"/>
      <c r="FB114" s="299"/>
      <c r="FC114" s="299"/>
      <c r="FD114" s="299"/>
      <c r="FE114" s="299"/>
      <c r="FF114" s="299"/>
      <c r="FG114" s="299"/>
      <c r="FH114" s="299"/>
      <c r="FI114" s="299"/>
      <c r="FJ114" s="299"/>
      <c r="FK114" s="299"/>
      <c r="FL114" s="299"/>
      <c r="FM114" s="299"/>
      <c r="FN114" s="299"/>
      <c r="FO114" s="299"/>
      <c r="FP114" s="299"/>
      <c r="FQ114" s="300" t="e">
        <f t="shared" ca="1" si="114"/>
        <v>#VALUE!</v>
      </c>
      <c r="FR114" s="300" t="e">
        <f t="shared" ca="1" si="116"/>
        <v>#VALUE!</v>
      </c>
      <c r="FS114" s="300" t="e">
        <f t="shared" ca="1" si="116"/>
        <v>#VALUE!</v>
      </c>
      <c r="FT114" s="300" t="e">
        <f t="shared" ca="1" si="116"/>
        <v>#VALUE!</v>
      </c>
      <c r="FU114" s="300" t="e">
        <f t="shared" ca="1" si="116"/>
        <v>#VALUE!</v>
      </c>
      <c r="FV114" s="300" t="e">
        <f t="shared" ca="1" si="116"/>
        <v>#VALUE!</v>
      </c>
      <c r="FW114" s="300" t="e">
        <f t="shared" ca="1" si="116"/>
        <v>#VALUE!</v>
      </c>
      <c r="FX114" s="300" t="e">
        <f t="shared" ca="1" si="116"/>
        <v>#VALUE!</v>
      </c>
      <c r="FY114" s="300" t="e">
        <f t="shared" ca="1" si="116"/>
        <v>#VALUE!</v>
      </c>
      <c r="FZ114" s="300" t="e">
        <f t="shared" ca="1" si="116"/>
        <v>#VALUE!</v>
      </c>
      <c r="GA114" s="301" t="e">
        <f t="shared" ca="1" si="116"/>
        <v>#VALUE!</v>
      </c>
      <c r="GB114" s="301" t="e">
        <f t="shared" ca="1" si="117"/>
        <v>#VALUE!</v>
      </c>
      <c r="GC114" s="301" t="e">
        <f t="shared" ca="1" si="117"/>
        <v>#VALUE!</v>
      </c>
      <c r="GD114" s="301" t="e">
        <f t="shared" ca="1" si="117"/>
        <v>#VALUE!</v>
      </c>
      <c r="GE114" s="301" t="e">
        <f t="shared" ca="1" si="117"/>
        <v>#VALUE!</v>
      </c>
      <c r="GF114" s="301" t="e">
        <f t="shared" ca="1" si="117"/>
        <v>#VALUE!</v>
      </c>
      <c r="GG114" s="301" t="e">
        <f t="shared" ca="1" si="117"/>
        <v>#VALUE!</v>
      </c>
      <c r="GH114" s="301" t="e">
        <f t="shared" ca="1" si="117"/>
        <v>#VALUE!</v>
      </c>
      <c r="GI114" s="301" t="e">
        <f t="shared" ca="1" si="117"/>
        <v>#VALUE!</v>
      </c>
      <c r="GJ114" s="301" t="e">
        <f t="shared" ca="1" si="117"/>
        <v>#VALUE!</v>
      </c>
      <c r="GK114" s="301" t="e">
        <f t="shared" ca="1" si="117"/>
        <v>#VALUE!</v>
      </c>
      <c r="GL114" s="301" t="e">
        <f t="shared" ca="1" si="117"/>
        <v>#VALUE!</v>
      </c>
      <c r="GM114" s="301" t="e">
        <f t="shared" ca="1" si="117"/>
        <v>#VALUE!</v>
      </c>
      <c r="GN114" s="302" t="e">
        <f t="shared" ca="1" si="117"/>
        <v>#VALUE!</v>
      </c>
      <c r="GO114" s="302" t="e">
        <f t="shared" ca="1" si="117"/>
        <v>#VALUE!</v>
      </c>
      <c r="GP114" s="301">
        <f t="shared" si="115"/>
        <v>90</v>
      </c>
      <c r="GQ114" s="301">
        <f t="shared" si="115"/>
        <v>180</v>
      </c>
      <c r="GR114" s="301">
        <f t="shared" si="115"/>
        <v>180</v>
      </c>
      <c r="GS114" s="301">
        <f t="shared" si="115"/>
        <v>180</v>
      </c>
      <c r="GT114" s="301">
        <f t="shared" si="115"/>
        <v>180</v>
      </c>
      <c r="GU114" s="303">
        <f t="shared" si="115"/>
        <v>180</v>
      </c>
      <c r="GV114" s="302">
        <f t="shared" si="115"/>
        <v>180</v>
      </c>
      <c r="GW114" s="302">
        <f t="shared" si="115"/>
        <v>135</v>
      </c>
      <c r="GX114" s="302">
        <f t="shared" si="115"/>
        <v>0</v>
      </c>
      <c r="GY114" s="302">
        <f t="shared" si="115"/>
        <v>0</v>
      </c>
      <c r="GZ114" s="302">
        <f t="shared" si="115"/>
        <v>0</v>
      </c>
      <c r="HA114" s="302">
        <f t="shared" si="115"/>
        <v>0</v>
      </c>
      <c r="HB114" s="302">
        <f t="shared" si="115"/>
        <v>0</v>
      </c>
      <c r="HC114" s="302">
        <f t="shared" si="115"/>
        <v>0</v>
      </c>
      <c r="HD114" s="302">
        <f t="shared" si="115"/>
        <v>0</v>
      </c>
      <c r="HE114" s="302">
        <f t="shared" si="115"/>
        <v>0</v>
      </c>
      <c r="HF114" s="304"/>
      <c r="HG114" s="305"/>
    </row>
    <row r="115" spans="1:215" s="306" customFormat="1" ht="14.25" customHeight="1">
      <c r="A115" s="307"/>
      <c r="B115" s="292" t="s">
        <v>445</v>
      </c>
      <c r="C115" s="292" t="s">
        <v>102</v>
      </c>
      <c r="D115" s="292" t="s">
        <v>237</v>
      </c>
      <c r="E115" s="292" t="s">
        <v>463</v>
      </c>
      <c r="F115" s="292" t="s">
        <v>186</v>
      </c>
      <c r="G115" s="292" t="s">
        <v>350</v>
      </c>
      <c r="H115" s="292" t="s">
        <v>351</v>
      </c>
      <c r="I115" s="292" t="s">
        <v>352</v>
      </c>
      <c r="J115" s="292" t="s">
        <v>186</v>
      </c>
      <c r="K115" s="292" t="s">
        <v>353</v>
      </c>
      <c r="L115" s="292" t="s">
        <v>359</v>
      </c>
      <c r="M115" s="292" t="s">
        <v>371</v>
      </c>
      <c r="N115" s="292" t="str">
        <f t="shared" si="100"/>
        <v xml:space="preserve">Data-Data </v>
      </c>
      <c r="O115" s="292" t="str">
        <f t="shared" si="101"/>
        <v>Technology-Manager-US-Consulting</v>
      </c>
      <c r="P115" s="292" t="str">
        <f t="shared" si="102"/>
        <v>Data - Technology</v>
      </c>
      <c r="Q115" s="293">
        <f t="shared" si="111"/>
        <v>1126080</v>
      </c>
      <c r="R115" s="294">
        <f t="shared" si="112"/>
        <v>146880</v>
      </c>
      <c r="S115" s="295">
        <f t="shared" si="103"/>
        <v>1160</v>
      </c>
      <c r="T115" s="295">
        <f t="shared" si="113"/>
        <v>3680</v>
      </c>
      <c r="U115" s="296" t="str">
        <f t="shared" si="104"/>
        <v>Technology - Manager</v>
      </c>
      <c r="V115" s="295" t="str">
        <f t="shared" si="105"/>
        <v>5-7 years</v>
      </c>
      <c r="W115" s="292" t="str">
        <f t="shared" si="106"/>
        <v>Onshore</v>
      </c>
      <c r="X115" s="292" t="s">
        <v>261</v>
      </c>
      <c r="Y115" s="292" t="s">
        <v>259</v>
      </c>
      <c r="Z115" s="292" t="s">
        <v>376</v>
      </c>
      <c r="AA115" s="297">
        <f>[1]Resourcing!QD119</f>
        <v>43.262</v>
      </c>
      <c r="AB115" s="298">
        <f t="shared" si="107"/>
        <v>306</v>
      </c>
      <c r="AC115" s="299"/>
      <c r="AD115" s="299"/>
      <c r="AE115" s="299"/>
      <c r="AF115" s="299"/>
      <c r="AG115" s="299"/>
      <c r="AH115" s="299"/>
      <c r="AI115" s="299"/>
      <c r="AJ115" s="299"/>
      <c r="AK115" s="299"/>
      <c r="AL115" s="299"/>
      <c r="AM115" s="299"/>
      <c r="AN115" s="299"/>
      <c r="AO115" s="299"/>
      <c r="AP115" s="299"/>
      <c r="AQ115" s="299"/>
      <c r="AR115" s="299"/>
      <c r="AS115" s="299"/>
      <c r="AT115" s="299"/>
      <c r="AU115" s="299"/>
      <c r="AV115" s="299"/>
      <c r="AW115" s="299"/>
      <c r="AX115" s="299"/>
      <c r="AY115" s="299"/>
      <c r="AZ115" s="299"/>
      <c r="BA115" s="299"/>
      <c r="BB115" s="299"/>
      <c r="BC115" s="299">
        <v>40</v>
      </c>
      <c r="BD115" s="299">
        <v>40</v>
      </c>
      <c r="BE115" s="299">
        <v>40</v>
      </c>
      <c r="BF115" s="299">
        <v>40</v>
      </c>
      <c r="BG115" s="299">
        <v>40</v>
      </c>
      <c r="BH115" s="299">
        <v>40</v>
      </c>
      <c r="BI115" s="299">
        <v>40</v>
      </c>
      <c r="BJ115" s="299">
        <v>40</v>
      </c>
      <c r="BK115" s="299">
        <v>40</v>
      </c>
      <c r="BL115" s="299">
        <v>40</v>
      </c>
      <c r="BM115" s="299">
        <v>40</v>
      </c>
      <c r="BN115" s="299">
        <v>40</v>
      </c>
      <c r="BO115" s="299">
        <v>40</v>
      </c>
      <c r="BP115" s="299">
        <v>40</v>
      </c>
      <c r="BQ115" s="299">
        <v>40</v>
      </c>
      <c r="BR115" s="299"/>
      <c r="BS115" s="299"/>
      <c r="BT115" s="299">
        <v>40</v>
      </c>
      <c r="BU115" s="299">
        <v>40</v>
      </c>
      <c r="BV115" s="299">
        <v>40</v>
      </c>
      <c r="BW115" s="299">
        <v>40</v>
      </c>
      <c r="BX115" s="299">
        <v>40</v>
      </c>
      <c r="BY115" s="299">
        <v>40</v>
      </c>
      <c r="BZ115" s="299">
        <v>40</v>
      </c>
      <c r="CA115" s="299">
        <v>40</v>
      </c>
      <c r="CB115" s="299">
        <v>40</v>
      </c>
      <c r="CC115" s="299">
        <v>40</v>
      </c>
      <c r="CD115" s="299">
        <v>40</v>
      </c>
      <c r="CE115" s="299">
        <v>40</v>
      </c>
      <c r="CF115" s="299">
        <v>40</v>
      </c>
      <c r="CG115" s="299">
        <v>40</v>
      </c>
      <c r="CH115" s="299">
        <v>40</v>
      </c>
      <c r="CI115" s="299">
        <v>40</v>
      </c>
      <c r="CJ115" s="299">
        <v>40</v>
      </c>
      <c r="CK115" s="299">
        <v>40</v>
      </c>
      <c r="CL115" s="299">
        <v>40</v>
      </c>
      <c r="CM115" s="299">
        <v>40</v>
      </c>
      <c r="CN115" s="299">
        <v>40</v>
      </c>
      <c r="CO115" s="299">
        <v>40</v>
      </c>
      <c r="CP115" s="299">
        <v>40</v>
      </c>
      <c r="CQ115" s="299">
        <v>40</v>
      </c>
      <c r="CR115" s="299">
        <v>40</v>
      </c>
      <c r="CS115" s="299">
        <v>40</v>
      </c>
      <c r="CT115" s="299">
        <v>40</v>
      </c>
      <c r="CU115" s="299">
        <v>40</v>
      </c>
      <c r="CV115" s="299">
        <v>40</v>
      </c>
      <c r="CW115" s="299">
        <v>40</v>
      </c>
      <c r="CX115" s="299">
        <v>40</v>
      </c>
      <c r="CY115" s="299">
        <v>40</v>
      </c>
      <c r="CZ115" s="299">
        <v>40</v>
      </c>
      <c r="DA115" s="299">
        <v>40</v>
      </c>
      <c r="DB115" s="299">
        <v>40</v>
      </c>
      <c r="DC115" s="299">
        <v>40</v>
      </c>
      <c r="DD115" s="299">
        <v>40</v>
      </c>
      <c r="DE115" s="299">
        <v>40</v>
      </c>
      <c r="DF115" s="299">
        <v>40</v>
      </c>
      <c r="DG115" s="299">
        <v>40</v>
      </c>
      <c r="DH115" s="299">
        <v>40</v>
      </c>
      <c r="DI115" s="299">
        <v>40</v>
      </c>
      <c r="DJ115" s="299">
        <v>40</v>
      </c>
      <c r="DK115" s="299">
        <v>40</v>
      </c>
      <c r="DL115" s="299">
        <v>40</v>
      </c>
      <c r="DM115" s="299">
        <v>40</v>
      </c>
      <c r="DN115" s="299">
        <v>40</v>
      </c>
      <c r="DO115" s="299">
        <v>40</v>
      </c>
      <c r="DP115" s="299">
        <v>40</v>
      </c>
      <c r="DQ115" s="299">
        <v>40</v>
      </c>
      <c r="DR115" s="299"/>
      <c r="DS115" s="299"/>
      <c r="DT115" s="299">
        <v>40</v>
      </c>
      <c r="DU115" s="299">
        <v>40</v>
      </c>
      <c r="DV115" s="299">
        <v>40</v>
      </c>
      <c r="DW115" s="299">
        <v>40</v>
      </c>
      <c r="DX115" s="299">
        <v>40</v>
      </c>
      <c r="DY115" s="299">
        <v>40</v>
      </c>
      <c r="DZ115" s="299">
        <v>40</v>
      </c>
      <c r="EA115" s="299">
        <v>40</v>
      </c>
      <c r="EB115" s="299">
        <v>40</v>
      </c>
      <c r="EC115" s="299">
        <v>40</v>
      </c>
      <c r="ED115" s="299">
        <v>40</v>
      </c>
      <c r="EE115" s="299">
        <v>40</v>
      </c>
      <c r="EF115" s="299">
        <v>40</v>
      </c>
      <c r="EG115" s="299">
        <v>40</v>
      </c>
      <c r="EH115" s="299">
        <v>40</v>
      </c>
      <c r="EI115" s="299">
        <v>40</v>
      </c>
      <c r="EJ115" s="299">
        <v>40</v>
      </c>
      <c r="EK115" s="299">
        <v>40</v>
      </c>
      <c r="EL115" s="299">
        <v>40</v>
      </c>
      <c r="EM115" s="299">
        <v>40</v>
      </c>
      <c r="EN115" s="299">
        <v>40</v>
      </c>
      <c r="EO115" s="299">
        <v>40</v>
      </c>
      <c r="EP115" s="299">
        <v>40</v>
      </c>
      <c r="EQ115" s="299">
        <v>40</v>
      </c>
      <c r="ER115" s="299">
        <v>40</v>
      </c>
      <c r="ES115" s="299">
        <v>40</v>
      </c>
      <c r="ET115" s="299">
        <v>40</v>
      </c>
      <c r="EU115" s="299"/>
      <c r="EV115" s="299"/>
      <c r="EW115" s="299"/>
      <c r="EX115" s="299"/>
      <c r="EY115" s="299"/>
      <c r="EZ115" s="299"/>
      <c r="FA115" s="299"/>
      <c r="FB115" s="299"/>
      <c r="FC115" s="299"/>
      <c r="FD115" s="299"/>
      <c r="FE115" s="299"/>
      <c r="FF115" s="299"/>
      <c r="FG115" s="299"/>
      <c r="FH115" s="299"/>
      <c r="FI115" s="299"/>
      <c r="FJ115" s="299"/>
      <c r="FK115" s="299"/>
      <c r="FL115" s="299"/>
      <c r="FM115" s="299"/>
      <c r="FN115" s="299"/>
      <c r="FO115" s="299"/>
      <c r="FP115" s="299"/>
      <c r="FQ115" s="300" t="e">
        <f t="shared" ca="1" si="114"/>
        <v>#VALUE!</v>
      </c>
      <c r="FR115" s="300" t="e">
        <f t="shared" ca="1" si="116"/>
        <v>#VALUE!</v>
      </c>
      <c r="FS115" s="300" t="e">
        <f t="shared" ca="1" si="116"/>
        <v>#VALUE!</v>
      </c>
      <c r="FT115" s="300" t="e">
        <f t="shared" ca="1" si="116"/>
        <v>#VALUE!</v>
      </c>
      <c r="FU115" s="300" t="e">
        <f t="shared" ca="1" si="116"/>
        <v>#VALUE!</v>
      </c>
      <c r="FV115" s="300" t="e">
        <f t="shared" ca="1" si="116"/>
        <v>#VALUE!</v>
      </c>
      <c r="FW115" s="300" t="e">
        <f t="shared" ca="1" si="116"/>
        <v>#VALUE!</v>
      </c>
      <c r="FX115" s="300" t="e">
        <f t="shared" ca="1" si="116"/>
        <v>#VALUE!</v>
      </c>
      <c r="FY115" s="300" t="e">
        <f t="shared" ca="1" si="116"/>
        <v>#VALUE!</v>
      </c>
      <c r="FZ115" s="300" t="e">
        <f t="shared" ca="1" si="116"/>
        <v>#VALUE!</v>
      </c>
      <c r="GA115" s="301" t="e">
        <f t="shared" ca="1" si="116"/>
        <v>#VALUE!</v>
      </c>
      <c r="GB115" s="301" t="e">
        <f t="shared" ca="1" si="117"/>
        <v>#VALUE!</v>
      </c>
      <c r="GC115" s="301" t="e">
        <f t="shared" ca="1" si="117"/>
        <v>#VALUE!</v>
      </c>
      <c r="GD115" s="301" t="e">
        <f t="shared" ca="1" si="117"/>
        <v>#VALUE!</v>
      </c>
      <c r="GE115" s="301" t="e">
        <f t="shared" ca="1" si="117"/>
        <v>#VALUE!</v>
      </c>
      <c r="GF115" s="301" t="e">
        <f t="shared" ca="1" si="117"/>
        <v>#VALUE!</v>
      </c>
      <c r="GG115" s="301" t="e">
        <f t="shared" ca="1" si="117"/>
        <v>#VALUE!</v>
      </c>
      <c r="GH115" s="301" t="e">
        <f t="shared" ca="1" si="117"/>
        <v>#VALUE!</v>
      </c>
      <c r="GI115" s="301" t="e">
        <f t="shared" ca="1" si="117"/>
        <v>#VALUE!</v>
      </c>
      <c r="GJ115" s="301" t="e">
        <f t="shared" ca="1" si="117"/>
        <v>#VALUE!</v>
      </c>
      <c r="GK115" s="301" t="e">
        <f t="shared" ca="1" si="117"/>
        <v>#VALUE!</v>
      </c>
      <c r="GL115" s="301" t="e">
        <f t="shared" ca="1" si="117"/>
        <v>#VALUE!</v>
      </c>
      <c r="GM115" s="301" t="e">
        <f t="shared" ca="1" si="117"/>
        <v>#VALUE!</v>
      </c>
      <c r="GN115" s="302" t="e">
        <f t="shared" ca="1" si="117"/>
        <v>#VALUE!</v>
      </c>
      <c r="GO115" s="302" t="e">
        <f t="shared" ca="1" si="117"/>
        <v>#VALUE!</v>
      </c>
      <c r="GP115" s="301">
        <f t="shared" si="115"/>
        <v>80</v>
      </c>
      <c r="GQ115" s="301">
        <f t="shared" si="115"/>
        <v>160</v>
      </c>
      <c r="GR115" s="301">
        <f t="shared" si="115"/>
        <v>160</v>
      </c>
      <c r="GS115" s="301">
        <f t="shared" si="115"/>
        <v>160</v>
      </c>
      <c r="GT115" s="301">
        <f t="shared" si="115"/>
        <v>160</v>
      </c>
      <c r="GU115" s="303">
        <f t="shared" si="115"/>
        <v>160</v>
      </c>
      <c r="GV115" s="302">
        <f t="shared" si="115"/>
        <v>160</v>
      </c>
      <c r="GW115" s="302">
        <f t="shared" si="115"/>
        <v>120</v>
      </c>
      <c r="GX115" s="302">
        <f t="shared" si="115"/>
        <v>0</v>
      </c>
      <c r="GY115" s="302">
        <f t="shared" si="115"/>
        <v>0</v>
      </c>
      <c r="GZ115" s="302">
        <f t="shared" si="115"/>
        <v>0</v>
      </c>
      <c r="HA115" s="302">
        <f t="shared" si="115"/>
        <v>0</v>
      </c>
      <c r="HB115" s="302">
        <f t="shared" si="115"/>
        <v>0</v>
      </c>
      <c r="HC115" s="302">
        <f t="shared" si="115"/>
        <v>0</v>
      </c>
      <c r="HD115" s="302">
        <f t="shared" si="115"/>
        <v>0</v>
      </c>
      <c r="HE115" s="302">
        <f t="shared" si="115"/>
        <v>0</v>
      </c>
      <c r="HF115" s="304"/>
      <c r="HG115" s="305"/>
    </row>
    <row r="116" spans="1:215" s="306" customFormat="1" ht="15.75" customHeight="1">
      <c r="A116" s="307"/>
      <c r="B116" s="292" t="s">
        <v>445</v>
      </c>
      <c r="C116" s="292" t="s">
        <v>102</v>
      </c>
      <c r="D116" s="292" t="s">
        <v>102</v>
      </c>
      <c r="E116" s="292" t="s">
        <v>464</v>
      </c>
      <c r="F116" s="292" t="s">
        <v>184</v>
      </c>
      <c r="G116" s="292" t="s">
        <v>350</v>
      </c>
      <c r="H116" s="292" t="s">
        <v>351</v>
      </c>
      <c r="I116" s="292" t="s">
        <v>352</v>
      </c>
      <c r="J116" s="292" t="s">
        <v>184</v>
      </c>
      <c r="K116" s="292" t="s">
        <v>353</v>
      </c>
      <c r="L116" s="292" t="s">
        <v>359</v>
      </c>
      <c r="M116" s="292" t="s">
        <v>374</v>
      </c>
      <c r="N116" s="292" t="str">
        <f t="shared" si="100"/>
        <v>Data-Data</v>
      </c>
      <c r="O116" s="292" t="str">
        <f t="shared" si="101"/>
        <v>Technology-Senior Consultant-India-Consulting</v>
      </c>
      <c r="P116" s="292" t="str">
        <f t="shared" si="102"/>
        <v>Data - Technology</v>
      </c>
      <c r="Q116" s="293">
        <f t="shared" si="111"/>
        <v>293940</v>
      </c>
      <c r="R116" s="294">
        <f t="shared" si="112"/>
        <v>38340</v>
      </c>
      <c r="S116" s="295">
        <f t="shared" si="103"/>
        <v>1305</v>
      </c>
      <c r="T116" s="295">
        <f t="shared" si="113"/>
        <v>4140</v>
      </c>
      <c r="U116" s="296" t="str">
        <f t="shared" si="104"/>
        <v>Technology - Senior Consultant</v>
      </c>
      <c r="V116" s="295" t="str">
        <f t="shared" si="105"/>
        <v>3-5 years</v>
      </c>
      <c r="W116" s="292" t="str">
        <f t="shared" si="106"/>
        <v>Offshore</v>
      </c>
      <c r="X116" s="292" t="s">
        <v>261</v>
      </c>
      <c r="Y116" s="292" t="s">
        <v>259</v>
      </c>
      <c r="Z116" s="292" t="s">
        <v>364</v>
      </c>
      <c r="AA116" s="297">
        <f>[1]Resourcing!QD120</f>
        <v>85.652857142857101</v>
      </c>
      <c r="AB116" s="298">
        <f t="shared" si="107"/>
        <v>71</v>
      </c>
      <c r="AC116" s="299"/>
      <c r="AD116" s="299"/>
      <c r="AE116" s="299"/>
      <c r="AF116" s="299"/>
      <c r="AG116" s="299"/>
      <c r="AH116" s="299"/>
      <c r="AI116" s="299"/>
      <c r="AJ116" s="299"/>
      <c r="AK116" s="299"/>
      <c r="AL116" s="299"/>
      <c r="AM116" s="299"/>
      <c r="AN116" s="299"/>
      <c r="AO116" s="299"/>
      <c r="AP116" s="299"/>
      <c r="AQ116" s="299"/>
      <c r="AR116" s="299"/>
      <c r="AS116" s="299"/>
      <c r="AT116" s="299"/>
      <c r="AU116" s="299"/>
      <c r="AV116" s="299"/>
      <c r="AW116" s="299"/>
      <c r="AX116" s="299"/>
      <c r="AY116" s="299"/>
      <c r="AZ116" s="299"/>
      <c r="BA116" s="299"/>
      <c r="BB116" s="299"/>
      <c r="BC116" s="299">
        <v>45</v>
      </c>
      <c r="BD116" s="299">
        <v>45</v>
      </c>
      <c r="BE116" s="299">
        <v>45</v>
      </c>
      <c r="BF116" s="299">
        <v>45</v>
      </c>
      <c r="BG116" s="299">
        <v>45</v>
      </c>
      <c r="BH116" s="299">
        <v>45</v>
      </c>
      <c r="BI116" s="299">
        <v>45</v>
      </c>
      <c r="BJ116" s="299">
        <v>45</v>
      </c>
      <c r="BK116" s="299">
        <v>45</v>
      </c>
      <c r="BL116" s="299">
        <v>45</v>
      </c>
      <c r="BM116" s="299">
        <v>45</v>
      </c>
      <c r="BN116" s="299">
        <v>45</v>
      </c>
      <c r="BO116" s="299">
        <v>45</v>
      </c>
      <c r="BP116" s="299">
        <v>45</v>
      </c>
      <c r="BQ116" s="299">
        <v>45</v>
      </c>
      <c r="BR116" s="299"/>
      <c r="BS116" s="299"/>
      <c r="BT116" s="299">
        <v>45</v>
      </c>
      <c r="BU116" s="299">
        <v>45</v>
      </c>
      <c r="BV116" s="299">
        <v>45</v>
      </c>
      <c r="BW116" s="299">
        <v>45</v>
      </c>
      <c r="BX116" s="299">
        <v>45</v>
      </c>
      <c r="BY116" s="299">
        <v>45</v>
      </c>
      <c r="BZ116" s="299">
        <v>45</v>
      </c>
      <c r="CA116" s="299">
        <v>45</v>
      </c>
      <c r="CB116" s="299">
        <v>45</v>
      </c>
      <c r="CC116" s="299">
        <v>45</v>
      </c>
      <c r="CD116" s="299">
        <v>45</v>
      </c>
      <c r="CE116" s="299">
        <v>45</v>
      </c>
      <c r="CF116" s="299">
        <v>45</v>
      </c>
      <c r="CG116" s="299">
        <v>45</v>
      </c>
      <c r="CH116" s="299">
        <v>45</v>
      </c>
      <c r="CI116" s="299">
        <v>45</v>
      </c>
      <c r="CJ116" s="299">
        <v>45</v>
      </c>
      <c r="CK116" s="299">
        <v>45</v>
      </c>
      <c r="CL116" s="299">
        <v>45</v>
      </c>
      <c r="CM116" s="299">
        <v>45</v>
      </c>
      <c r="CN116" s="299">
        <v>45</v>
      </c>
      <c r="CO116" s="299">
        <v>45</v>
      </c>
      <c r="CP116" s="299">
        <v>45</v>
      </c>
      <c r="CQ116" s="299">
        <v>45</v>
      </c>
      <c r="CR116" s="299">
        <v>45</v>
      </c>
      <c r="CS116" s="299">
        <v>45</v>
      </c>
      <c r="CT116" s="299">
        <v>45</v>
      </c>
      <c r="CU116" s="299">
        <v>45</v>
      </c>
      <c r="CV116" s="299">
        <v>45</v>
      </c>
      <c r="CW116" s="299">
        <v>45</v>
      </c>
      <c r="CX116" s="299">
        <v>45</v>
      </c>
      <c r="CY116" s="299">
        <v>45</v>
      </c>
      <c r="CZ116" s="299">
        <v>45</v>
      </c>
      <c r="DA116" s="299">
        <v>45</v>
      </c>
      <c r="DB116" s="299">
        <v>45</v>
      </c>
      <c r="DC116" s="299">
        <v>45</v>
      </c>
      <c r="DD116" s="299">
        <v>45</v>
      </c>
      <c r="DE116" s="299">
        <v>45</v>
      </c>
      <c r="DF116" s="299">
        <v>45</v>
      </c>
      <c r="DG116" s="299">
        <v>45</v>
      </c>
      <c r="DH116" s="299">
        <v>45</v>
      </c>
      <c r="DI116" s="299">
        <v>45</v>
      </c>
      <c r="DJ116" s="299">
        <v>45</v>
      </c>
      <c r="DK116" s="299">
        <v>45</v>
      </c>
      <c r="DL116" s="299">
        <v>45</v>
      </c>
      <c r="DM116" s="299">
        <v>45</v>
      </c>
      <c r="DN116" s="299">
        <v>45</v>
      </c>
      <c r="DO116" s="299">
        <v>45</v>
      </c>
      <c r="DP116" s="299">
        <v>45</v>
      </c>
      <c r="DQ116" s="299">
        <v>45</v>
      </c>
      <c r="DR116" s="299"/>
      <c r="DS116" s="299"/>
      <c r="DT116" s="299">
        <v>45</v>
      </c>
      <c r="DU116" s="299">
        <v>45</v>
      </c>
      <c r="DV116" s="299">
        <v>45</v>
      </c>
      <c r="DW116" s="299">
        <v>45</v>
      </c>
      <c r="DX116" s="299">
        <v>45</v>
      </c>
      <c r="DY116" s="299">
        <v>45</v>
      </c>
      <c r="DZ116" s="299">
        <v>45</v>
      </c>
      <c r="EA116" s="299">
        <v>45</v>
      </c>
      <c r="EB116" s="299">
        <v>45</v>
      </c>
      <c r="EC116" s="299">
        <v>45</v>
      </c>
      <c r="ED116" s="299">
        <v>45</v>
      </c>
      <c r="EE116" s="299">
        <v>45</v>
      </c>
      <c r="EF116" s="299">
        <v>45</v>
      </c>
      <c r="EG116" s="299">
        <v>45</v>
      </c>
      <c r="EH116" s="299">
        <v>45</v>
      </c>
      <c r="EI116" s="299">
        <v>45</v>
      </c>
      <c r="EJ116" s="299">
        <v>45</v>
      </c>
      <c r="EK116" s="299">
        <v>45</v>
      </c>
      <c r="EL116" s="299">
        <v>45</v>
      </c>
      <c r="EM116" s="299">
        <v>45</v>
      </c>
      <c r="EN116" s="299">
        <v>45</v>
      </c>
      <c r="EO116" s="299">
        <v>45</v>
      </c>
      <c r="EP116" s="299">
        <v>45</v>
      </c>
      <c r="EQ116" s="299">
        <v>45</v>
      </c>
      <c r="ER116" s="299">
        <v>45</v>
      </c>
      <c r="ES116" s="299">
        <v>45</v>
      </c>
      <c r="ET116" s="299">
        <v>45</v>
      </c>
      <c r="EU116" s="299"/>
      <c r="EV116" s="299"/>
      <c r="EW116" s="299"/>
      <c r="EX116" s="299"/>
      <c r="EY116" s="299"/>
      <c r="EZ116" s="299"/>
      <c r="FA116" s="299"/>
      <c r="FB116" s="299"/>
      <c r="FC116" s="299"/>
      <c r="FD116" s="299"/>
      <c r="FE116" s="299"/>
      <c r="FF116" s="299"/>
      <c r="FG116" s="299"/>
      <c r="FH116" s="299"/>
      <c r="FI116" s="299"/>
      <c r="FJ116" s="299"/>
      <c r="FK116" s="299"/>
      <c r="FL116" s="299"/>
      <c r="FM116" s="299"/>
      <c r="FN116" s="299"/>
      <c r="FO116" s="299"/>
      <c r="FP116" s="299"/>
      <c r="FQ116" s="300" t="e">
        <f t="shared" ca="1" si="114"/>
        <v>#VALUE!</v>
      </c>
      <c r="FR116" s="300" t="e">
        <f t="shared" ca="1" si="116"/>
        <v>#VALUE!</v>
      </c>
      <c r="FS116" s="300" t="e">
        <f t="shared" ca="1" si="116"/>
        <v>#VALUE!</v>
      </c>
      <c r="FT116" s="300" t="e">
        <f t="shared" ca="1" si="116"/>
        <v>#VALUE!</v>
      </c>
      <c r="FU116" s="300" t="e">
        <f t="shared" ca="1" si="116"/>
        <v>#VALUE!</v>
      </c>
      <c r="FV116" s="300" t="e">
        <f t="shared" ca="1" si="116"/>
        <v>#VALUE!</v>
      </c>
      <c r="FW116" s="300" t="e">
        <f t="shared" ca="1" si="116"/>
        <v>#VALUE!</v>
      </c>
      <c r="FX116" s="300" t="e">
        <f t="shared" ca="1" si="116"/>
        <v>#VALUE!</v>
      </c>
      <c r="FY116" s="300" t="e">
        <f t="shared" ca="1" si="116"/>
        <v>#VALUE!</v>
      </c>
      <c r="FZ116" s="300" t="e">
        <f t="shared" ca="1" si="116"/>
        <v>#VALUE!</v>
      </c>
      <c r="GA116" s="301" t="e">
        <f t="shared" ca="1" si="116"/>
        <v>#VALUE!</v>
      </c>
      <c r="GB116" s="301" t="e">
        <f t="shared" ca="1" si="117"/>
        <v>#VALUE!</v>
      </c>
      <c r="GC116" s="301" t="e">
        <f t="shared" ca="1" si="117"/>
        <v>#VALUE!</v>
      </c>
      <c r="GD116" s="301" t="e">
        <f t="shared" ca="1" si="117"/>
        <v>#VALUE!</v>
      </c>
      <c r="GE116" s="301" t="e">
        <f t="shared" ca="1" si="117"/>
        <v>#VALUE!</v>
      </c>
      <c r="GF116" s="301" t="e">
        <f t="shared" ca="1" si="117"/>
        <v>#VALUE!</v>
      </c>
      <c r="GG116" s="301" t="e">
        <f t="shared" ca="1" si="117"/>
        <v>#VALUE!</v>
      </c>
      <c r="GH116" s="301" t="e">
        <f t="shared" ca="1" si="117"/>
        <v>#VALUE!</v>
      </c>
      <c r="GI116" s="301" t="e">
        <f t="shared" ca="1" si="117"/>
        <v>#VALUE!</v>
      </c>
      <c r="GJ116" s="301" t="e">
        <f t="shared" ca="1" si="117"/>
        <v>#VALUE!</v>
      </c>
      <c r="GK116" s="301" t="e">
        <f t="shared" ca="1" si="117"/>
        <v>#VALUE!</v>
      </c>
      <c r="GL116" s="301" t="e">
        <f t="shared" ca="1" si="117"/>
        <v>#VALUE!</v>
      </c>
      <c r="GM116" s="301" t="e">
        <f t="shared" ca="1" si="117"/>
        <v>#VALUE!</v>
      </c>
      <c r="GN116" s="302" t="e">
        <f t="shared" ca="1" si="117"/>
        <v>#VALUE!</v>
      </c>
      <c r="GO116" s="302" t="e">
        <f t="shared" ca="1" si="117"/>
        <v>#VALUE!</v>
      </c>
      <c r="GP116" s="301">
        <f t="shared" si="115"/>
        <v>90</v>
      </c>
      <c r="GQ116" s="301">
        <f t="shared" si="115"/>
        <v>180</v>
      </c>
      <c r="GR116" s="301">
        <f t="shared" si="115"/>
        <v>180</v>
      </c>
      <c r="GS116" s="301">
        <f t="shared" si="115"/>
        <v>180</v>
      </c>
      <c r="GT116" s="301">
        <f t="shared" si="115"/>
        <v>180</v>
      </c>
      <c r="GU116" s="303">
        <f t="shared" si="115"/>
        <v>180</v>
      </c>
      <c r="GV116" s="302">
        <f t="shared" si="115"/>
        <v>180</v>
      </c>
      <c r="GW116" s="302">
        <f t="shared" si="115"/>
        <v>135</v>
      </c>
      <c r="GX116" s="302">
        <f t="shared" si="115"/>
        <v>0</v>
      </c>
      <c r="GY116" s="302">
        <f t="shared" si="115"/>
        <v>0</v>
      </c>
      <c r="GZ116" s="302">
        <f t="shared" si="115"/>
        <v>0</v>
      </c>
      <c r="HA116" s="302">
        <f t="shared" si="115"/>
        <v>0</v>
      </c>
      <c r="HB116" s="302">
        <f t="shared" si="115"/>
        <v>0</v>
      </c>
      <c r="HC116" s="302">
        <f t="shared" si="115"/>
        <v>0</v>
      </c>
      <c r="HD116" s="302">
        <f t="shared" si="115"/>
        <v>0</v>
      </c>
      <c r="HE116" s="302">
        <f t="shared" si="115"/>
        <v>0</v>
      </c>
      <c r="HF116" s="304"/>
      <c r="HG116" s="305"/>
    </row>
    <row r="117" spans="1:215" s="306" customFormat="1" ht="14.25" customHeight="1">
      <c r="A117" s="307"/>
      <c r="B117" s="292" t="s">
        <v>348</v>
      </c>
      <c r="C117" s="292" t="s">
        <v>102</v>
      </c>
      <c r="D117" s="292" t="s">
        <v>102</v>
      </c>
      <c r="E117" s="292" t="s">
        <v>465</v>
      </c>
      <c r="F117" s="292" t="s">
        <v>184</v>
      </c>
      <c r="G117" s="292" t="s">
        <v>350</v>
      </c>
      <c r="H117" s="292" t="s">
        <v>351</v>
      </c>
      <c r="I117" s="292" t="s">
        <v>352</v>
      </c>
      <c r="J117" s="292" t="s">
        <v>184</v>
      </c>
      <c r="K117" s="292" t="s">
        <v>353</v>
      </c>
      <c r="L117" s="292" t="s">
        <v>359</v>
      </c>
      <c r="M117" s="292" t="s">
        <v>367</v>
      </c>
      <c r="N117" s="292" t="str">
        <f t="shared" si="100"/>
        <v>Data-Data</v>
      </c>
      <c r="O117" s="292" t="str">
        <f t="shared" si="101"/>
        <v>Technology-Consultant-India-Consulting</v>
      </c>
      <c r="P117" s="292" t="str">
        <f t="shared" si="102"/>
        <v>Data - Technology</v>
      </c>
      <c r="Q117" s="293">
        <f t="shared" si="111"/>
        <v>221400</v>
      </c>
      <c r="R117" s="294">
        <f t="shared" si="112"/>
        <v>5400</v>
      </c>
      <c r="S117" s="295" t="e">
        <f t="shared" ca="1" si="103"/>
        <v>#VALUE!</v>
      </c>
      <c r="T117" s="295">
        <f t="shared" si="113"/>
        <v>3690</v>
      </c>
      <c r="U117" s="296" t="str">
        <f t="shared" si="104"/>
        <v>Technology - Consultant</v>
      </c>
      <c r="V117" s="295" t="str">
        <f t="shared" si="105"/>
        <v>1-3 years</v>
      </c>
      <c r="W117" s="292" t="str">
        <f t="shared" si="106"/>
        <v>Offshore</v>
      </c>
      <c r="X117" s="292" t="s">
        <v>261</v>
      </c>
      <c r="Y117" s="292" t="s">
        <v>259</v>
      </c>
      <c r="Z117" s="292" t="s">
        <v>368</v>
      </c>
      <c r="AA117" s="297">
        <f>[1]Resourcing!QD121</f>
        <v>62.8065</v>
      </c>
      <c r="AB117" s="298">
        <f t="shared" si="107"/>
        <v>60</v>
      </c>
      <c r="AC117" s="299"/>
      <c r="AD117" s="299"/>
      <c r="AE117" s="299"/>
      <c r="AF117" s="299"/>
      <c r="AG117" s="299"/>
      <c r="AH117" s="299"/>
      <c r="AI117" s="299"/>
      <c r="AJ117" s="299"/>
      <c r="AK117" s="299"/>
      <c r="AL117" s="299"/>
      <c r="AM117" s="299"/>
      <c r="AN117" s="299"/>
      <c r="AO117" s="299"/>
      <c r="AP117" s="299"/>
      <c r="AQ117" s="299"/>
      <c r="AR117" s="299"/>
      <c r="AS117" s="299"/>
      <c r="AT117" s="299"/>
      <c r="AU117" s="299"/>
      <c r="AV117" s="299"/>
      <c r="AW117" s="299"/>
      <c r="AX117" s="299"/>
      <c r="AY117" s="299"/>
      <c r="AZ117" s="299"/>
      <c r="BA117" s="299"/>
      <c r="BB117" s="299"/>
      <c r="BC117" s="299"/>
      <c r="BD117" s="299"/>
      <c r="BE117" s="299"/>
      <c r="BF117" s="299"/>
      <c r="BG117" s="299"/>
      <c r="BH117" s="299"/>
      <c r="BI117" s="299"/>
      <c r="BJ117" s="299"/>
      <c r="BK117" s="299"/>
      <c r="BL117" s="299"/>
      <c r="BM117" s="299">
        <v>45</v>
      </c>
      <c r="BN117" s="299">
        <v>45</v>
      </c>
      <c r="BO117" s="299">
        <v>45</v>
      </c>
      <c r="BP117" s="299">
        <v>45</v>
      </c>
      <c r="BQ117" s="299">
        <v>45</v>
      </c>
      <c r="BR117" s="299"/>
      <c r="BS117" s="299"/>
      <c r="BT117" s="299">
        <v>45</v>
      </c>
      <c r="BU117" s="299">
        <v>45</v>
      </c>
      <c r="BV117" s="299">
        <v>45</v>
      </c>
      <c r="BW117" s="299">
        <v>45</v>
      </c>
      <c r="BX117" s="299">
        <v>45</v>
      </c>
      <c r="BY117" s="299">
        <v>45</v>
      </c>
      <c r="BZ117" s="299">
        <v>45</v>
      </c>
      <c r="CA117" s="299">
        <v>45</v>
      </c>
      <c r="CB117" s="299">
        <v>45</v>
      </c>
      <c r="CC117" s="299">
        <v>45</v>
      </c>
      <c r="CD117" s="299">
        <v>45</v>
      </c>
      <c r="CE117" s="299">
        <v>45</v>
      </c>
      <c r="CF117" s="299">
        <v>45</v>
      </c>
      <c r="CG117" s="299">
        <v>45</v>
      </c>
      <c r="CH117" s="299">
        <v>45</v>
      </c>
      <c r="CI117" s="299">
        <v>45</v>
      </c>
      <c r="CJ117" s="299">
        <v>45</v>
      </c>
      <c r="CK117" s="299">
        <v>45</v>
      </c>
      <c r="CL117" s="299">
        <v>45</v>
      </c>
      <c r="CM117" s="299">
        <v>45</v>
      </c>
      <c r="CN117" s="299">
        <v>45</v>
      </c>
      <c r="CO117" s="299">
        <v>45</v>
      </c>
      <c r="CP117" s="299">
        <v>45</v>
      </c>
      <c r="CQ117" s="299">
        <v>45</v>
      </c>
      <c r="CR117" s="299">
        <v>45</v>
      </c>
      <c r="CS117" s="299">
        <v>45</v>
      </c>
      <c r="CT117" s="299">
        <v>45</v>
      </c>
      <c r="CU117" s="299">
        <v>45</v>
      </c>
      <c r="CV117" s="299">
        <v>45</v>
      </c>
      <c r="CW117" s="299">
        <v>45</v>
      </c>
      <c r="CX117" s="299">
        <v>45</v>
      </c>
      <c r="CY117" s="299">
        <v>45</v>
      </c>
      <c r="CZ117" s="299">
        <v>45</v>
      </c>
      <c r="DA117" s="299">
        <v>45</v>
      </c>
      <c r="DB117" s="299">
        <v>45</v>
      </c>
      <c r="DC117" s="299">
        <v>45</v>
      </c>
      <c r="DD117" s="299">
        <v>45</v>
      </c>
      <c r="DE117" s="299">
        <v>45</v>
      </c>
      <c r="DF117" s="299">
        <v>45</v>
      </c>
      <c r="DG117" s="299">
        <v>45</v>
      </c>
      <c r="DH117" s="299">
        <v>45</v>
      </c>
      <c r="DI117" s="299">
        <v>45</v>
      </c>
      <c r="DJ117" s="299">
        <v>45</v>
      </c>
      <c r="DK117" s="299">
        <v>45</v>
      </c>
      <c r="DL117" s="299">
        <v>45</v>
      </c>
      <c r="DM117" s="299">
        <v>45</v>
      </c>
      <c r="DN117" s="299">
        <v>45</v>
      </c>
      <c r="DO117" s="299">
        <v>45</v>
      </c>
      <c r="DP117" s="299">
        <v>45</v>
      </c>
      <c r="DQ117" s="299">
        <v>45</v>
      </c>
      <c r="DR117" s="299"/>
      <c r="DS117" s="299"/>
      <c r="DT117" s="299">
        <v>45</v>
      </c>
      <c r="DU117" s="299">
        <v>45</v>
      </c>
      <c r="DV117" s="299">
        <v>45</v>
      </c>
      <c r="DW117" s="299">
        <v>45</v>
      </c>
      <c r="DX117" s="299">
        <v>45</v>
      </c>
      <c r="DY117" s="299">
        <v>45</v>
      </c>
      <c r="DZ117" s="299">
        <v>45</v>
      </c>
      <c r="EA117" s="299">
        <v>45</v>
      </c>
      <c r="EB117" s="299">
        <v>45</v>
      </c>
      <c r="EC117" s="299">
        <v>45</v>
      </c>
      <c r="ED117" s="299">
        <v>45</v>
      </c>
      <c r="EE117" s="299">
        <v>45</v>
      </c>
      <c r="EF117" s="299">
        <v>45</v>
      </c>
      <c r="EG117" s="299">
        <v>45</v>
      </c>
      <c r="EH117" s="299">
        <v>45</v>
      </c>
      <c r="EI117" s="299">
        <v>45</v>
      </c>
      <c r="EJ117" s="299">
        <v>45</v>
      </c>
      <c r="EK117" s="299">
        <v>45</v>
      </c>
      <c r="EL117" s="299">
        <v>45</v>
      </c>
      <c r="EM117" s="299">
        <v>45</v>
      </c>
      <c r="EN117" s="299">
        <v>45</v>
      </c>
      <c r="EO117" s="299">
        <v>45</v>
      </c>
      <c r="EP117" s="299">
        <v>45</v>
      </c>
      <c r="EQ117" s="299">
        <v>45</v>
      </c>
      <c r="ER117" s="299">
        <v>45</v>
      </c>
      <c r="ES117" s="299">
        <v>45</v>
      </c>
      <c r="ET117" s="299">
        <v>45</v>
      </c>
      <c r="EU117" s="299"/>
      <c r="EV117" s="299"/>
      <c r="EW117" s="299"/>
      <c r="EX117" s="299"/>
      <c r="EY117" s="299"/>
      <c r="EZ117" s="299"/>
      <c r="FA117" s="299"/>
      <c r="FB117" s="299"/>
      <c r="FC117" s="299"/>
      <c r="FD117" s="299"/>
      <c r="FE117" s="299"/>
      <c r="FF117" s="299"/>
      <c r="FG117" s="299"/>
      <c r="FH117" s="299"/>
      <c r="FI117" s="299"/>
      <c r="FJ117" s="299"/>
      <c r="FK117" s="299"/>
      <c r="FL117" s="299"/>
      <c r="FM117" s="299"/>
      <c r="FN117" s="299"/>
      <c r="FO117" s="299"/>
      <c r="FP117" s="299"/>
      <c r="FQ117" s="300" t="e">
        <f t="shared" ca="1" si="114"/>
        <v>#VALUE!</v>
      </c>
      <c r="FR117" s="300" t="e">
        <f t="shared" ca="1" si="116"/>
        <v>#VALUE!</v>
      </c>
      <c r="FS117" s="300" t="e">
        <f t="shared" ca="1" si="116"/>
        <v>#VALUE!</v>
      </c>
      <c r="FT117" s="300" t="e">
        <f t="shared" ca="1" si="116"/>
        <v>#VALUE!</v>
      </c>
      <c r="FU117" s="300" t="e">
        <f t="shared" ca="1" si="116"/>
        <v>#VALUE!</v>
      </c>
      <c r="FV117" s="300" t="e">
        <f t="shared" ca="1" si="116"/>
        <v>#VALUE!</v>
      </c>
      <c r="FW117" s="300" t="e">
        <f t="shared" ca="1" si="116"/>
        <v>#VALUE!</v>
      </c>
      <c r="FX117" s="300" t="e">
        <f t="shared" ca="1" si="116"/>
        <v>#VALUE!</v>
      </c>
      <c r="FY117" s="300" t="e">
        <f t="shared" ca="1" si="116"/>
        <v>#VALUE!</v>
      </c>
      <c r="FZ117" s="300" t="e">
        <f t="shared" ca="1" si="116"/>
        <v>#VALUE!</v>
      </c>
      <c r="GA117" s="301" t="e">
        <f t="shared" ca="1" si="116"/>
        <v>#VALUE!</v>
      </c>
      <c r="GB117" s="301" t="e">
        <f t="shared" ca="1" si="117"/>
        <v>#VALUE!</v>
      </c>
      <c r="GC117" s="301" t="e">
        <f t="shared" ca="1" si="117"/>
        <v>#VALUE!</v>
      </c>
      <c r="GD117" s="301" t="e">
        <f t="shared" ca="1" si="117"/>
        <v>#VALUE!</v>
      </c>
      <c r="GE117" s="301" t="e">
        <f t="shared" ca="1" si="117"/>
        <v>#VALUE!</v>
      </c>
      <c r="GF117" s="301" t="e">
        <f t="shared" ca="1" si="117"/>
        <v>#VALUE!</v>
      </c>
      <c r="GG117" s="301" t="e">
        <f t="shared" ca="1" si="117"/>
        <v>#VALUE!</v>
      </c>
      <c r="GH117" s="301" t="e">
        <f t="shared" ca="1" si="117"/>
        <v>#VALUE!</v>
      </c>
      <c r="GI117" s="301" t="e">
        <f t="shared" ca="1" si="117"/>
        <v>#VALUE!</v>
      </c>
      <c r="GJ117" s="301" t="e">
        <f t="shared" ca="1" si="117"/>
        <v>#VALUE!</v>
      </c>
      <c r="GK117" s="301" t="e">
        <f t="shared" ca="1" si="117"/>
        <v>#VALUE!</v>
      </c>
      <c r="GL117" s="301" t="e">
        <f t="shared" ca="1" si="117"/>
        <v>#VALUE!</v>
      </c>
      <c r="GM117" s="301" t="e">
        <f t="shared" ca="1" si="117"/>
        <v>#VALUE!</v>
      </c>
      <c r="GN117" s="302" t="e">
        <f t="shared" ca="1" si="117"/>
        <v>#VALUE!</v>
      </c>
      <c r="GO117" s="302" t="e">
        <f t="shared" ca="1" si="117"/>
        <v>#VALUE!</v>
      </c>
      <c r="GP117" s="301">
        <f t="shared" si="115"/>
        <v>90</v>
      </c>
      <c r="GQ117" s="301">
        <f t="shared" si="115"/>
        <v>180</v>
      </c>
      <c r="GR117" s="301">
        <f t="shared" si="115"/>
        <v>180</v>
      </c>
      <c r="GS117" s="301">
        <f t="shared" si="115"/>
        <v>180</v>
      </c>
      <c r="GT117" s="301">
        <f t="shared" si="115"/>
        <v>180</v>
      </c>
      <c r="GU117" s="303">
        <f t="shared" si="115"/>
        <v>180</v>
      </c>
      <c r="GV117" s="302">
        <f t="shared" si="115"/>
        <v>180</v>
      </c>
      <c r="GW117" s="302">
        <f t="shared" si="115"/>
        <v>135</v>
      </c>
      <c r="GX117" s="302">
        <f t="shared" si="115"/>
        <v>0</v>
      </c>
      <c r="GY117" s="302">
        <f t="shared" si="115"/>
        <v>0</v>
      </c>
      <c r="GZ117" s="302">
        <f t="shared" si="115"/>
        <v>0</v>
      </c>
      <c r="HA117" s="302">
        <f t="shared" si="115"/>
        <v>0</v>
      </c>
      <c r="HB117" s="302">
        <f t="shared" si="115"/>
        <v>0</v>
      </c>
      <c r="HC117" s="302">
        <f t="shared" si="115"/>
        <v>0</v>
      </c>
      <c r="HD117" s="302">
        <f t="shared" si="115"/>
        <v>0</v>
      </c>
      <c r="HE117" s="302">
        <f t="shared" si="115"/>
        <v>0</v>
      </c>
      <c r="HF117" s="304" t="e">
        <f ca="1">SUM(FQ117:HE117)</f>
        <v>#VALUE!</v>
      </c>
      <c r="HG117" s="305" t="e">
        <f ca="1">HF117-S146</f>
        <v>#VALUE!</v>
      </c>
    </row>
    <row r="118" spans="1:215" s="306" customFormat="1" ht="14.25" customHeight="1">
      <c r="A118" s="307"/>
      <c r="B118" s="292" t="s">
        <v>445</v>
      </c>
      <c r="C118" s="292" t="s">
        <v>140</v>
      </c>
      <c r="D118" s="292" t="s">
        <v>140</v>
      </c>
      <c r="E118" s="292" t="s">
        <v>466</v>
      </c>
      <c r="F118" s="292" t="s">
        <v>186</v>
      </c>
      <c r="G118" s="292" t="s">
        <v>350</v>
      </c>
      <c r="H118" s="292" t="s">
        <v>351</v>
      </c>
      <c r="I118" s="292" t="s">
        <v>352</v>
      </c>
      <c r="J118" s="292" t="s">
        <v>186</v>
      </c>
      <c r="K118" s="292" t="s">
        <v>353</v>
      </c>
      <c r="L118" s="292" t="s">
        <v>359</v>
      </c>
      <c r="M118" s="292" t="s">
        <v>371</v>
      </c>
      <c r="N118" s="292" t="str">
        <f t="shared" si="100"/>
        <v>Analytics-Analytics</v>
      </c>
      <c r="O118" s="292" t="str">
        <f t="shared" si="101"/>
        <v>Technology-Manager-US-Consulting</v>
      </c>
      <c r="P118" s="292" t="str">
        <f t="shared" si="102"/>
        <v>Analytics - Technology</v>
      </c>
      <c r="Q118" s="293">
        <f t="shared" si="111"/>
        <v>269280</v>
      </c>
      <c r="R118" s="294">
        <f t="shared" si="112"/>
        <v>122400</v>
      </c>
      <c r="S118" s="295">
        <f t="shared" si="103"/>
        <v>0</v>
      </c>
      <c r="T118" s="295">
        <f t="shared" si="113"/>
        <v>880</v>
      </c>
      <c r="U118" s="296" t="str">
        <f t="shared" si="104"/>
        <v>Technology - Manager</v>
      </c>
      <c r="V118" s="295" t="str">
        <f t="shared" si="105"/>
        <v>5-7 years</v>
      </c>
      <c r="W118" s="292" t="str">
        <f t="shared" si="106"/>
        <v>Onshore</v>
      </c>
      <c r="X118" s="292" t="s">
        <v>261</v>
      </c>
      <c r="Y118" s="292" t="s">
        <v>259</v>
      </c>
      <c r="Z118" s="292" t="s">
        <v>376</v>
      </c>
      <c r="AA118" s="297">
        <f>[1]Resourcing!QD122</f>
        <v>358.95478260869601</v>
      </c>
      <c r="AB118" s="298">
        <f t="shared" si="107"/>
        <v>306</v>
      </c>
      <c r="AC118" s="299"/>
      <c r="AD118" s="299"/>
      <c r="AE118" s="299"/>
      <c r="AF118" s="299"/>
      <c r="AG118" s="299"/>
      <c r="AH118" s="299"/>
      <c r="AI118" s="299"/>
      <c r="AJ118" s="299"/>
      <c r="AK118" s="299"/>
      <c r="AL118" s="299"/>
      <c r="AM118" s="299"/>
      <c r="AN118" s="299"/>
      <c r="AO118" s="299"/>
      <c r="AP118" s="299"/>
      <c r="AQ118" s="299"/>
      <c r="AR118" s="299"/>
      <c r="AS118" s="299"/>
      <c r="AT118" s="299"/>
      <c r="AU118" s="299"/>
      <c r="AV118" s="299"/>
      <c r="AW118" s="299"/>
      <c r="AX118" s="299"/>
      <c r="AY118" s="299"/>
      <c r="AZ118" s="299"/>
      <c r="BA118" s="299"/>
      <c r="BB118" s="299"/>
      <c r="BC118" s="299"/>
      <c r="BD118" s="299"/>
      <c r="BE118" s="299">
        <v>40</v>
      </c>
      <c r="BF118" s="299">
        <v>40</v>
      </c>
      <c r="BG118" s="299">
        <v>40</v>
      </c>
      <c r="BH118" s="299">
        <v>40</v>
      </c>
      <c r="BI118" s="299">
        <v>40</v>
      </c>
      <c r="BJ118" s="299">
        <v>40</v>
      </c>
      <c r="BK118" s="299">
        <v>40</v>
      </c>
      <c r="BL118" s="299">
        <v>40</v>
      </c>
      <c r="BM118" s="299">
        <v>40</v>
      </c>
      <c r="BN118" s="299">
        <v>40</v>
      </c>
      <c r="BO118" s="299">
        <v>40</v>
      </c>
      <c r="BP118" s="299">
        <v>40</v>
      </c>
      <c r="BQ118" s="299">
        <v>40</v>
      </c>
      <c r="BR118" s="299"/>
      <c r="BS118" s="299"/>
      <c r="BT118" s="299">
        <v>40</v>
      </c>
      <c r="BU118" s="299">
        <v>40</v>
      </c>
      <c r="BV118" s="299">
        <v>40</v>
      </c>
      <c r="BW118" s="299">
        <v>40</v>
      </c>
      <c r="BX118" s="299">
        <v>40</v>
      </c>
      <c r="BY118" s="299">
        <v>40</v>
      </c>
      <c r="BZ118" s="299">
        <v>40</v>
      </c>
      <c r="CA118" s="299">
        <v>40</v>
      </c>
      <c r="CB118" s="299">
        <v>40</v>
      </c>
      <c r="CC118" s="299"/>
      <c r="CD118" s="299"/>
      <c r="CE118" s="299"/>
      <c r="CF118" s="299"/>
      <c r="CG118" s="299"/>
      <c r="CH118" s="299"/>
      <c r="CI118" s="299"/>
      <c r="CJ118" s="299"/>
      <c r="CK118" s="299"/>
      <c r="CL118" s="299"/>
      <c r="CM118" s="299"/>
      <c r="CN118" s="299"/>
      <c r="CO118" s="299"/>
      <c r="CP118" s="299"/>
      <c r="CQ118" s="299"/>
      <c r="CR118" s="299"/>
      <c r="CS118" s="299"/>
      <c r="CT118" s="299"/>
      <c r="CU118" s="299"/>
      <c r="CV118" s="299"/>
      <c r="CW118" s="299"/>
      <c r="CX118" s="299"/>
      <c r="CY118" s="299"/>
      <c r="CZ118" s="299"/>
      <c r="DA118" s="299"/>
      <c r="DB118" s="299"/>
      <c r="DC118" s="299"/>
      <c r="DD118" s="299"/>
      <c r="DE118" s="299"/>
      <c r="DF118" s="299"/>
      <c r="DG118" s="299"/>
      <c r="DH118" s="299"/>
      <c r="DI118" s="299"/>
      <c r="DJ118" s="299"/>
      <c r="DK118" s="299"/>
      <c r="DL118" s="299"/>
      <c r="DM118" s="299"/>
      <c r="DN118" s="299"/>
      <c r="DO118" s="299"/>
      <c r="DP118" s="299"/>
      <c r="DQ118" s="299"/>
      <c r="DR118" s="299"/>
      <c r="DS118" s="299"/>
      <c r="DT118" s="299"/>
      <c r="DU118" s="299"/>
      <c r="DV118" s="299"/>
      <c r="DW118" s="299"/>
      <c r="DX118" s="299"/>
      <c r="DY118" s="299"/>
      <c r="DZ118" s="299"/>
      <c r="EA118" s="299"/>
      <c r="EB118" s="299"/>
      <c r="EC118" s="299"/>
      <c r="ED118" s="299"/>
      <c r="EE118" s="299"/>
      <c r="EF118" s="299"/>
      <c r="EG118" s="299"/>
      <c r="EH118" s="299"/>
      <c r="EI118" s="299"/>
      <c r="EJ118" s="299"/>
      <c r="EK118" s="299"/>
      <c r="EL118" s="299"/>
      <c r="EM118" s="299"/>
      <c r="EN118" s="299"/>
      <c r="EO118" s="299"/>
      <c r="EP118" s="299"/>
      <c r="EQ118" s="299"/>
      <c r="ER118" s="299"/>
      <c r="ES118" s="299"/>
      <c r="ET118" s="299"/>
      <c r="EU118" s="299"/>
      <c r="EV118" s="299"/>
      <c r="EW118" s="299"/>
      <c r="EX118" s="299"/>
      <c r="EY118" s="299"/>
      <c r="EZ118" s="299"/>
      <c r="FA118" s="299"/>
      <c r="FB118" s="299"/>
      <c r="FC118" s="299"/>
      <c r="FD118" s="299"/>
      <c r="FE118" s="299"/>
      <c r="FF118" s="299"/>
      <c r="FG118" s="299"/>
      <c r="FH118" s="299"/>
      <c r="FI118" s="299"/>
      <c r="FJ118" s="299"/>
      <c r="FK118" s="299"/>
      <c r="FL118" s="299"/>
      <c r="FM118" s="299"/>
      <c r="FN118" s="299"/>
      <c r="FO118" s="299"/>
      <c r="FP118" s="299"/>
      <c r="FQ118" s="300" t="e">
        <f t="shared" ca="1" si="114"/>
        <v>#VALUE!</v>
      </c>
      <c r="FR118" s="300" t="e">
        <f t="shared" ca="1" si="116"/>
        <v>#VALUE!</v>
      </c>
      <c r="FS118" s="300" t="e">
        <f t="shared" ca="1" si="116"/>
        <v>#VALUE!</v>
      </c>
      <c r="FT118" s="300" t="e">
        <f t="shared" ca="1" si="116"/>
        <v>#VALUE!</v>
      </c>
      <c r="FU118" s="300" t="e">
        <f t="shared" ca="1" si="116"/>
        <v>#VALUE!</v>
      </c>
      <c r="FV118" s="300" t="e">
        <f t="shared" ca="1" si="116"/>
        <v>#VALUE!</v>
      </c>
      <c r="FW118" s="300" t="e">
        <f t="shared" ca="1" si="116"/>
        <v>#VALUE!</v>
      </c>
      <c r="FX118" s="300" t="e">
        <f t="shared" ca="1" si="116"/>
        <v>#VALUE!</v>
      </c>
      <c r="FY118" s="300" t="e">
        <f t="shared" ca="1" si="116"/>
        <v>#VALUE!</v>
      </c>
      <c r="FZ118" s="300" t="e">
        <f t="shared" ca="1" si="116"/>
        <v>#VALUE!</v>
      </c>
      <c r="GA118" s="301" t="e">
        <f t="shared" ca="1" si="116"/>
        <v>#VALUE!</v>
      </c>
      <c r="GB118" s="301" t="e">
        <f t="shared" ca="1" si="117"/>
        <v>#VALUE!</v>
      </c>
      <c r="GC118" s="301" t="e">
        <f t="shared" ca="1" si="117"/>
        <v>#VALUE!</v>
      </c>
      <c r="GD118" s="301" t="e">
        <f t="shared" ca="1" si="117"/>
        <v>#VALUE!</v>
      </c>
      <c r="GE118" s="301" t="e">
        <f t="shared" ca="1" si="117"/>
        <v>#VALUE!</v>
      </c>
      <c r="GF118" s="301" t="e">
        <f t="shared" ca="1" si="117"/>
        <v>#VALUE!</v>
      </c>
      <c r="GG118" s="301" t="e">
        <f t="shared" ca="1" si="117"/>
        <v>#VALUE!</v>
      </c>
      <c r="GH118" s="301" t="e">
        <f t="shared" ca="1" si="117"/>
        <v>#VALUE!</v>
      </c>
      <c r="GI118" s="301" t="e">
        <f t="shared" ca="1" si="117"/>
        <v>#VALUE!</v>
      </c>
      <c r="GJ118" s="301" t="e">
        <f t="shared" ca="1" si="117"/>
        <v>#VALUE!</v>
      </c>
      <c r="GK118" s="301" t="e">
        <f t="shared" ca="1" si="117"/>
        <v>#VALUE!</v>
      </c>
      <c r="GL118" s="301" t="e">
        <f t="shared" ca="1" si="117"/>
        <v>#VALUE!</v>
      </c>
      <c r="GM118" s="301" t="e">
        <f t="shared" ca="1" si="117"/>
        <v>#VALUE!</v>
      </c>
      <c r="GN118" s="302" t="e">
        <f t="shared" ca="1" si="117"/>
        <v>#VALUE!</v>
      </c>
      <c r="GO118" s="302" t="e">
        <f t="shared" ca="1" si="117"/>
        <v>#VALUE!</v>
      </c>
      <c r="GP118" s="301">
        <f t="shared" si="115"/>
        <v>0</v>
      </c>
      <c r="GQ118" s="301">
        <f t="shared" si="115"/>
        <v>0</v>
      </c>
      <c r="GR118" s="301">
        <f t="shared" si="115"/>
        <v>0</v>
      </c>
      <c r="GS118" s="301">
        <f t="shared" si="115"/>
        <v>0</v>
      </c>
      <c r="GT118" s="301">
        <f t="shared" si="115"/>
        <v>0</v>
      </c>
      <c r="GU118" s="303">
        <f t="shared" si="115"/>
        <v>0</v>
      </c>
      <c r="GV118" s="302">
        <f t="shared" si="115"/>
        <v>0</v>
      </c>
      <c r="GW118" s="302">
        <f t="shared" si="115"/>
        <v>0</v>
      </c>
      <c r="GX118" s="302">
        <f t="shared" si="115"/>
        <v>0</v>
      </c>
      <c r="GY118" s="302">
        <f t="shared" si="115"/>
        <v>0</v>
      </c>
      <c r="GZ118" s="302">
        <f t="shared" si="115"/>
        <v>0</v>
      </c>
      <c r="HA118" s="302">
        <f t="shared" si="115"/>
        <v>0</v>
      </c>
      <c r="HB118" s="302">
        <f t="shared" si="115"/>
        <v>0</v>
      </c>
      <c r="HC118" s="302">
        <f t="shared" si="115"/>
        <v>0</v>
      </c>
      <c r="HD118" s="302">
        <f t="shared" si="115"/>
        <v>0</v>
      </c>
      <c r="HE118" s="302">
        <f t="shared" si="115"/>
        <v>0</v>
      </c>
      <c r="HF118" s="304"/>
      <c r="HG118" s="305"/>
    </row>
    <row r="119" spans="1:215" s="306" customFormat="1" ht="14.25" customHeight="1">
      <c r="A119" s="307"/>
      <c r="B119" s="292" t="s">
        <v>445</v>
      </c>
      <c r="C119" s="292" t="s">
        <v>140</v>
      </c>
      <c r="D119" s="292" t="s">
        <v>140</v>
      </c>
      <c r="E119" s="292" t="s">
        <v>467</v>
      </c>
      <c r="F119" s="292" t="s">
        <v>184</v>
      </c>
      <c r="G119" s="292" t="s">
        <v>350</v>
      </c>
      <c r="H119" s="292" t="s">
        <v>351</v>
      </c>
      <c r="I119" s="292" t="s">
        <v>352</v>
      </c>
      <c r="J119" s="292" t="s">
        <v>184</v>
      </c>
      <c r="K119" s="292" t="s">
        <v>353</v>
      </c>
      <c r="L119" s="292" t="s">
        <v>359</v>
      </c>
      <c r="M119" s="292" t="s">
        <v>374</v>
      </c>
      <c r="N119" s="292" t="str">
        <f t="shared" si="100"/>
        <v>Analytics-Analytics</v>
      </c>
      <c r="O119" s="292" t="str">
        <f t="shared" si="101"/>
        <v>Technology-Senior Consultant-India-Consulting</v>
      </c>
      <c r="P119" s="292" t="str">
        <f t="shared" si="102"/>
        <v>Analytics - Technology</v>
      </c>
      <c r="Q119" s="293">
        <f t="shared" si="111"/>
        <v>287550</v>
      </c>
      <c r="R119" s="294">
        <f t="shared" si="112"/>
        <v>31950</v>
      </c>
      <c r="S119" s="295" t="e">
        <f t="shared" ca="1" si="103"/>
        <v>#VALUE!</v>
      </c>
      <c r="T119" s="295">
        <f t="shared" si="113"/>
        <v>4050</v>
      </c>
      <c r="U119" s="296" t="str">
        <f t="shared" si="104"/>
        <v>Technology - Senior Consultant</v>
      </c>
      <c r="V119" s="295" t="str">
        <f t="shared" si="105"/>
        <v>3-5 years</v>
      </c>
      <c r="W119" s="292" t="str">
        <f t="shared" si="106"/>
        <v>Offshore</v>
      </c>
      <c r="X119" s="292" t="s">
        <v>261</v>
      </c>
      <c r="Y119" s="292" t="s">
        <v>259</v>
      </c>
      <c r="Z119" s="292" t="s">
        <v>364</v>
      </c>
      <c r="AA119" s="297">
        <f>[1]Resourcing!QD123</f>
        <v>62.440434782608698</v>
      </c>
      <c r="AB119" s="298">
        <f t="shared" si="107"/>
        <v>71</v>
      </c>
      <c r="AC119" s="299"/>
      <c r="AD119" s="299"/>
      <c r="AE119" s="299"/>
      <c r="AF119" s="299"/>
      <c r="AG119" s="299"/>
      <c r="AH119" s="299"/>
      <c r="AI119" s="299"/>
      <c r="AJ119" s="299"/>
      <c r="AK119" s="299"/>
      <c r="AL119" s="299"/>
      <c r="AM119" s="299"/>
      <c r="AN119" s="299"/>
      <c r="AO119" s="299"/>
      <c r="AP119" s="299"/>
      <c r="AQ119" s="299"/>
      <c r="AR119" s="299"/>
      <c r="AS119" s="299"/>
      <c r="AT119" s="299"/>
      <c r="AU119" s="299"/>
      <c r="AV119" s="299"/>
      <c r="AW119" s="299"/>
      <c r="AX119" s="299"/>
      <c r="AY119" s="299"/>
      <c r="AZ119" s="299"/>
      <c r="BA119" s="299"/>
      <c r="BB119" s="299"/>
      <c r="BC119" s="299"/>
      <c r="BD119" s="299"/>
      <c r="BE119" s="299">
        <v>45</v>
      </c>
      <c r="BF119" s="299">
        <v>45</v>
      </c>
      <c r="BG119" s="299">
        <v>45</v>
      </c>
      <c r="BH119" s="299">
        <v>45</v>
      </c>
      <c r="BI119" s="299">
        <v>45</v>
      </c>
      <c r="BJ119" s="299">
        <v>45</v>
      </c>
      <c r="BK119" s="299">
        <v>45</v>
      </c>
      <c r="BL119" s="299">
        <v>45</v>
      </c>
      <c r="BM119" s="299">
        <v>45</v>
      </c>
      <c r="BN119" s="299">
        <v>45</v>
      </c>
      <c r="BO119" s="299">
        <v>45</v>
      </c>
      <c r="BP119" s="299">
        <v>45</v>
      </c>
      <c r="BQ119" s="299">
        <v>45</v>
      </c>
      <c r="BR119" s="299"/>
      <c r="BS119" s="299"/>
      <c r="BT119" s="299">
        <v>45</v>
      </c>
      <c r="BU119" s="299">
        <v>45</v>
      </c>
      <c r="BV119" s="299">
        <v>45</v>
      </c>
      <c r="BW119" s="299">
        <v>45</v>
      </c>
      <c r="BX119" s="299">
        <v>45</v>
      </c>
      <c r="BY119" s="299">
        <v>45</v>
      </c>
      <c r="BZ119" s="299">
        <v>45</v>
      </c>
      <c r="CA119" s="299">
        <v>45</v>
      </c>
      <c r="CB119" s="299">
        <v>45</v>
      </c>
      <c r="CC119" s="299">
        <v>45</v>
      </c>
      <c r="CD119" s="299">
        <v>45</v>
      </c>
      <c r="CE119" s="299">
        <v>45</v>
      </c>
      <c r="CF119" s="299">
        <v>45</v>
      </c>
      <c r="CG119" s="299">
        <v>45</v>
      </c>
      <c r="CH119" s="299">
        <v>45</v>
      </c>
      <c r="CI119" s="299">
        <v>45</v>
      </c>
      <c r="CJ119" s="299">
        <v>45</v>
      </c>
      <c r="CK119" s="299">
        <v>45</v>
      </c>
      <c r="CL119" s="299">
        <v>45</v>
      </c>
      <c r="CM119" s="299">
        <v>45</v>
      </c>
      <c r="CN119" s="299">
        <v>45</v>
      </c>
      <c r="CO119" s="299">
        <v>45</v>
      </c>
      <c r="CP119" s="299">
        <v>45</v>
      </c>
      <c r="CQ119" s="299">
        <v>45</v>
      </c>
      <c r="CR119" s="299">
        <v>45</v>
      </c>
      <c r="CS119" s="299">
        <v>45</v>
      </c>
      <c r="CT119" s="299">
        <v>45</v>
      </c>
      <c r="CU119" s="299">
        <v>45</v>
      </c>
      <c r="CV119" s="299">
        <v>45</v>
      </c>
      <c r="CW119" s="299">
        <v>45</v>
      </c>
      <c r="CX119" s="299">
        <v>45</v>
      </c>
      <c r="CY119" s="299">
        <v>45</v>
      </c>
      <c r="CZ119" s="299">
        <v>45</v>
      </c>
      <c r="DA119" s="299">
        <v>45</v>
      </c>
      <c r="DB119" s="299">
        <v>45</v>
      </c>
      <c r="DC119" s="299">
        <v>45</v>
      </c>
      <c r="DD119" s="299">
        <v>45</v>
      </c>
      <c r="DE119" s="299">
        <v>45</v>
      </c>
      <c r="DF119" s="299">
        <v>45</v>
      </c>
      <c r="DG119" s="299">
        <v>45</v>
      </c>
      <c r="DH119" s="299">
        <v>45</v>
      </c>
      <c r="DI119" s="299">
        <v>45</v>
      </c>
      <c r="DJ119" s="299">
        <v>45</v>
      </c>
      <c r="DK119" s="299">
        <v>45</v>
      </c>
      <c r="DL119" s="299">
        <v>45</v>
      </c>
      <c r="DM119" s="299">
        <v>45</v>
      </c>
      <c r="DN119" s="299">
        <v>45</v>
      </c>
      <c r="DO119" s="299">
        <v>45</v>
      </c>
      <c r="DP119" s="299">
        <v>45</v>
      </c>
      <c r="DQ119" s="299">
        <v>45</v>
      </c>
      <c r="DR119" s="299"/>
      <c r="DS119" s="299"/>
      <c r="DT119" s="299">
        <v>45</v>
      </c>
      <c r="DU119" s="299">
        <v>45</v>
      </c>
      <c r="DV119" s="299">
        <v>45</v>
      </c>
      <c r="DW119" s="299">
        <v>45</v>
      </c>
      <c r="DX119" s="299">
        <v>45</v>
      </c>
      <c r="DY119" s="299">
        <v>45</v>
      </c>
      <c r="DZ119" s="299">
        <v>45</v>
      </c>
      <c r="EA119" s="299">
        <v>45</v>
      </c>
      <c r="EB119" s="299">
        <v>45</v>
      </c>
      <c r="EC119" s="299">
        <v>45</v>
      </c>
      <c r="ED119" s="299">
        <v>45</v>
      </c>
      <c r="EE119" s="299">
        <v>45</v>
      </c>
      <c r="EF119" s="299">
        <v>45</v>
      </c>
      <c r="EG119" s="299">
        <v>45</v>
      </c>
      <c r="EH119" s="299">
        <v>45</v>
      </c>
      <c r="EI119" s="299">
        <v>45</v>
      </c>
      <c r="EJ119" s="299">
        <v>45</v>
      </c>
      <c r="EK119" s="299">
        <v>45</v>
      </c>
      <c r="EL119" s="299">
        <v>45</v>
      </c>
      <c r="EM119" s="299">
        <v>45</v>
      </c>
      <c r="EN119" s="299">
        <v>45</v>
      </c>
      <c r="EO119" s="299">
        <v>45</v>
      </c>
      <c r="EP119" s="299">
        <v>45</v>
      </c>
      <c r="EQ119" s="299">
        <v>45</v>
      </c>
      <c r="ER119" s="299">
        <v>45</v>
      </c>
      <c r="ES119" s="299">
        <v>45</v>
      </c>
      <c r="ET119" s="299">
        <v>45</v>
      </c>
      <c r="EU119" s="299"/>
      <c r="EV119" s="299"/>
      <c r="EW119" s="299"/>
      <c r="EX119" s="299"/>
      <c r="EY119" s="299"/>
      <c r="EZ119" s="299"/>
      <c r="FA119" s="299"/>
      <c r="FB119" s="299"/>
      <c r="FC119" s="299"/>
      <c r="FD119" s="299"/>
      <c r="FE119" s="299"/>
      <c r="FF119" s="299"/>
      <c r="FG119" s="299"/>
      <c r="FH119" s="299"/>
      <c r="FI119" s="299"/>
      <c r="FJ119" s="299"/>
      <c r="FK119" s="299"/>
      <c r="FL119" s="299"/>
      <c r="FM119" s="299"/>
      <c r="FN119" s="299"/>
      <c r="FO119" s="299"/>
      <c r="FP119" s="299"/>
      <c r="FQ119" s="300" t="e">
        <f t="shared" ca="1" si="114"/>
        <v>#VALUE!</v>
      </c>
      <c r="FR119" s="300" t="e">
        <f t="shared" ca="1" si="116"/>
        <v>#VALUE!</v>
      </c>
      <c r="FS119" s="300" t="e">
        <f t="shared" ca="1" si="116"/>
        <v>#VALUE!</v>
      </c>
      <c r="FT119" s="300" t="e">
        <f t="shared" ca="1" si="116"/>
        <v>#VALUE!</v>
      </c>
      <c r="FU119" s="300" t="e">
        <f t="shared" ca="1" si="116"/>
        <v>#VALUE!</v>
      </c>
      <c r="FV119" s="300" t="e">
        <f t="shared" ca="1" si="116"/>
        <v>#VALUE!</v>
      </c>
      <c r="FW119" s="300" t="e">
        <f t="shared" ca="1" si="116"/>
        <v>#VALUE!</v>
      </c>
      <c r="FX119" s="300" t="e">
        <f t="shared" ca="1" si="116"/>
        <v>#VALUE!</v>
      </c>
      <c r="FY119" s="300" t="e">
        <f t="shared" ca="1" si="116"/>
        <v>#VALUE!</v>
      </c>
      <c r="FZ119" s="300" t="e">
        <f t="shared" ca="1" si="116"/>
        <v>#VALUE!</v>
      </c>
      <c r="GA119" s="301" t="e">
        <f t="shared" ca="1" si="116"/>
        <v>#VALUE!</v>
      </c>
      <c r="GB119" s="301" t="e">
        <f t="shared" ca="1" si="117"/>
        <v>#VALUE!</v>
      </c>
      <c r="GC119" s="301" t="e">
        <f t="shared" ca="1" si="117"/>
        <v>#VALUE!</v>
      </c>
      <c r="GD119" s="301" t="e">
        <f t="shared" ca="1" si="117"/>
        <v>#VALUE!</v>
      </c>
      <c r="GE119" s="301" t="e">
        <f t="shared" ca="1" si="117"/>
        <v>#VALUE!</v>
      </c>
      <c r="GF119" s="301" t="e">
        <f t="shared" ca="1" si="117"/>
        <v>#VALUE!</v>
      </c>
      <c r="GG119" s="301" t="e">
        <f t="shared" ca="1" si="117"/>
        <v>#VALUE!</v>
      </c>
      <c r="GH119" s="301" t="e">
        <f t="shared" ca="1" si="117"/>
        <v>#VALUE!</v>
      </c>
      <c r="GI119" s="301" t="e">
        <f t="shared" ca="1" si="117"/>
        <v>#VALUE!</v>
      </c>
      <c r="GJ119" s="301" t="e">
        <f t="shared" ca="1" si="117"/>
        <v>#VALUE!</v>
      </c>
      <c r="GK119" s="301" t="e">
        <f t="shared" ca="1" si="117"/>
        <v>#VALUE!</v>
      </c>
      <c r="GL119" s="301" t="e">
        <f t="shared" ca="1" si="117"/>
        <v>#VALUE!</v>
      </c>
      <c r="GM119" s="301" t="e">
        <f t="shared" ca="1" si="117"/>
        <v>#VALUE!</v>
      </c>
      <c r="GN119" s="302" t="e">
        <f t="shared" ca="1" si="117"/>
        <v>#VALUE!</v>
      </c>
      <c r="GO119" s="302" t="e">
        <f t="shared" ca="1" si="117"/>
        <v>#VALUE!</v>
      </c>
      <c r="GP119" s="301">
        <f t="shared" si="115"/>
        <v>90</v>
      </c>
      <c r="GQ119" s="301">
        <f t="shared" si="115"/>
        <v>180</v>
      </c>
      <c r="GR119" s="301">
        <f t="shared" si="115"/>
        <v>180</v>
      </c>
      <c r="GS119" s="301">
        <f t="shared" si="115"/>
        <v>180</v>
      </c>
      <c r="GT119" s="301">
        <f t="shared" si="115"/>
        <v>180</v>
      </c>
      <c r="GU119" s="303">
        <f t="shared" si="115"/>
        <v>180</v>
      </c>
      <c r="GV119" s="302">
        <f t="shared" si="115"/>
        <v>180</v>
      </c>
      <c r="GW119" s="302">
        <f t="shared" si="115"/>
        <v>135</v>
      </c>
      <c r="GX119" s="302">
        <f t="shared" si="115"/>
        <v>0</v>
      </c>
      <c r="GY119" s="302">
        <f t="shared" si="115"/>
        <v>0</v>
      </c>
      <c r="GZ119" s="302">
        <f t="shared" si="115"/>
        <v>0</v>
      </c>
      <c r="HA119" s="302">
        <f t="shared" si="115"/>
        <v>0</v>
      </c>
      <c r="HB119" s="302">
        <f t="shared" si="115"/>
        <v>0</v>
      </c>
      <c r="HC119" s="302">
        <f t="shared" si="115"/>
        <v>0</v>
      </c>
      <c r="HD119" s="302">
        <f t="shared" si="115"/>
        <v>0</v>
      </c>
      <c r="HE119" s="302">
        <f t="shared" si="115"/>
        <v>0</v>
      </c>
      <c r="HF119" s="304" t="e">
        <f ca="1">SUM(FQ119:HE119)</f>
        <v>#VALUE!</v>
      </c>
      <c r="HG119" s="305" t="e">
        <f ca="1">HF119-S148</f>
        <v>#VALUE!</v>
      </c>
    </row>
    <row r="120" spans="1:215" s="306" customFormat="1" ht="14.25" customHeight="1">
      <c r="A120" s="307"/>
      <c r="B120" s="292" t="s">
        <v>348</v>
      </c>
      <c r="C120" s="292" t="s">
        <v>140</v>
      </c>
      <c r="D120" s="292" t="s">
        <v>140</v>
      </c>
      <c r="E120" s="292" t="s">
        <v>468</v>
      </c>
      <c r="F120" s="292" t="s">
        <v>184</v>
      </c>
      <c r="G120" s="292" t="s">
        <v>350</v>
      </c>
      <c r="H120" s="292" t="s">
        <v>351</v>
      </c>
      <c r="I120" s="292" t="s">
        <v>352</v>
      </c>
      <c r="J120" s="292" t="s">
        <v>184</v>
      </c>
      <c r="K120" s="292" t="s">
        <v>353</v>
      </c>
      <c r="L120" s="292" t="s">
        <v>359</v>
      </c>
      <c r="M120" s="292" t="s">
        <v>367</v>
      </c>
      <c r="N120" s="292" t="str">
        <f t="shared" si="100"/>
        <v>Analytics-Analytics</v>
      </c>
      <c r="O120" s="292" t="str">
        <f t="shared" si="101"/>
        <v>Technology-Consultant-India-Consulting</v>
      </c>
      <c r="P120" s="292" t="str">
        <f t="shared" si="102"/>
        <v>Analytics - Technology</v>
      </c>
      <c r="Q120" s="293">
        <f t="shared" si="111"/>
        <v>240300</v>
      </c>
      <c r="R120" s="294">
        <f t="shared" si="112"/>
        <v>24300</v>
      </c>
      <c r="S120" s="295" t="e">
        <f t="shared" ca="1" si="103"/>
        <v>#VALUE!</v>
      </c>
      <c r="T120" s="295">
        <f t="shared" si="113"/>
        <v>4005</v>
      </c>
      <c r="U120" s="296" t="str">
        <f t="shared" si="104"/>
        <v>Technology - Consultant</v>
      </c>
      <c r="V120" s="295" t="str">
        <f t="shared" si="105"/>
        <v>1-3 years</v>
      </c>
      <c r="W120" s="292" t="str">
        <f t="shared" si="106"/>
        <v>Offshore</v>
      </c>
      <c r="X120" s="292" t="s">
        <v>261</v>
      </c>
      <c r="Y120" s="292" t="s">
        <v>259</v>
      </c>
      <c r="Z120" s="292" t="s">
        <v>368</v>
      </c>
      <c r="AA120" s="297">
        <f>[1]Resourcing!QD124</f>
        <v>53.326829268292698</v>
      </c>
      <c r="AB120" s="298">
        <f t="shared" si="107"/>
        <v>60</v>
      </c>
      <c r="AC120" s="299"/>
      <c r="AD120" s="299"/>
      <c r="AE120" s="299"/>
      <c r="AF120" s="299"/>
      <c r="AG120" s="299"/>
      <c r="AH120" s="299"/>
      <c r="AI120" s="299"/>
      <c r="AJ120" s="299"/>
      <c r="AK120" s="299"/>
      <c r="AL120" s="299"/>
      <c r="AM120" s="299"/>
      <c r="AN120" s="299"/>
      <c r="AO120" s="299"/>
      <c r="AP120" s="299"/>
      <c r="AQ120" s="299"/>
      <c r="AR120" s="299"/>
      <c r="AS120" s="299"/>
      <c r="AT120" s="299"/>
      <c r="AU120" s="299"/>
      <c r="AV120" s="299"/>
      <c r="AW120" s="299"/>
      <c r="AX120" s="299"/>
      <c r="AY120" s="299"/>
      <c r="AZ120" s="299"/>
      <c r="BA120" s="299"/>
      <c r="BB120" s="299"/>
      <c r="BC120" s="299"/>
      <c r="BD120" s="299"/>
      <c r="BE120" s="299"/>
      <c r="BF120" s="299">
        <v>45</v>
      </c>
      <c r="BG120" s="299">
        <v>45</v>
      </c>
      <c r="BH120" s="299">
        <v>45</v>
      </c>
      <c r="BI120" s="299">
        <v>45</v>
      </c>
      <c r="BJ120" s="299">
        <v>45</v>
      </c>
      <c r="BK120" s="299">
        <v>45</v>
      </c>
      <c r="BL120" s="299">
        <v>45</v>
      </c>
      <c r="BM120" s="299">
        <v>45</v>
      </c>
      <c r="BN120" s="299">
        <v>45</v>
      </c>
      <c r="BO120" s="299">
        <v>45</v>
      </c>
      <c r="BP120" s="299">
        <v>45</v>
      </c>
      <c r="BQ120" s="299">
        <v>45</v>
      </c>
      <c r="BR120" s="299"/>
      <c r="BS120" s="299"/>
      <c r="BT120" s="299">
        <v>45</v>
      </c>
      <c r="BU120" s="299">
        <v>45</v>
      </c>
      <c r="BV120" s="299">
        <v>45</v>
      </c>
      <c r="BW120" s="299">
        <v>45</v>
      </c>
      <c r="BX120" s="299">
        <v>45</v>
      </c>
      <c r="BY120" s="299">
        <v>45</v>
      </c>
      <c r="BZ120" s="299">
        <v>45</v>
      </c>
      <c r="CA120" s="299">
        <v>45</v>
      </c>
      <c r="CB120" s="299">
        <v>45</v>
      </c>
      <c r="CC120" s="299">
        <v>45</v>
      </c>
      <c r="CD120" s="299">
        <v>45</v>
      </c>
      <c r="CE120" s="299">
        <v>45</v>
      </c>
      <c r="CF120" s="299">
        <v>45</v>
      </c>
      <c r="CG120" s="299">
        <v>45</v>
      </c>
      <c r="CH120" s="299">
        <v>45</v>
      </c>
      <c r="CI120" s="299">
        <v>45</v>
      </c>
      <c r="CJ120" s="299">
        <v>45</v>
      </c>
      <c r="CK120" s="299">
        <v>45</v>
      </c>
      <c r="CL120" s="299">
        <v>45</v>
      </c>
      <c r="CM120" s="299">
        <v>45</v>
      </c>
      <c r="CN120" s="299">
        <v>45</v>
      </c>
      <c r="CO120" s="299">
        <v>45</v>
      </c>
      <c r="CP120" s="299">
        <v>45</v>
      </c>
      <c r="CQ120" s="299">
        <v>45</v>
      </c>
      <c r="CR120" s="299">
        <v>45</v>
      </c>
      <c r="CS120" s="299">
        <v>45</v>
      </c>
      <c r="CT120" s="299">
        <v>45</v>
      </c>
      <c r="CU120" s="299">
        <v>45</v>
      </c>
      <c r="CV120" s="299">
        <v>45</v>
      </c>
      <c r="CW120" s="299">
        <v>45</v>
      </c>
      <c r="CX120" s="299">
        <v>45</v>
      </c>
      <c r="CY120" s="299">
        <v>45</v>
      </c>
      <c r="CZ120" s="299">
        <v>45</v>
      </c>
      <c r="DA120" s="299">
        <v>45</v>
      </c>
      <c r="DB120" s="299">
        <v>45</v>
      </c>
      <c r="DC120" s="299">
        <v>45</v>
      </c>
      <c r="DD120" s="299">
        <v>45</v>
      </c>
      <c r="DE120" s="299">
        <v>45</v>
      </c>
      <c r="DF120" s="299">
        <v>45</v>
      </c>
      <c r="DG120" s="299">
        <v>45</v>
      </c>
      <c r="DH120" s="299">
        <v>45</v>
      </c>
      <c r="DI120" s="299">
        <v>45</v>
      </c>
      <c r="DJ120" s="299">
        <v>45</v>
      </c>
      <c r="DK120" s="299">
        <v>45</v>
      </c>
      <c r="DL120" s="299">
        <v>45</v>
      </c>
      <c r="DM120" s="299">
        <v>45</v>
      </c>
      <c r="DN120" s="299">
        <v>45</v>
      </c>
      <c r="DO120" s="299">
        <v>45</v>
      </c>
      <c r="DP120" s="299">
        <v>45</v>
      </c>
      <c r="DQ120" s="299">
        <v>45</v>
      </c>
      <c r="DR120" s="299"/>
      <c r="DS120" s="299"/>
      <c r="DT120" s="299">
        <v>45</v>
      </c>
      <c r="DU120" s="299">
        <v>45</v>
      </c>
      <c r="DV120" s="299">
        <v>45</v>
      </c>
      <c r="DW120" s="299">
        <v>45</v>
      </c>
      <c r="DX120" s="299">
        <v>45</v>
      </c>
      <c r="DY120" s="299">
        <v>45</v>
      </c>
      <c r="DZ120" s="299">
        <v>45</v>
      </c>
      <c r="EA120" s="299">
        <v>45</v>
      </c>
      <c r="EB120" s="299">
        <v>45</v>
      </c>
      <c r="EC120" s="299">
        <v>45</v>
      </c>
      <c r="ED120" s="299">
        <v>45</v>
      </c>
      <c r="EE120" s="299">
        <v>45</v>
      </c>
      <c r="EF120" s="299">
        <v>45</v>
      </c>
      <c r="EG120" s="299">
        <v>45</v>
      </c>
      <c r="EH120" s="299">
        <v>45</v>
      </c>
      <c r="EI120" s="299">
        <v>45</v>
      </c>
      <c r="EJ120" s="299">
        <v>45</v>
      </c>
      <c r="EK120" s="299">
        <v>45</v>
      </c>
      <c r="EL120" s="299">
        <v>45</v>
      </c>
      <c r="EM120" s="299">
        <v>45</v>
      </c>
      <c r="EN120" s="299">
        <v>45</v>
      </c>
      <c r="EO120" s="299">
        <v>45</v>
      </c>
      <c r="EP120" s="299">
        <v>45</v>
      </c>
      <c r="EQ120" s="299">
        <v>45</v>
      </c>
      <c r="ER120" s="299">
        <v>45</v>
      </c>
      <c r="ES120" s="299">
        <v>45</v>
      </c>
      <c r="ET120" s="299">
        <v>45</v>
      </c>
      <c r="EU120" s="299"/>
      <c r="EV120" s="299"/>
      <c r="EW120" s="299"/>
      <c r="EX120" s="299"/>
      <c r="EY120" s="299"/>
      <c r="EZ120" s="299"/>
      <c r="FA120" s="299"/>
      <c r="FB120" s="299"/>
      <c r="FC120" s="299"/>
      <c r="FD120" s="299"/>
      <c r="FE120" s="299"/>
      <c r="FF120" s="299"/>
      <c r="FG120" s="299"/>
      <c r="FH120" s="299"/>
      <c r="FI120" s="299"/>
      <c r="FJ120" s="299"/>
      <c r="FK120" s="299"/>
      <c r="FL120" s="299"/>
      <c r="FM120" s="299"/>
      <c r="FN120" s="299"/>
      <c r="FO120" s="299"/>
      <c r="FP120" s="299"/>
      <c r="FQ120" s="300" t="e">
        <f t="shared" ca="1" si="114"/>
        <v>#VALUE!</v>
      </c>
      <c r="FR120" s="300" t="e">
        <f t="shared" ca="1" si="116"/>
        <v>#VALUE!</v>
      </c>
      <c r="FS120" s="300" t="e">
        <f t="shared" ca="1" si="116"/>
        <v>#VALUE!</v>
      </c>
      <c r="FT120" s="300" t="e">
        <f t="shared" ca="1" si="116"/>
        <v>#VALUE!</v>
      </c>
      <c r="FU120" s="300" t="e">
        <f t="shared" ca="1" si="116"/>
        <v>#VALUE!</v>
      </c>
      <c r="FV120" s="300" t="e">
        <f t="shared" ca="1" si="116"/>
        <v>#VALUE!</v>
      </c>
      <c r="FW120" s="300" t="e">
        <f t="shared" ca="1" si="116"/>
        <v>#VALUE!</v>
      </c>
      <c r="FX120" s="300" t="e">
        <f t="shared" ca="1" si="116"/>
        <v>#VALUE!</v>
      </c>
      <c r="FY120" s="300" t="e">
        <f t="shared" ca="1" si="116"/>
        <v>#VALUE!</v>
      </c>
      <c r="FZ120" s="300" t="e">
        <f t="shared" ca="1" si="116"/>
        <v>#VALUE!</v>
      </c>
      <c r="GA120" s="301" t="e">
        <f t="shared" ca="1" si="116"/>
        <v>#VALUE!</v>
      </c>
      <c r="GB120" s="301" t="e">
        <f t="shared" ca="1" si="117"/>
        <v>#VALUE!</v>
      </c>
      <c r="GC120" s="301" t="e">
        <f t="shared" ca="1" si="117"/>
        <v>#VALUE!</v>
      </c>
      <c r="GD120" s="301" t="e">
        <f t="shared" ca="1" si="117"/>
        <v>#VALUE!</v>
      </c>
      <c r="GE120" s="301" t="e">
        <f t="shared" ca="1" si="117"/>
        <v>#VALUE!</v>
      </c>
      <c r="GF120" s="301" t="e">
        <f t="shared" ca="1" si="117"/>
        <v>#VALUE!</v>
      </c>
      <c r="GG120" s="301" t="e">
        <f t="shared" ca="1" si="117"/>
        <v>#VALUE!</v>
      </c>
      <c r="GH120" s="301" t="e">
        <f t="shared" ca="1" si="117"/>
        <v>#VALUE!</v>
      </c>
      <c r="GI120" s="301" t="e">
        <f t="shared" ca="1" si="117"/>
        <v>#VALUE!</v>
      </c>
      <c r="GJ120" s="301" t="e">
        <f t="shared" ca="1" si="117"/>
        <v>#VALUE!</v>
      </c>
      <c r="GK120" s="301" t="e">
        <f t="shared" ca="1" si="117"/>
        <v>#VALUE!</v>
      </c>
      <c r="GL120" s="301" t="e">
        <f t="shared" ca="1" si="117"/>
        <v>#VALUE!</v>
      </c>
      <c r="GM120" s="301" t="e">
        <f t="shared" ca="1" si="117"/>
        <v>#VALUE!</v>
      </c>
      <c r="GN120" s="302" t="e">
        <f t="shared" ca="1" si="117"/>
        <v>#VALUE!</v>
      </c>
      <c r="GO120" s="302" t="e">
        <f t="shared" ca="1" si="117"/>
        <v>#VALUE!</v>
      </c>
      <c r="GP120" s="301">
        <f t="shared" si="115"/>
        <v>90</v>
      </c>
      <c r="GQ120" s="301">
        <f t="shared" si="115"/>
        <v>180</v>
      </c>
      <c r="GR120" s="301">
        <f t="shared" si="115"/>
        <v>180</v>
      </c>
      <c r="GS120" s="301">
        <f t="shared" si="115"/>
        <v>180</v>
      </c>
      <c r="GT120" s="301">
        <f t="shared" si="115"/>
        <v>180</v>
      </c>
      <c r="GU120" s="303">
        <f t="shared" si="115"/>
        <v>180</v>
      </c>
      <c r="GV120" s="302">
        <f t="shared" si="115"/>
        <v>180</v>
      </c>
      <c r="GW120" s="302">
        <f t="shared" si="115"/>
        <v>135</v>
      </c>
      <c r="GX120" s="302">
        <f t="shared" si="115"/>
        <v>0</v>
      </c>
      <c r="GY120" s="302">
        <f t="shared" si="115"/>
        <v>0</v>
      </c>
      <c r="GZ120" s="302">
        <f t="shared" si="115"/>
        <v>0</v>
      </c>
      <c r="HA120" s="302">
        <f t="shared" si="115"/>
        <v>0</v>
      </c>
      <c r="HB120" s="302">
        <f t="shared" si="115"/>
        <v>0</v>
      </c>
      <c r="HC120" s="302">
        <f t="shared" si="115"/>
        <v>0</v>
      </c>
      <c r="HD120" s="302">
        <f t="shared" si="115"/>
        <v>0</v>
      </c>
      <c r="HE120" s="302">
        <f t="shared" si="115"/>
        <v>0</v>
      </c>
      <c r="HF120" s="304" t="e">
        <f ca="1">SUM(FQ120:HE120)</f>
        <v>#VALUE!</v>
      </c>
      <c r="HG120" s="305" t="e">
        <f ca="1">HF120-S150</f>
        <v>#VALUE!</v>
      </c>
    </row>
    <row r="121" spans="1:215" s="306" customFormat="1" ht="14.25" customHeight="1">
      <c r="A121" s="307"/>
      <c r="B121" s="292" t="s">
        <v>348</v>
      </c>
      <c r="C121" s="292" t="s">
        <v>140</v>
      </c>
      <c r="D121" s="292" t="s">
        <v>140</v>
      </c>
      <c r="E121" s="292" t="s">
        <v>468</v>
      </c>
      <c r="F121" s="292" t="s">
        <v>184</v>
      </c>
      <c r="G121" s="292" t="s">
        <v>350</v>
      </c>
      <c r="H121" s="292" t="s">
        <v>351</v>
      </c>
      <c r="I121" s="292" t="s">
        <v>352</v>
      </c>
      <c r="J121" s="292" t="s">
        <v>184</v>
      </c>
      <c r="K121" s="292" t="s">
        <v>353</v>
      </c>
      <c r="L121" s="292" t="s">
        <v>359</v>
      </c>
      <c r="M121" s="292" t="s">
        <v>367</v>
      </c>
      <c r="N121" s="292" t="str">
        <f t="shared" si="100"/>
        <v>Analytics-Analytics</v>
      </c>
      <c r="O121" s="292" t="str">
        <f t="shared" si="101"/>
        <v>Technology-Consultant-India-Consulting</v>
      </c>
      <c r="P121" s="292" t="str">
        <f t="shared" si="102"/>
        <v>Analytics - Technology</v>
      </c>
      <c r="Q121" s="293">
        <f t="shared" si="111"/>
        <v>170100</v>
      </c>
      <c r="R121" s="294">
        <f t="shared" si="112"/>
        <v>0</v>
      </c>
      <c r="S121" s="295">
        <f t="shared" si="103"/>
        <v>1080</v>
      </c>
      <c r="T121" s="295">
        <f t="shared" si="113"/>
        <v>2835</v>
      </c>
      <c r="U121" s="296" t="str">
        <f t="shared" si="104"/>
        <v>Technology - Consultant</v>
      </c>
      <c r="V121" s="295" t="str">
        <f t="shared" si="105"/>
        <v>1-3 years</v>
      </c>
      <c r="W121" s="292" t="str">
        <f t="shared" si="106"/>
        <v>Offshore</v>
      </c>
      <c r="X121" s="292" t="s">
        <v>261</v>
      </c>
      <c r="Y121" s="292" t="s">
        <v>259</v>
      </c>
      <c r="Z121" s="292" t="s">
        <v>368</v>
      </c>
      <c r="AA121" s="297">
        <f>[1]Resourcing!QD125</f>
        <v>344.93</v>
      </c>
      <c r="AB121" s="298">
        <f t="shared" si="107"/>
        <v>60</v>
      </c>
      <c r="AC121" s="299"/>
      <c r="AD121" s="299"/>
      <c r="AE121" s="299"/>
      <c r="AF121" s="299"/>
      <c r="AG121" s="299"/>
      <c r="AH121" s="299"/>
      <c r="AI121" s="299"/>
      <c r="AJ121" s="299"/>
      <c r="AK121" s="299"/>
      <c r="AL121" s="299"/>
      <c r="AM121" s="299"/>
      <c r="AN121" s="299"/>
      <c r="AO121" s="299"/>
      <c r="AP121" s="299"/>
      <c r="AQ121" s="299"/>
      <c r="AR121" s="299"/>
      <c r="AS121" s="299"/>
      <c r="AT121" s="299"/>
      <c r="AU121" s="299"/>
      <c r="AV121" s="299"/>
      <c r="AW121" s="299"/>
      <c r="AX121" s="299"/>
      <c r="AY121" s="299"/>
      <c r="AZ121" s="299"/>
      <c r="BA121" s="299"/>
      <c r="BB121" s="299"/>
      <c r="BC121" s="299"/>
      <c r="BD121" s="299"/>
      <c r="BE121" s="299"/>
      <c r="BF121" s="299"/>
      <c r="BG121" s="299"/>
      <c r="BH121" s="299"/>
      <c r="BI121" s="299"/>
      <c r="BJ121" s="299"/>
      <c r="BK121" s="299"/>
      <c r="BL121" s="299"/>
      <c r="BM121" s="299"/>
      <c r="BN121" s="299"/>
      <c r="BO121" s="299"/>
      <c r="BP121" s="299"/>
      <c r="BQ121" s="299"/>
      <c r="BR121" s="299"/>
      <c r="BS121" s="299"/>
      <c r="BT121" s="299"/>
      <c r="BU121" s="299"/>
      <c r="BV121" s="299"/>
      <c r="BW121" s="299"/>
      <c r="BX121" s="299"/>
      <c r="BY121" s="299"/>
      <c r="BZ121" s="299"/>
      <c r="CA121" s="299"/>
      <c r="CB121" s="299"/>
      <c r="CC121" s="299">
        <v>45</v>
      </c>
      <c r="CD121" s="299">
        <v>45</v>
      </c>
      <c r="CE121" s="299">
        <v>45</v>
      </c>
      <c r="CF121" s="299">
        <v>45</v>
      </c>
      <c r="CG121" s="299">
        <v>45</v>
      </c>
      <c r="CH121" s="299">
        <v>45</v>
      </c>
      <c r="CI121" s="299">
        <v>45</v>
      </c>
      <c r="CJ121" s="299">
        <v>45</v>
      </c>
      <c r="CK121" s="299">
        <v>45</v>
      </c>
      <c r="CL121" s="299">
        <v>45</v>
      </c>
      <c r="CM121" s="299">
        <v>45</v>
      </c>
      <c r="CN121" s="299">
        <v>45</v>
      </c>
      <c r="CO121" s="299">
        <v>45</v>
      </c>
      <c r="CP121" s="299">
        <v>45</v>
      </c>
      <c r="CQ121" s="299">
        <v>45</v>
      </c>
      <c r="CR121" s="299">
        <v>45</v>
      </c>
      <c r="CS121" s="299">
        <v>45</v>
      </c>
      <c r="CT121" s="299">
        <v>45</v>
      </c>
      <c r="CU121" s="299">
        <v>45</v>
      </c>
      <c r="CV121" s="299">
        <v>45</v>
      </c>
      <c r="CW121" s="299">
        <v>45</v>
      </c>
      <c r="CX121" s="299">
        <v>45</v>
      </c>
      <c r="CY121" s="299">
        <v>45</v>
      </c>
      <c r="CZ121" s="299">
        <v>45</v>
      </c>
      <c r="DA121" s="299">
        <v>45</v>
      </c>
      <c r="DB121" s="299">
        <v>45</v>
      </c>
      <c r="DC121" s="299">
        <v>45</v>
      </c>
      <c r="DD121" s="299">
        <v>45</v>
      </c>
      <c r="DE121" s="299">
        <v>45</v>
      </c>
      <c r="DF121" s="299">
        <v>45</v>
      </c>
      <c r="DG121" s="299">
        <v>45</v>
      </c>
      <c r="DH121" s="299">
        <v>45</v>
      </c>
      <c r="DI121" s="299">
        <v>45</v>
      </c>
      <c r="DJ121" s="299">
        <v>45</v>
      </c>
      <c r="DK121" s="299">
        <v>45</v>
      </c>
      <c r="DL121" s="299">
        <v>45</v>
      </c>
      <c r="DM121" s="299">
        <v>45</v>
      </c>
      <c r="DN121" s="299">
        <v>45</v>
      </c>
      <c r="DO121" s="299">
        <v>45</v>
      </c>
      <c r="DP121" s="299">
        <v>45</v>
      </c>
      <c r="DQ121" s="299">
        <v>45</v>
      </c>
      <c r="DR121" s="299"/>
      <c r="DS121" s="299"/>
      <c r="DT121" s="299">
        <v>45</v>
      </c>
      <c r="DU121" s="299">
        <v>45</v>
      </c>
      <c r="DV121" s="299">
        <v>45</v>
      </c>
      <c r="DW121" s="299">
        <v>45</v>
      </c>
      <c r="DX121" s="299">
        <v>45</v>
      </c>
      <c r="DY121" s="299">
        <v>45</v>
      </c>
      <c r="DZ121" s="299">
        <v>45</v>
      </c>
      <c r="EA121" s="299">
        <v>45</v>
      </c>
      <c r="EB121" s="299">
        <v>45</v>
      </c>
      <c r="EC121" s="299">
        <v>45</v>
      </c>
      <c r="ED121" s="299">
        <v>45</v>
      </c>
      <c r="EE121" s="299">
        <v>45</v>
      </c>
      <c r="EF121" s="299">
        <v>45</v>
      </c>
      <c r="EG121" s="299">
        <v>45</v>
      </c>
      <c r="EH121" s="299">
        <v>45</v>
      </c>
      <c r="EI121" s="299">
        <v>45</v>
      </c>
      <c r="EJ121" s="299">
        <v>45</v>
      </c>
      <c r="EK121" s="299">
        <v>45</v>
      </c>
      <c r="EL121" s="299">
        <v>45</v>
      </c>
      <c r="EM121" s="299">
        <v>45</v>
      </c>
      <c r="EN121" s="299">
        <v>45</v>
      </c>
      <c r="EO121" s="299">
        <v>45</v>
      </c>
      <c r="EP121" s="299"/>
      <c r="EQ121" s="299"/>
      <c r="ER121" s="299"/>
      <c r="ES121" s="299"/>
      <c r="ET121" s="299"/>
      <c r="EU121" s="299"/>
      <c r="EV121" s="299"/>
      <c r="EW121" s="299"/>
      <c r="EX121" s="299"/>
      <c r="EY121" s="299"/>
      <c r="EZ121" s="299"/>
      <c r="FA121" s="299"/>
      <c r="FB121" s="299"/>
      <c r="FC121" s="299"/>
      <c r="FD121" s="299"/>
      <c r="FE121" s="299"/>
      <c r="FF121" s="299"/>
      <c r="FG121" s="299"/>
      <c r="FH121" s="299"/>
      <c r="FI121" s="299"/>
      <c r="FJ121" s="299"/>
      <c r="FK121" s="299"/>
      <c r="FL121" s="299"/>
      <c r="FM121" s="299"/>
      <c r="FN121" s="299"/>
      <c r="FO121" s="299"/>
      <c r="FP121" s="299"/>
      <c r="FQ121" s="300" t="e">
        <f t="shared" ca="1" si="114"/>
        <v>#VALUE!</v>
      </c>
      <c r="FR121" s="300" t="e">
        <f t="shared" ca="1" si="116"/>
        <v>#VALUE!</v>
      </c>
      <c r="FS121" s="300" t="e">
        <f t="shared" ca="1" si="116"/>
        <v>#VALUE!</v>
      </c>
      <c r="FT121" s="300" t="e">
        <f t="shared" ca="1" si="116"/>
        <v>#VALUE!</v>
      </c>
      <c r="FU121" s="300" t="e">
        <f t="shared" ca="1" si="116"/>
        <v>#VALUE!</v>
      </c>
      <c r="FV121" s="300" t="e">
        <f t="shared" ca="1" si="116"/>
        <v>#VALUE!</v>
      </c>
      <c r="FW121" s="300" t="e">
        <f t="shared" ca="1" si="116"/>
        <v>#VALUE!</v>
      </c>
      <c r="FX121" s="300" t="e">
        <f t="shared" ca="1" si="116"/>
        <v>#VALUE!</v>
      </c>
      <c r="FY121" s="300" t="e">
        <f t="shared" ca="1" si="116"/>
        <v>#VALUE!</v>
      </c>
      <c r="FZ121" s="300" t="e">
        <f t="shared" ca="1" si="116"/>
        <v>#VALUE!</v>
      </c>
      <c r="GA121" s="301" t="e">
        <f t="shared" ca="1" si="116"/>
        <v>#VALUE!</v>
      </c>
      <c r="GB121" s="301" t="e">
        <f t="shared" ca="1" si="117"/>
        <v>#VALUE!</v>
      </c>
      <c r="GC121" s="301" t="e">
        <f t="shared" ca="1" si="117"/>
        <v>#VALUE!</v>
      </c>
      <c r="GD121" s="301" t="e">
        <f t="shared" ca="1" si="117"/>
        <v>#VALUE!</v>
      </c>
      <c r="GE121" s="301" t="e">
        <f t="shared" ca="1" si="117"/>
        <v>#VALUE!</v>
      </c>
      <c r="GF121" s="301" t="e">
        <f t="shared" ca="1" si="117"/>
        <v>#VALUE!</v>
      </c>
      <c r="GG121" s="301" t="e">
        <f t="shared" ca="1" si="117"/>
        <v>#VALUE!</v>
      </c>
      <c r="GH121" s="301" t="e">
        <f t="shared" ca="1" si="117"/>
        <v>#VALUE!</v>
      </c>
      <c r="GI121" s="301" t="e">
        <f t="shared" ca="1" si="117"/>
        <v>#VALUE!</v>
      </c>
      <c r="GJ121" s="301" t="e">
        <f t="shared" ca="1" si="117"/>
        <v>#VALUE!</v>
      </c>
      <c r="GK121" s="301" t="e">
        <f t="shared" ca="1" si="117"/>
        <v>#VALUE!</v>
      </c>
      <c r="GL121" s="301" t="e">
        <f t="shared" ca="1" si="117"/>
        <v>#VALUE!</v>
      </c>
      <c r="GM121" s="301" t="e">
        <f t="shared" ca="1" si="117"/>
        <v>#VALUE!</v>
      </c>
      <c r="GN121" s="302" t="e">
        <f t="shared" ca="1" si="117"/>
        <v>#VALUE!</v>
      </c>
      <c r="GO121" s="302" t="e">
        <f t="shared" ca="1" si="117"/>
        <v>#VALUE!</v>
      </c>
      <c r="GP121" s="301">
        <f t="shared" si="115"/>
        <v>90</v>
      </c>
      <c r="GQ121" s="301">
        <f t="shared" si="115"/>
        <v>180</v>
      </c>
      <c r="GR121" s="301">
        <f t="shared" si="115"/>
        <v>180</v>
      </c>
      <c r="GS121" s="301">
        <f t="shared" si="115"/>
        <v>180</v>
      </c>
      <c r="GT121" s="301">
        <f t="shared" si="115"/>
        <v>180</v>
      </c>
      <c r="GU121" s="303">
        <f t="shared" si="115"/>
        <v>180</v>
      </c>
      <c r="GV121" s="302">
        <f t="shared" si="115"/>
        <v>90</v>
      </c>
      <c r="GW121" s="302">
        <f t="shared" si="115"/>
        <v>0</v>
      </c>
      <c r="GX121" s="302">
        <f t="shared" si="115"/>
        <v>0</v>
      </c>
      <c r="GY121" s="302">
        <f t="shared" si="115"/>
        <v>0</v>
      </c>
      <c r="GZ121" s="302">
        <f t="shared" si="115"/>
        <v>0</v>
      </c>
      <c r="HA121" s="302">
        <f t="shared" si="115"/>
        <v>0</v>
      </c>
      <c r="HB121" s="302">
        <f t="shared" si="115"/>
        <v>0</v>
      </c>
      <c r="HC121" s="302">
        <f t="shared" si="115"/>
        <v>0</v>
      </c>
      <c r="HD121" s="302">
        <f t="shared" si="115"/>
        <v>0</v>
      </c>
      <c r="HE121" s="302">
        <f t="shared" si="115"/>
        <v>0</v>
      </c>
      <c r="HF121" s="304"/>
      <c r="HG121" s="305"/>
    </row>
    <row r="122" spans="1:215" s="306" customFormat="1" ht="14.25" customHeight="1">
      <c r="A122" s="307"/>
      <c r="B122" s="292" t="s">
        <v>348</v>
      </c>
      <c r="C122" s="292" t="s">
        <v>140</v>
      </c>
      <c r="D122" s="292" t="s">
        <v>140</v>
      </c>
      <c r="E122" s="292" t="s">
        <v>468</v>
      </c>
      <c r="F122" s="292" t="s">
        <v>184</v>
      </c>
      <c r="G122" s="292" t="s">
        <v>350</v>
      </c>
      <c r="H122" s="292" t="s">
        <v>351</v>
      </c>
      <c r="I122" s="292" t="s">
        <v>352</v>
      </c>
      <c r="J122" s="292" t="s">
        <v>184</v>
      </c>
      <c r="K122" s="292" t="s">
        <v>353</v>
      </c>
      <c r="L122" s="292" t="s">
        <v>359</v>
      </c>
      <c r="M122" s="292" t="s">
        <v>367</v>
      </c>
      <c r="N122" s="292" t="str">
        <f t="shared" si="100"/>
        <v>Analytics-Analytics</v>
      </c>
      <c r="O122" s="292" t="str">
        <f t="shared" si="101"/>
        <v>Technology-Consultant-India-Consulting</v>
      </c>
      <c r="P122" s="292" t="str">
        <f t="shared" si="102"/>
        <v>Analytics - Technology</v>
      </c>
      <c r="Q122" s="293">
        <f t="shared" si="111"/>
        <v>137700</v>
      </c>
      <c r="R122" s="294">
        <f t="shared" si="112"/>
        <v>0</v>
      </c>
      <c r="S122" s="295">
        <f t="shared" si="103"/>
        <v>540</v>
      </c>
      <c r="T122" s="295">
        <f t="shared" si="113"/>
        <v>2295</v>
      </c>
      <c r="U122" s="296" t="str">
        <f t="shared" si="104"/>
        <v>Technology - Consultant</v>
      </c>
      <c r="V122" s="295" t="str">
        <f t="shared" si="105"/>
        <v>1-3 years</v>
      </c>
      <c r="W122" s="292" t="str">
        <f t="shared" si="106"/>
        <v>Offshore</v>
      </c>
      <c r="X122" s="292" t="s">
        <v>261</v>
      </c>
      <c r="Y122" s="292" t="s">
        <v>259</v>
      </c>
      <c r="Z122" s="292" t="s">
        <v>368</v>
      </c>
      <c r="AA122" s="297">
        <f>[1]Resourcing!QD126</f>
        <v>62.494666666666703</v>
      </c>
      <c r="AB122" s="298">
        <f t="shared" si="107"/>
        <v>60</v>
      </c>
      <c r="AC122" s="299"/>
      <c r="AD122" s="299"/>
      <c r="AE122" s="299"/>
      <c r="AF122" s="299"/>
      <c r="AG122" s="299"/>
      <c r="AH122" s="299"/>
      <c r="AI122" s="299"/>
      <c r="AJ122" s="299"/>
      <c r="AK122" s="299"/>
      <c r="AL122" s="299"/>
      <c r="AM122" s="299"/>
      <c r="AN122" s="299"/>
      <c r="AO122" s="299"/>
      <c r="AP122" s="299"/>
      <c r="AQ122" s="299"/>
      <c r="AR122" s="299"/>
      <c r="AS122" s="299"/>
      <c r="AT122" s="299"/>
      <c r="AU122" s="299"/>
      <c r="AV122" s="299"/>
      <c r="AW122" s="299"/>
      <c r="AX122" s="299"/>
      <c r="AY122" s="299"/>
      <c r="AZ122" s="299"/>
      <c r="BA122" s="299"/>
      <c r="BB122" s="299"/>
      <c r="BC122" s="299"/>
      <c r="BD122" s="299"/>
      <c r="BE122" s="299"/>
      <c r="BF122" s="299"/>
      <c r="BG122" s="299"/>
      <c r="BH122" s="299"/>
      <c r="BI122" s="299"/>
      <c r="BJ122" s="299"/>
      <c r="BK122" s="299"/>
      <c r="BL122" s="299"/>
      <c r="BM122" s="299"/>
      <c r="BN122" s="299"/>
      <c r="BO122" s="299"/>
      <c r="BP122" s="299"/>
      <c r="BQ122" s="299"/>
      <c r="BR122" s="299"/>
      <c r="BS122" s="299"/>
      <c r="BT122" s="299"/>
      <c r="BU122" s="299"/>
      <c r="BV122" s="299"/>
      <c r="BW122" s="299"/>
      <c r="BX122" s="299"/>
      <c r="BY122" s="299"/>
      <c r="BZ122" s="299"/>
      <c r="CA122" s="299"/>
      <c r="CB122" s="299"/>
      <c r="CC122" s="299">
        <v>45</v>
      </c>
      <c r="CD122" s="299">
        <v>45</v>
      </c>
      <c r="CE122" s="299">
        <v>45</v>
      </c>
      <c r="CF122" s="299">
        <v>45</v>
      </c>
      <c r="CG122" s="299">
        <v>45</v>
      </c>
      <c r="CH122" s="299">
        <v>45</v>
      </c>
      <c r="CI122" s="299">
        <v>45</v>
      </c>
      <c r="CJ122" s="299">
        <v>45</v>
      </c>
      <c r="CK122" s="299">
        <v>45</v>
      </c>
      <c r="CL122" s="299">
        <v>45</v>
      </c>
      <c r="CM122" s="299">
        <v>45</v>
      </c>
      <c r="CN122" s="299">
        <v>45</v>
      </c>
      <c r="CO122" s="299">
        <v>45</v>
      </c>
      <c r="CP122" s="299">
        <v>45</v>
      </c>
      <c r="CQ122" s="299">
        <v>45</v>
      </c>
      <c r="CR122" s="299">
        <v>45</v>
      </c>
      <c r="CS122" s="299">
        <v>45</v>
      </c>
      <c r="CT122" s="299">
        <v>45</v>
      </c>
      <c r="CU122" s="299">
        <v>45</v>
      </c>
      <c r="CV122" s="299">
        <v>45</v>
      </c>
      <c r="CW122" s="299">
        <v>45</v>
      </c>
      <c r="CX122" s="299">
        <v>45</v>
      </c>
      <c r="CY122" s="299">
        <v>45</v>
      </c>
      <c r="CZ122" s="299">
        <v>45</v>
      </c>
      <c r="DA122" s="299">
        <v>45</v>
      </c>
      <c r="DB122" s="299">
        <v>45</v>
      </c>
      <c r="DC122" s="299">
        <v>45</v>
      </c>
      <c r="DD122" s="299">
        <v>45</v>
      </c>
      <c r="DE122" s="299">
        <v>45</v>
      </c>
      <c r="DF122" s="299">
        <v>45</v>
      </c>
      <c r="DG122" s="299">
        <v>45</v>
      </c>
      <c r="DH122" s="299">
        <v>45</v>
      </c>
      <c r="DI122" s="299">
        <v>45</v>
      </c>
      <c r="DJ122" s="299">
        <v>45</v>
      </c>
      <c r="DK122" s="299">
        <v>45</v>
      </c>
      <c r="DL122" s="299">
        <v>45</v>
      </c>
      <c r="DM122" s="299">
        <v>45</v>
      </c>
      <c r="DN122" s="299">
        <v>45</v>
      </c>
      <c r="DO122" s="299">
        <v>45</v>
      </c>
      <c r="DP122" s="299">
        <v>45</v>
      </c>
      <c r="DQ122" s="299">
        <v>45</v>
      </c>
      <c r="DR122" s="299"/>
      <c r="DS122" s="299"/>
      <c r="DT122" s="299">
        <v>45</v>
      </c>
      <c r="DU122" s="299">
        <v>45</v>
      </c>
      <c r="DV122" s="299">
        <v>45</v>
      </c>
      <c r="DW122" s="299">
        <v>45</v>
      </c>
      <c r="DX122" s="299">
        <v>45</v>
      </c>
      <c r="DY122" s="299">
        <v>45</v>
      </c>
      <c r="DZ122" s="299">
        <v>45</v>
      </c>
      <c r="EA122" s="299">
        <v>45</v>
      </c>
      <c r="EB122" s="299">
        <v>45</v>
      </c>
      <c r="EC122" s="299">
        <v>45</v>
      </c>
      <c r="ED122" s="299"/>
      <c r="EE122" s="299"/>
      <c r="EF122" s="299"/>
      <c r="EG122" s="299"/>
      <c r="EH122" s="299"/>
      <c r="EI122" s="299"/>
      <c r="EJ122" s="299"/>
      <c r="EK122" s="299"/>
      <c r="EL122" s="299"/>
      <c r="EM122" s="299"/>
      <c r="EN122" s="299"/>
      <c r="EO122" s="299"/>
      <c r="EP122" s="299"/>
      <c r="EQ122" s="299"/>
      <c r="ER122" s="299"/>
      <c r="ES122" s="299"/>
      <c r="ET122" s="299"/>
      <c r="EU122" s="299"/>
      <c r="EV122" s="299"/>
      <c r="EW122" s="299"/>
      <c r="EX122" s="299"/>
      <c r="EY122" s="299"/>
      <c r="EZ122" s="299"/>
      <c r="FA122" s="299"/>
      <c r="FB122" s="299"/>
      <c r="FC122" s="299"/>
      <c r="FD122" s="299"/>
      <c r="FE122" s="299"/>
      <c r="FF122" s="299"/>
      <c r="FG122" s="299"/>
      <c r="FH122" s="299"/>
      <c r="FI122" s="299"/>
      <c r="FJ122" s="299"/>
      <c r="FK122" s="299"/>
      <c r="FL122" s="299"/>
      <c r="FM122" s="299"/>
      <c r="FN122" s="299"/>
      <c r="FO122" s="299"/>
      <c r="FP122" s="299"/>
      <c r="FQ122" s="300" t="e">
        <f t="shared" ca="1" si="114"/>
        <v>#VALUE!</v>
      </c>
      <c r="FR122" s="300" t="e">
        <f t="shared" ca="1" si="116"/>
        <v>#VALUE!</v>
      </c>
      <c r="FS122" s="300" t="e">
        <f t="shared" ca="1" si="116"/>
        <v>#VALUE!</v>
      </c>
      <c r="FT122" s="300" t="e">
        <f t="shared" ca="1" si="116"/>
        <v>#VALUE!</v>
      </c>
      <c r="FU122" s="300" t="e">
        <f t="shared" ca="1" si="116"/>
        <v>#VALUE!</v>
      </c>
      <c r="FV122" s="300" t="e">
        <f t="shared" ca="1" si="116"/>
        <v>#VALUE!</v>
      </c>
      <c r="FW122" s="300" t="e">
        <f t="shared" ca="1" si="116"/>
        <v>#VALUE!</v>
      </c>
      <c r="FX122" s="300" t="e">
        <f t="shared" ca="1" si="116"/>
        <v>#VALUE!</v>
      </c>
      <c r="FY122" s="300" t="e">
        <f t="shared" ca="1" si="116"/>
        <v>#VALUE!</v>
      </c>
      <c r="FZ122" s="300" t="e">
        <f t="shared" ca="1" si="116"/>
        <v>#VALUE!</v>
      </c>
      <c r="GA122" s="301" t="e">
        <f t="shared" ca="1" si="116"/>
        <v>#VALUE!</v>
      </c>
      <c r="GB122" s="301" t="e">
        <f t="shared" ca="1" si="117"/>
        <v>#VALUE!</v>
      </c>
      <c r="GC122" s="301" t="e">
        <f t="shared" ca="1" si="117"/>
        <v>#VALUE!</v>
      </c>
      <c r="GD122" s="301" t="e">
        <f t="shared" ca="1" si="117"/>
        <v>#VALUE!</v>
      </c>
      <c r="GE122" s="301" t="e">
        <f t="shared" ca="1" si="117"/>
        <v>#VALUE!</v>
      </c>
      <c r="GF122" s="301" t="e">
        <f t="shared" ca="1" si="117"/>
        <v>#VALUE!</v>
      </c>
      <c r="GG122" s="301" t="e">
        <f t="shared" ca="1" si="117"/>
        <v>#VALUE!</v>
      </c>
      <c r="GH122" s="301" t="e">
        <f t="shared" ca="1" si="117"/>
        <v>#VALUE!</v>
      </c>
      <c r="GI122" s="301" t="e">
        <f t="shared" ca="1" si="117"/>
        <v>#VALUE!</v>
      </c>
      <c r="GJ122" s="301" t="e">
        <f t="shared" ca="1" si="117"/>
        <v>#VALUE!</v>
      </c>
      <c r="GK122" s="301" t="e">
        <f t="shared" ca="1" si="117"/>
        <v>#VALUE!</v>
      </c>
      <c r="GL122" s="301" t="e">
        <f t="shared" ca="1" si="117"/>
        <v>#VALUE!</v>
      </c>
      <c r="GM122" s="301" t="e">
        <f t="shared" ca="1" si="117"/>
        <v>#VALUE!</v>
      </c>
      <c r="GN122" s="302" t="e">
        <f t="shared" ca="1" si="117"/>
        <v>#VALUE!</v>
      </c>
      <c r="GO122" s="302" t="e">
        <f t="shared" ca="1" si="117"/>
        <v>#VALUE!</v>
      </c>
      <c r="GP122" s="301">
        <f t="shared" si="115"/>
        <v>90</v>
      </c>
      <c r="GQ122" s="301">
        <f t="shared" si="115"/>
        <v>180</v>
      </c>
      <c r="GR122" s="301">
        <f t="shared" si="115"/>
        <v>180</v>
      </c>
      <c r="GS122" s="301">
        <f t="shared" si="115"/>
        <v>90</v>
      </c>
      <c r="GT122" s="301">
        <f t="shared" si="115"/>
        <v>0</v>
      </c>
      <c r="GU122" s="303">
        <f t="shared" si="115"/>
        <v>0</v>
      </c>
      <c r="GV122" s="302">
        <f t="shared" si="115"/>
        <v>0</v>
      </c>
      <c r="GW122" s="302">
        <f t="shared" si="115"/>
        <v>0</v>
      </c>
      <c r="GX122" s="302">
        <f t="shared" si="115"/>
        <v>0</v>
      </c>
      <c r="GY122" s="302">
        <f t="shared" si="115"/>
        <v>0</v>
      </c>
      <c r="GZ122" s="302">
        <f t="shared" si="115"/>
        <v>0</v>
      </c>
      <c r="HA122" s="302">
        <f t="shared" si="115"/>
        <v>0</v>
      </c>
      <c r="HB122" s="302">
        <f t="shared" si="115"/>
        <v>0</v>
      </c>
      <c r="HC122" s="302">
        <f t="shared" si="115"/>
        <v>0</v>
      </c>
      <c r="HD122" s="302">
        <f t="shared" si="115"/>
        <v>0</v>
      </c>
      <c r="HE122" s="302">
        <f t="shared" si="115"/>
        <v>0</v>
      </c>
      <c r="HF122" s="304"/>
      <c r="HG122" s="305"/>
    </row>
    <row r="123" spans="1:215" s="306" customFormat="1" ht="14.25" customHeight="1">
      <c r="A123" s="307"/>
      <c r="B123" s="292" t="s">
        <v>348</v>
      </c>
      <c r="C123" s="292" t="s">
        <v>140</v>
      </c>
      <c r="D123" s="292" t="s">
        <v>140</v>
      </c>
      <c r="E123" s="292" t="s">
        <v>468</v>
      </c>
      <c r="F123" s="292" t="s">
        <v>184</v>
      </c>
      <c r="G123" s="292" t="s">
        <v>350</v>
      </c>
      <c r="H123" s="292" t="s">
        <v>351</v>
      </c>
      <c r="I123" s="292" t="s">
        <v>352</v>
      </c>
      <c r="J123" s="292" t="s">
        <v>184</v>
      </c>
      <c r="K123" s="292" t="s">
        <v>353</v>
      </c>
      <c r="L123" s="292" t="s">
        <v>359</v>
      </c>
      <c r="M123" s="292" t="s">
        <v>363</v>
      </c>
      <c r="N123" s="292" t="str">
        <f t="shared" si="100"/>
        <v>Analytics-Analytics</v>
      </c>
      <c r="O123" s="292" t="str">
        <f t="shared" si="101"/>
        <v>Technology-Analyst-India-Consulting</v>
      </c>
      <c r="P123" s="292" t="str">
        <f t="shared" si="102"/>
        <v>Analytics - Technology</v>
      </c>
      <c r="Q123" s="293">
        <f t="shared" si="111"/>
        <v>75600</v>
      </c>
      <c r="R123" s="294">
        <f t="shared" si="112"/>
        <v>0</v>
      </c>
      <c r="S123" s="295">
        <f t="shared" si="103"/>
        <v>0</v>
      </c>
      <c r="T123" s="295">
        <f t="shared" si="113"/>
        <v>1575</v>
      </c>
      <c r="U123" s="296" t="str">
        <f t="shared" si="104"/>
        <v>Technology - Analyst</v>
      </c>
      <c r="V123" s="295" t="str">
        <f t="shared" si="105"/>
        <v>0-1 years</v>
      </c>
      <c r="W123" s="292" t="str">
        <f t="shared" si="106"/>
        <v>Offshore</v>
      </c>
      <c r="X123" s="292" t="s">
        <v>261</v>
      </c>
      <c r="Y123" s="292" t="s">
        <v>259</v>
      </c>
      <c r="Z123" s="292" t="s">
        <v>384</v>
      </c>
      <c r="AA123" s="297">
        <f>[1]Resourcing!QD127</f>
        <v>53.1438202247191</v>
      </c>
      <c r="AB123" s="298">
        <f t="shared" si="107"/>
        <v>48</v>
      </c>
      <c r="AC123" s="299"/>
      <c r="AD123" s="299"/>
      <c r="AE123" s="299"/>
      <c r="AF123" s="299"/>
      <c r="AG123" s="299"/>
      <c r="AH123" s="299"/>
      <c r="AI123" s="299"/>
      <c r="AJ123" s="299"/>
      <c r="AK123" s="299"/>
      <c r="AL123" s="299"/>
      <c r="AM123" s="299"/>
      <c r="AN123" s="299"/>
      <c r="AO123" s="299"/>
      <c r="AP123" s="299"/>
      <c r="AQ123" s="299"/>
      <c r="AR123" s="299"/>
      <c r="AS123" s="299"/>
      <c r="AT123" s="299"/>
      <c r="AU123" s="299"/>
      <c r="AV123" s="299"/>
      <c r="AW123" s="299"/>
      <c r="AX123" s="299"/>
      <c r="AY123" s="299"/>
      <c r="AZ123" s="299"/>
      <c r="BA123" s="299"/>
      <c r="BB123" s="299"/>
      <c r="BC123" s="299"/>
      <c r="BD123" s="299"/>
      <c r="BE123" s="299"/>
      <c r="BF123" s="299"/>
      <c r="BG123" s="299"/>
      <c r="BH123" s="299"/>
      <c r="BI123" s="299"/>
      <c r="BJ123" s="299"/>
      <c r="BK123" s="299"/>
      <c r="BL123" s="299"/>
      <c r="BM123" s="299"/>
      <c r="BN123" s="299"/>
      <c r="BO123" s="299"/>
      <c r="BP123" s="299"/>
      <c r="BQ123" s="299"/>
      <c r="BR123" s="299"/>
      <c r="BS123" s="299"/>
      <c r="BT123" s="299"/>
      <c r="BU123" s="299"/>
      <c r="BV123" s="299"/>
      <c r="BW123" s="299"/>
      <c r="BX123" s="299"/>
      <c r="BY123" s="299"/>
      <c r="BZ123" s="299"/>
      <c r="CA123" s="299"/>
      <c r="CB123" s="299"/>
      <c r="CC123" s="299">
        <v>45</v>
      </c>
      <c r="CD123" s="299">
        <v>45</v>
      </c>
      <c r="CE123" s="299">
        <v>45</v>
      </c>
      <c r="CF123" s="299">
        <v>45</v>
      </c>
      <c r="CG123" s="299">
        <v>45</v>
      </c>
      <c r="CH123" s="299">
        <v>45</v>
      </c>
      <c r="CI123" s="299">
        <v>45</v>
      </c>
      <c r="CJ123" s="299">
        <v>45</v>
      </c>
      <c r="CK123" s="299">
        <v>45</v>
      </c>
      <c r="CL123" s="299">
        <v>45</v>
      </c>
      <c r="CM123" s="299">
        <v>45</v>
      </c>
      <c r="CN123" s="299">
        <v>45</v>
      </c>
      <c r="CO123" s="299">
        <v>45</v>
      </c>
      <c r="CP123" s="299">
        <v>45</v>
      </c>
      <c r="CQ123" s="299">
        <v>45</v>
      </c>
      <c r="CR123" s="299">
        <v>45</v>
      </c>
      <c r="CS123" s="299">
        <v>45</v>
      </c>
      <c r="CT123" s="299">
        <v>45</v>
      </c>
      <c r="CU123" s="299">
        <v>45</v>
      </c>
      <c r="CV123" s="299">
        <v>45</v>
      </c>
      <c r="CW123" s="299">
        <v>45</v>
      </c>
      <c r="CX123" s="299">
        <v>45</v>
      </c>
      <c r="CY123" s="299">
        <v>45</v>
      </c>
      <c r="CZ123" s="299">
        <v>45</v>
      </c>
      <c r="DA123" s="299">
        <v>45</v>
      </c>
      <c r="DB123" s="299">
        <v>45</v>
      </c>
      <c r="DC123" s="299">
        <v>45</v>
      </c>
      <c r="DD123" s="299">
        <v>45</v>
      </c>
      <c r="DE123" s="299">
        <v>45</v>
      </c>
      <c r="DF123" s="299">
        <v>45</v>
      </c>
      <c r="DG123" s="299">
        <v>45</v>
      </c>
      <c r="DH123" s="299">
        <v>45</v>
      </c>
      <c r="DI123" s="299">
        <v>45</v>
      </c>
      <c r="DJ123" s="299">
        <v>45</v>
      </c>
      <c r="DK123" s="299">
        <v>45</v>
      </c>
      <c r="DL123" s="299"/>
      <c r="DM123" s="299"/>
      <c r="DN123" s="299"/>
      <c r="DO123" s="299"/>
      <c r="DP123" s="299"/>
      <c r="DQ123" s="299"/>
      <c r="DR123" s="299"/>
      <c r="DS123" s="299"/>
      <c r="DT123" s="299"/>
      <c r="DU123" s="299"/>
      <c r="DV123" s="299"/>
      <c r="DW123" s="299"/>
      <c r="DX123" s="299"/>
      <c r="DY123" s="299"/>
      <c r="DZ123" s="299"/>
      <c r="EA123" s="299"/>
      <c r="EB123" s="299"/>
      <c r="EC123" s="299"/>
      <c r="ED123" s="299"/>
      <c r="EE123" s="299"/>
      <c r="EF123" s="299"/>
      <c r="EG123" s="299"/>
      <c r="EH123" s="299"/>
      <c r="EI123" s="299"/>
      <c r="EJ123" s="299"/>
      <c r="EK123" s="299"/>
      <c r="EL123" s="299"/>
      <c r="EM123" s="299"/>
      <c r="EN123" s="299"/>
      <c r="EO123" s="299"/>
      <c r="EP123" s="299"/>
      <c r="EQ123" s="299"/>
      <c r="ER123" s="299"/>
      <c r="ES123" s="299"/>
      <c r="ET123" s="299"/>
      <c r="EU123" s="299"/>
      <c r="EV123" s="299"/>
      <c r="EW123" s="299"/>
      <c r="EX123" s="299"/>
      <c r="EY123" s="299"/>
      <c r="EZ123" s="299"/>
      <c r="FA123" s="299"/>
      <c r="FB123" s="299"/>
      <c r="FC123" s="299"/>
      <c r="FD123" s="299"/>
      <c r="FE123" s="299"/>
      <c r="FF123" s="299"/>
      <c r="FG123" s="299"/>
      <c r="FH123" s="299"/>
      <c r="FI123" s="299"/>
      <c r="FJ123" s="299"/>
      <c r="FK123" s="299"/>
      <c r="FL123" s="299"/>
      <c r="FM123" s="299"/>
      <c r="FN123" s="299"/>
      <c r="FO123" s="299"/>
      <c r="FP123" s="299"/>
      <c r="FQ123" s="300" t="e">
        <f t="shared" ca="1" si="114"/>
        <v>#VALUE!</v>
      </c>
      <c r="FR123" s="300" t="e">
        <f t="shared" ref="FR123:GA132" ca="1" si="118">SUMIF($AC$11:$FP$11,FR$12,$AC123:$FP123)</f>
        <v>#VALUE!</v>
      </c>
      <c r="FS123" s="300" t="e">
        <f t="shared" ca="1" si="118"/>
        <v>#VALUE!</v>
      </c>
      <c r="FT123" s="300" t="e">
        <f t="shared" ca="1" si="118"/>
        <v>#VALUE!</v>
      </c>
      <c r="FU123" s="300" t="e">
        <f t="shared" ca="1" si="118"/>
        <v>#VALUE!</v>
      </c>
      <c r="FV123" s="300" t="e">
        <f t="shared" ca="1" si="118"/>
        <v>#VALUE!</v>
      </c>
      <c r="FW123" s="300" t="e">
        <f t="shared" ca="1" si="118"/>
        <v>#VALUE!</v>
      </c>
      <c r="FX123" s="300" t="e">
        <f t="shared" ca="1" si="118"/>
        <v>#VALUE!</v>
      </c>
      <c r="FY123" s="300" t="e">
        <f t="shared" ca="1" si="118"/>
        <v>#VALUE!</v>
      </c>
      <c r="FZ123" s="300" t="e">
        <f t="shared" ca="1" si="118"/>
        <v>#VALUE!</v>
      </c>
      <c r="GA123" s="301" t="e">
        <f t="shared" ca="1" si="118"/>
        <v>#VALUE!</v>
      </c>
      <c r="GB123" s="301" t="e">
        <f t="shared" ref="GB123:GO132" ca="1" si="119">SUMIF($AC$11:$FP$11,GB$12,$AC123:$FP123)</f>
        <v>#VALUE!</v>
      </c>
      <c r="GC123" s="301" t="e">
        <f t="shared" ca="1" si="119"/>
        <v>#VALUE!</v>
      </c>
      <c r="GD123" s="301" t="e">
        <f t="shared" ca="1" si="119"/>
        <v>#VALUE!</v>
      </c>
      <c r="GE123" s="301" t="e">
        <f t="shared" ca="1" si="119"/>
        <v>#VALUE!</v>
      </c>
      <c r="GF123" s="301" t="e">
        <f t="shared" ca="1" si="119"/>
        <v>#VALUE!</v>
      </c>
      <c r="GG123" s="301" t="e">
        <f t="shared" ca="1" si="119"/>
        <v>#VALUE!</v>
      </c>
      <c r="GH123" s="301" t="e">
        <f t="shared" ca="1" si="119"/>
        <v>#VALUE!</v>
      </c>
      <c r="GI123" s="301" t="e">
        <f t="shared" ca="1" si="119"/>
        <v>#VALUE!</v>
      </c>
      <c r="GJ123" s="301" t="e">
        <f t="shared" ca="1" si="119"/>
        <v>#VALUE!</v>
      </c>
      <c r="GK123" s="301" t="e">
        <f t="shared" ca="1" si="119"/>
        <v>#VALUE!</v>
      </c>
      <c r="GL123" s="301" t="e">
        <f t="shared" ca="1" si="119"/>
        <v>#VALUE!</v>
      </c>
      <c r="GM123" s="301" t="e">
        <f t="shared" ca="1" si="119"/>
        <v>#VALUE!</v>
      </c>
      <c r="GN123" s="302" t="e">
        <f t="shared" ca="1" si="119"/>
        <v>#VALUE!</v>
      </c>
      <c r="GO123" s="302" t="e">
        <f t="shared" ca="1" si="119"/>
        <v>#VALUE!</v>
      </c>
      <c r="GP123" s="301">
        <f t="shared" si="115"/>
        <v>0</v>
      </c>
      <c r="GQ123" s="301">
        <f t="shared" si="115"/>
        <v>0</v>
      </c>
      <c r="GR123" s="301">
        <f t="shared" si="115"/>
        <v>0</v>
      </c>
      <c r="GS123" s="301">
        <f t="shared" si="115"/>
        <v>0</v>
      </c>
      <c r="GT123" s="301">
        <f t="shared" si="115"/>
        <v>0</v>
      </c>
      <c r="GU123" s="303">
        <f t="shared" si="115"/>
        <v>0</v>
      </c>
      <c r="GV123" s="302">
        <f t="shared" si="115"/>
        <v>0</v>
      </c>
      <c r="GW123" s="302">
        <f t="shared" si="115"/>
        <v>0</v>
      </c>
      <c r="GX123" s="302">
        <f t="shared" si="115"/>
        <v>0</v>
      </c>
      <c r="GY123" s="302">
        <f t="shared" si="115"/>
        <v>0</v>
      </c>
      <c r="GZ123" s="302">
        <f t="shared" si="115"/>
        <v>0</v>
      </c>
      <c r="HA123" s="302">
        <f t="shared" si="115"/>
        <v>0</v>
      </c>
      <c r="HB123" s="302">
        <f t="shared" si="115"/>
        <v>0</v>
      </c>
      <c r="HC123" s="302">
        <f t="shared" si="115"/>
        <v>0</v>
      </c>
      <c r="HD123" s="302">
        <f t="shared" si="115"/>
        <v>0</v>
      </c>
      <c r="HE123" s="302">
        <f t="shared" si="115"/>
        <v>0</v>
      </c>
      <c r="HF123" s="304"/>
      <c r="HG123" s="305"/>
    </row>
    <row r="124" spans="1:215" s="306" customFormat="1" ht="14.25" customHeight="1">
      <c r="A124" s="307"/>
      <c r="B124" s="292"/>
      <c r="C124" s="292"/>
      <c r="D124" s="292"/>
      <c r="E124" s="292"/>
      <c r="F124" s="292"/>
      <c r="G124" s="292"/>
      <c r="H124" s="292"/>
      <c r="I124" s="292"/>
      <c r="J124" s="292"/>
      <c r="K124" s="292"/>
      <c r="L124" s="292"/>
      <c r="M124" s="292"/>
      <c r="N124" s="292"/>
      <c r="O124" s="292"/>
      <c r="P124" s="292"/>
      <c r="Q124" s="293">
        <f t="shared" si="111"/>
        <v>0</v>
      </c>
      <c r="R124" s="294">
        <f t="shared" si="112"/>
        <v>0</v>
      </c>
      <c r="S124" s="295"/>
      <c r="T124" s="295">
        <f t="shared" si="113"/>
        <v>0</v>
      </c>
      <c r="U124" s="296"/>
      <c r="V124" s="295">
        <f>SUM(GP124:HN124)</f>
        <v>0</v>
      </c>
      <c r="W124" s="292"/>
      <c r="X124" s="292"/>
      <c r="Y124" s="292"/>
      <c r="Z124" s="292"/>
      <c r="AA124" s="297">
        <f>[1]Resourcing!QD128</f>
        <v>53.528571428571396</v>
      </c>
      <c r="AB124" s="298"/>
      <c r="AC124" s="299"/>
      <c r="AD124" s="299"/>
      <c r="AE124" s="299"/>
      <c r="AF124" s="299"/>
      <c r="AG124" s="299"/>
      <c r="AH124" s="299"/>
      <c r="AI124" s="299"/>
      <c r="AJ124" s="299"/>
      <c r="AK124" s="299"/>
      <c r="AL124" s="299"/>
      <c r="AM124" s="299"/>
      <c r="AN124" s="299"/>
      <c r="AO124" s="299"/>
      <c r="AP124" s="299"/>
      <c r="AQ124" s="299"/>
      <c r="AR124" s="299"/>
      <c r="AS124" s="299"/>
      <c r="AT124" s="299"/>
      <c r="AU124" s="299"/>
      <c r="AV124" s="299"/>
      <c r="AW124" s="299"/>
      <c r="AX124" s="299"/>
      <c r="AY124" s="299"/>
      <c r="AZ124" s="299"/>
      <c r="BA124" s="299"/>
      <c r="BB124" s="299"/>
      <c r="BC124" s="299"/>
      <c r="BD124" s="299"/>
      <c r="BE124" s="299"/>
      <c r="BF124" s="299"/>
      <c r="BG124" s="299"/>
      <c r="BH124" s="299"/>
      <c r="BI124" s="299"/>
      <c r="BJ124" s="299"/>
      <c r="BK124" s="299"/>
      <c r="BL124" s="299"/>
      <c r="BM124" s="299"/>
      <c r="BN124" s="299"/>
      <c r="BO124" s="299"/>
      <c r="BP124" s="299"/>
      <c r="BQ124" s="299"/>
      <c r="BR124" s="299"/>
      <c r="BS124" s="299"/>
      <c r="BT124" s="299"/>
      <c r="BU124" s="299"/>
      <c r="BV124" s="299"/>
      <c r="BW124" s="299"/>
      <c r="BX124" s="299"/>
      <c r="BY124" s="299"/>
      <c r="BZ124" s="299"/>
      <c r="CA124" s="299"/>
      <c r="CB124" s="299"/>
      <c r="CC124" s="299"/>
      <c r="CD124" s="299"/>
      <c r="CE124" s="299"/>
      <c r="CF124" s="299"/>
      <c r="CG124" s="299"/>
      <c r="CH124" s="299"/>
      <c r="CI124" s="299"/>
      <c r="CJ124" s="299"/>
      <c r="CK124" s="299"/>
      <c r="CL124" s="299"/>
      <c r="CM124" s="299"/>
      <c r="CN124" s="299"/>
      <c r="CO124" s="299"/>
      <c r="CP124" s="299"/>
      <c r="CQ124" s="299"/>
      <c r="CR124" s="299"/>
      <c r="CS124" s="299"/>
      <c r="CT124" s="299"/>
      <c r="CU124" s="299"/>
      <c r="CV124" s="299"/>
      <c r="CW124" s="299"/>
      <c r="CX124" s="299"/>
      <c r="CY124" s="299"/>
      <c r="CZ124" s="299"/>
      <c r="DA124" s="299"/>
      <c r="DB124" s="299"/>
      <c r="DC124" s="299"/>
      <c r="DD124" s="299"/>
      <c r="DE124" s="299"/>
      <c r="DF124" s="299"/>
      <c r="DG124" s="299"/>
      <c r="DH124" s="299"/>
      <c r="DI124" s="299"/>
      <c r="DJ124" s="299"/>
      <c r="DK124" s="299"/>
      <c r="DL124" s="299"/>
      <c r="DM124" s="299"/>
      <c r="DN124" s="299"/>
      <c r="DO124" s="299"/>
      <c r="DP124" s="299"/>
      <c r="DQ124" s="299"/>
      <c r="DR124" s="299"/>
      <c r="DS124" s="299"/>
      <c r="DT124" s="299"/>
      <c r="DU124" s="299"/>
      <c r="DV124" s="299"/>
      <c r="DW124" s="299"/>
      <c r="DX124" s="299"/>
      <c r="DY124" s="299"/>
      <c r="DZ124" s="299"/>
      <c r="EA124" s="299"/>
      <c r="EB124" s="299"/>
      <c r="EC124" s="299"/>
      <c r="ED124" s="299"/>
      <c r="EE124" s="299"/>
      <c r="EF124" s="299"/>
      <c r="EG124" s="299"/>
      <c r="EH124" s="299"/>
      <c r="EI124" s="299"/>
      <c r="EJ124" s="299"/>
      <c r="EK124" s="299"/>
      <c r="EL124" s="299"/>
      <c r="EM124" s="299"/>
      <c r="EN124" s="299"/>
      <c r="EO124" s="299"/>
      <c r="EP124" s="299"/>
      <c r="EQ124" s="299"/>
      <c r="ER124" s="299"/>
      <c r="ES124" s="299"/>
      <c r="ET124" s="299"/>
      <c r="EU124" s="299"/>
      <c r="EV124" s="299"/>
      <c r="EW124" s="299"/>
      <c r="EX124" s="299"/>
      <c r="EY124" s="299"/>
      <c r="EZ124" s="299"/>
      <c r="FA124" s="299"/>
      <c r="FB124" s="299"/>
      <c r="FC124" s="299"/>
      <c r="FD124" s="299"/>
      <c r="FE124" s="299"/>
      <c r="FF124" s="299"/>
      <c r="FG124" s="299"/>
      <c r="FH124" s="299"/>
      <c r="FI124" s="299"/>
      <c r="FJ124" s="299"/>
      <c r="FK124" s="299"/>
      <c r="FL124" s="299"/>
      <c r="FM124" s="299"/>
      <c r="FN124" s="299"/>
      <c r="FO124" s="299"/>
      <c r="FP124" s="299"/>
      <c r="FQ124" s="300" t="e">
        <f t="shared" ca="1" si="114"/>
        <v>#VALUE!</v>
      </c>
      <c r="FR124" s="300" t="e">
        <f t="shared" ca="1" si="118"/>
        <v>#VALUE!</v>
      </c>
      <c r="FS124" s="300" t="e">
        <f t="shared" ca="1" si="118"/>
        <v>#VALUE!</v>
      </c>
      <c r="FT124" s="300" t="e">
        <f t="shared" ca="1" si="118"/>
        <v>#VALUE!</v>
      </c>
      <c r="FU124" s="300" t="e">
        <f t="shared" ca="1" si="118"/>
        <v>#VALUE!</v>
      </c>
      <c r="FV124" s="300" t="e">
        <f t="shared" ca="1" si="118"/>
        <v>#VALUE!</v>
      </c>
      <c r="FW124" s="300" t="e">
        <f t="shared" ca="1" si="118"/>
        <v>#VALUE!</v>
      </c>
      <c r="FX124" s="300" t="e">
        <f t="shared" ca="1" si="118"/>
        <v>#VALUE!</v>
      </c>
      <c r="FY124" s="300" t="e">
        <f t="shared" ca="1" si="118"/>
        <v>#VALUE!</v>
      </c>
      <c r="FZ124" s="300" t="e">
        <f t="shared" ca="1" si="118"/>
        <v>#VALUE!</v>
      </c>
      <c r="GA124" s="301" t="e">
        <f t="shared" ca="1" si="118"/>
        <v>#VALUE!</v>
      </c>
      <c r="GB124" s="301" t="e">
        <f t="shared" ca="1" si="119"/>
        <v>#VALUE!</v>
      </c>
      <c r="GC124" s="301" t="e">
        <f t="shared" ca="1" si="119"/>
        <v>#VALUE!</v>
      </c>
      <c r="GD124" s="301" t="e">
        <f t="shared" ca="1" si="119"/>
        <v>#VALUE!</v>
      </c>
      <c r="GE124" s="301" t="e">
        <f t="shared" ca="1" si="119"/>
        <v>#VALUE!</v>
      </c>
      <c r="GF124" s="301" t="e">
        <f t="shared" ca="1" si="119"/>
        <v>#VALUE!</v>
      </c>
      <c r="GG124" s="301" t="e">
        <f t="shared" ca="1" si="119"/>
        <v>#VALUE!</v>
      </c>
      <c r="GH124" s="301" t="e">
        <f t="shared" ca="1" si="119"/>
        <v>#VALUE!</v>
      </c>
      <c r="GI124" s="301" t="e">
        <f t="shared" ca="1" si="119"/>
        <v>#VALUE!</v>
      </c>
      <c r="GJ124" s="301" t="e">
        <f t="shared" ca="1" si="119"/>
        <v>#VALUE!</v>
      </c>
      <c r="GK124" s="301" t="e">
        <f t="shared" ca="1" si="119"/>
        <v>#VALUE!</v>
      </c>
      <c r="GL124" s="301" t="e">
        <f t="shared" ca="1" si="119"/>
        <v>#VALUE!</v>
      </c>
      <c r="GM124" s="301" t="e">
        <f t="shared" ca="1" si="119"/>
        <v>#VALUE!</v>
      </c>
      <c r="GN124" s="302" t="e">
        <f t="shared" ca="1" si="119"/>
        <v>#VALUE!</v>
      </c>
      <c r="GO124" s="302" t="e">
        <f t="shared" ca="1" si="119"/>
        <v>#VALUE!</v>
      </c>
      <c r="GP124" s="301">
        <f t="shared" si="115"/>
        <v>0</v>
      </c>
      <c r="GQ124" s="301">
        <f t="shared" si="115"/>
        <v>0</v>
      </c>
      <c r="GR124" s="301">
        <f t="shared" si="115"/>
        <v>0</v>
      </c>
      <c r="GS124" s="301">
        <f t="shared" si="115"/>
        <v>0</v>
      </c>
      <c r="GT124" s="301">
        <f t="shared" si="115"/>
        <v>0</v>
      </c>
      <c r="GU124" s="303">
        <f t="shared" si="115"/>
        <v>0</v>
      </c>
      <c r="GV124" s="302">
        <f t="shared" si="115"/>
        <v>0</v>
      </c>
      <c r="GW124" s="302">
        <f t="shared" si="115"/>
        <v>0</v>
      </c>
      <c r="GX124" s="302">
        <f t="shared" si="115"/>
        <v>0</v>
      </c>
      <c r="GY124" s="302">
        <f t="shared" si="115"/>
        <v>0</v>
      </c>
      <c r="GZ124" s="302">
        <f t="shared" si="115"/>
        <v>0</v>
      </c>
      <c r="HA124" s="302">
        <f t="shared" si="115"/>
        <v>0</v>
      </c>
      <c r="HB124" s="302">
        <f t="shared" si="115"/>
        <v>0</v>
      </c>
      <c r="HC124" s="302">
        <f t="shared" si="115"/>
        <v>0</v>
      </c>
      <c r="HD124" s="302">
        <f t="shared" si="115"/>
        <v>0</v>
      </c>
      <c r="HE124" s="302">
        <f t="shared" si="115"/>
        <v>0</v>
      </c>
      <c r="HF124" s="304"/>
      <c r="HG124" s="305"/>
    </row>
    <row r="125" spans="1:215" s="306" customFormat="1" ht="14.25" customHeight="1">
      <c r="A125" s="307"/>
      <c r="B125" s="292" t="s">
        <v>445</v>
      </c>
      <c r="C125" s="292" t="s">
        <v>193</v>
      </c>
      <c r="D125" s="292" t="s">
        <v>236</v>
      </c>
      <c r="E125" s="292" t="s">
        <v>469</v>
      </c>
      <c r="F125" s="292" t="s">
        <v>186</v>
      </c>
      <c r="G125" s="292" t="s">
        <v>350</v>
      </c>
      <c r="H125" s="292" t="s">
        <v>351</v>
      </c>
      <c r="I125" s="292" t="s">
        <v>352</v>
      </c>
      <c r="J125" s="292" t="s">
        <v>186</v>
      </c>
      <c r="K125" s="292" t="s">
        <v>353</v>
      </c>
      <c r="L125" s="292" t="s">
        <v>359</v>
      </c>
      <c r="M125" s="292" t="s">
        <v>371</v>
      </c>
      <c r="N125" s="292" t="str">
        <f t="shared" ref="N125:N130" si="120">_xlfn.CONCAT(C125,"-",D125)</f>
        <v>Deployment-Testing Support</v>
      </c>
      <c r="O125" s="292" t="str">
        <f t="shared" ref="O125:O130" si="121">_xlfn.CONCAT(Y125,"-",Z125,"-",F125,"-",X125)</f>
        <v>Technology-Manager-US-Consulting</v>
      </c>
      <c r="P125" s="292" t="str">
        <f t="shared" ref="P125:P130" si="122">_xlfn.CONCAT(C125," - ",Y125)</f>
        <v>Deployment - Technology</v>
      </c>
      <c r="Q125" s="293">
        <f t="shared" si="111"/>
        <v>685440</v>
      </c>
      <c r="R125" s="294">
        <f t="shared" si="112"/>
        <v>0</v>
      </c>
      <c r="S125" s="295">
        <f t="shared" ref="S125:S130" si="123">SUM(GP125:HN125)</f>
        <v>0</v>
      </c>
      <c r="T125" s="295">
        <f t="shared" si="113"/>
        <v>2240</v>
      </c>
      <c r="U125" s="296" t="str">
        <f t="shared" ref="U125:U130" si="124">_xlfn.CONCAT(Y125," - ",Z125)</f>
        <v>Technology - Manager</v>
      </c>
      <c r="V125" s="295" t="str">
        <f t="shared" ref="V125:V130" si="125">VLOOKUP(O125,$B$187:$H$848,4,0)</f>
        <v>5-7 years</v>
      </c>
      <c r="W125" s="292" t="str">
        <f t="shared" ref="W125:W130" si="126">IF(F125="US", "Onshore",IF(F125="India","Offshore", "Nearshore"))</f>
        <v>Onshore</v>
      </c>
      <c r="X125" s="292" t="s">
        <v>261</v>
      </c>
      <c r="Y125" s="292" t="s">
        <v>259</v>
      </c>
      <c r="Z125" s="292" t="s">
        <v>376</v>
      </c>
      <c r="AA125" s="297">
        <f>[1]Resourcing!QD129</f>
        <v>53.34</v>
      </c>
      <c r="AB125" s="298">
        <f t="shared" ref="AB125:AB130" si="127">IFERROR(VLOOKUP(O125,$B$187:$S$848,6,FALSE()),"combination not found")</f>
        <v>306</v>
      </c>
      <c r="AC125" s="299"/>
      <c r="AD125" s="299"/>
      <c r="AE125" s="299"/>
      <c r="AF125" s="299"/>
      <c r="AG125" s="299"/>
      <c r="AH125" s="299"/>
      <c r="AI125" s="299"/>
      <c r="AJ125" s="299"/>
      <c r="AK125" s="299"/>
      <c r="AL125" s="299"/>
      <c r="AM125" s="299"/>
      <c r="AN125" s="299"/>
      <c r="AO125" s="299"/>
      <c r="AP125" s="299"/>
      <c r="AQ125" s="299"/>
      <c r="AR125" s="299"/>
      <c r="AS125" s="299"/>
      <c r="AT125" s="299"/>
      <c r="AU125" s="299"/>
      <c r="AV125" s="299"/>
      <c r="AW125" s="299"/>
      <c r="AX125" s="299"/>
      <c r="AY125" s="299"/>
      <c r="AZ125" s="299"/>
      <c r="BA125" s="299"/>
      <c r="BB125" s="299"/>
      <c r="BC125" s="299"/>
      <c r="BD125" s="299"/>
      <c r="BE125" s="299"/>
      <c r="BF125" s="299"/>
      <c r="BG125" s="299"/>
      <c r="BH125" s="299"/>
      <c r="BI125" s="299"/>
      <c r="BJ125" s="299"/>
      <c r="BK125" s="299"/>
      <c r="BL125" s="299"/>
      <c r="BM125" s="299"/>
      <c r="BN125" s="299"/>
      <c r="BO125" s="299"/>
      <c r="BP125" s="299"/>
      <c r="BQ125" s="299"/>
      <c r="BR125" s="299"/>
      <c r="BS125" s="299"/>
      <c r="BT125" s="299"/>
      <c r="BU125" s="299"/>
      <c r="BV125" s="299"/>
      <c r="BW125" s="299"/>
      <c r="BX125" s="299"/>
      <c r="BY125" s="299"/>
      <c r="BZ125" s="299"/>
      <c r="CA125" s="299"/>
      <c r="CB125" s="299"/>
      <c r="CC125" s="299"/>
      <c r="CD125" s="299"/>
      <c r="CE125" s="299"/>
      <c r="CF125" s="299"/>
      <c r="CG125" s="299"/>
      <c r="CH125" s="299"/>
      <c r="CI125" s="299"/>
      <c r="CJ125" s="299"/>
      <c r="CK125" s="299">
        <v>40</v>
      </c>
      <c r="CL125" s="299">
        <v>40</v>
      </c>
      <c r="CM125" s="299">
        <v>40</v>
      </c>
      <c r="CN125" s="299">
        <v>40</v>
      </c>
      <c r="CO125" s="299">
        <v>40</v>
      </c>
      <c r="CP125" s="299">
        <v>40</v>
      </c>
      <c r="CQ125" s="299">
        <v>40</v>
      </c>
      <c r="CR125" s="299">
        <v>40</v>
      </c>
      <c r="CS125" s="299">
        <v>40</v>
      </c>
      <c r="CT125" s="299">
        <v>40</v>
      </c>
      <c r="CU125" s="299">
        <v>40</v>
      </c>
      <c r="CV125" s="299">
        <v>40</v>
      </c>
      <c r="CW125" s="299">
        <v>40</v>
      </c>
      <c r="CX125" s="299">
        <v>40</v>
      </c>
      <c r="CY125" s="299">
        <v>40</v>
      </c>
      <c r="CZ125" s="299">
        <v>40</v>
      </c>
      <c r="DA125" s="299">
        <v>40</v>
      </c>
      <c r="DB125" s="299">
        <v>40</v>
      </c>
      <c r="DC125" s="299">
        <v>40</v>
      </c>
      <c r="DD125" s="299">
        <v>40</v>
      </c>
      <c r="DE125" s="299">
        <v>40</v>
      </c>
      <c r="DF125" s="299">
        <v>40</v>
      </c>
      <c r="DG125" s="299">
        <v>40</v>
      </c>
      <c r="DH125" s="299">
        <v>40</v>
      </c>
      <c r="DI125" s="299">
        <v>40</v>
      </c>
      <c r="DJ125" s="299">
        <v>40</v>
      </c>
      <c r="DK125" s="299">
        <v>40</v>
      </c>
      <c r="DL125" s="299">
        <v>40</v>
      </c>
      <c r="DM125" s="299">
        <v>40</v>
      </c>
      <c r="DN125" s="299">
        <v>40</v>
      </c>
      <c r="DO125" s="299">
        <v>40</v>
      </c>
      <c r="DP125" s="299">
        <v>40</v>
      </c>
      <c r="DQ125" s="299">
        <v>40</v>
      </c>
      <c r="DR125" s="299"/>
      <c r="DS125" s="299"/>
      <c r="DT125" s="299">
        <v>40</v>
      </c>
      <c r="DU125" s="299">
        <v>40</v>
      </c>
      <c r="DV125" s="299">
        <v>40</v>
      </c>
      <c r="DW125" s="299">
        <v>40</v>
      </c>
      <c r="DX125" s="299">
        <v>40</v>
      </c>
      <c r="DY125" s="299">
        <v>40</v>
      </c>
      <c r="DZ125" s="299">
        <v>40</v>
      </c>
      <c r="EA125" s="299">
        <v>40</v>
      </c>
      <c r="EB125" s="299">
        <v>40</v>
      </c>
      <c r="EC125" s="299">
        <v>40</v>
      </c>
      <c r="ED125" s="299">
        <v>40</v>
      </c>
      <c r="EE125" s="299">
        <v>40</v>
      </c>
      <c r="EF125" s="299">
        <v>40</v>
      </c>
      <c r="EG125" s="299">
        <v>40</v>
      </c>
      <c r="EH125" s="299">
        <v>40</v>
      </c>
      <c r="EI125" s="299">
        <v>40</v>
      </c>
      <c r="EJ125" s="299">
        <v>40</v>
      </c>
      <c r="EK125" s="299">
        <v>40</v>
      </c>
      <c r="EL125" s="299">
        <v>40</v>
      </c>
      <c r="EM125" s="299">
        <v>40</v>
      </c>
      <c r="EN125" s="299">
        <v>40</v>
      </c>
      <c r="EO125" s="299">
        <v>40</v>
      </c>
      <c r="EP125" s="299">
        <v>40</v>
      </c>
      <c r="EQ125" s="299"/>
      <c r="ER125" s="299"/>
      <c r="ES125" s="299"/>
      <c r="ET125" s="299"/>
      <c r="EU125" s="299"/>
      <c r="EV125" s="299"/>
      <c r="EW125" s="299"/>
      <c r="EX125" s="299"/>
      <c r="EY125" s="299"/>
      <c r="EZ125" s="299"/>
      <c r="FA125" s="299"/>
      <c r="FB125" s="299"/>
      <c r="FC125" s="299"/>
      <c r="FD125" s="299"/>
      <c r="FE125" s="299"/>
      <c r="FF125" s="299"/>
      <c r="FG125" s="299"/>
      <c r="FH125" s="299"/>
      <c r="FI125" s="299"/>
      <c r="FJ125" s="299"/>
      <c r="FK125" s="299"/>
      <c r="FL125" s="299"/>
      <c r="FM125" s="299"/>
      <c r="FN125" s="299"/>
      <c r="FO125" s="299"/>
      <c r="FP125" s="299"/>
      <c r="FQ125" s="300" t="e">
        <f t="shared" ca="1" si="114"/>
        <v>#VALUE!</v>
      </c>
      <c r="FR125" s="300" t="e">
        <f t="shared" ca="1" si="118"/>
        <v>#VALUE!</v>
      </c>
      <c r="FS125" s="300" t="e">
        <f t="shared" ca="1" si="118"/>
        <v>#VALUE!</v>
      </c>
      <c r="FT125" s="300" t="e">
        <f t="shared" ca="1" si="118"/>
        <v>#VALUE!</v>
      </c>
      <c r="FU125" s="300" t="e">
        <f t="shared" ca="1" si="118"/>
        <v>#VALUE!</v>
      </c>
      <c r="FV125" s="300" t="e">
        <f t="shared" ca="1" si="118"/>
        <v>#VALUE!</v>
      </c>
      <c r="FW125" s="300" t="e">
        <f t="shared" ca="1" si="118"/>
        <v>#VALUE!</v>
      </c>
      <c r="FX125" s="300" t="e">
        <f t="shared" ca="1" si="118"/>
        <v>#VALUE!</v>
      </c>
      <c r="FY125" s="300" t="e">
        <f t="shared" ca="1" si="118"/>
        <v>#VALUE!</v>
      </c>
      <c r="FZ125" s="300" t="e">
        <f t="shared" ca="1" si="118"/>
        <v>#VALUE!</v>
      </c>
      <c r="GA125" s="301" t="e">
        <f t="shared" ca="1" si="118"/>
        <v>#VALUE!</v>
      </c>
      <c r="GB125" s="301" t="e">
        <f t="shared" ca="1" si="119"/>
        <v>#VALUE!</v>
      </c>
      <c r="GC125" s="301" t="e">
        <f t="shared" ca="1" si="119"/>
        <v>#VALUE!</v>
      </c>
      <c r="GD125" s="301" t="e">
        <f t="shared" ca="1" si="119"/>
        <v>#VALUE!</v>
      </c>
      <c r="GE125" s="301" t="e">
        <f t="shared" ca="1" si="119"/>
        <v>#VALUE!</v>
      </c>
      <c r="GF125" s="301" t="e">
        <f t="shared" ca="1" si="119"/>
        <v>#VALUE!</v>
      </c>
      <c r="GG125" s="301" t="e">
        <f t="shared" ca="1" si="119"/>
        <v>#VALUE!</v>
      </c>
      <c r="GH125" s="301" t="e">
        <f t="shared" ca="1" si="119"/>
        <v>#VALUE!</v>
      </c>
      <c r="GI125" s="301" t="e">
        <f t="shared" ca="1" si="119"/>
        <v>#VALUE!</v>
      </c>
      <c r="GJ125" s="301" t="e">
        <f t="shared" ca="1" si="119"/>
        <v>#VALUE!</v>
      </c>
      <c r="GK125" s="301" t="e">
        <f t="shared" ca="1" si="119"/>
        <v>#VALUE!</v>
      </c>
      <c r="GL125" s="301" t="e">
        <f t="shared" ca="1" si="119"/>
        <v>#VALUE!</v>
      </c>
      <c r="GM125" s="301" t="e">
        <f t="shared" ca="1" si="119"/>
        <v>#VALUE!</v>
      </c>
      <c r="GN125" s="302" t="e">
        <f t="shared" ca="1" si="119"/>
        <v>#VALUE!</v>
      </c>
      <c r="GO125" s="302" t="e">
        <f t="shared" ca="1" si="119"/>
        <v>#VALUE!</v>
      </c>
      <c r="GP125" s="301"/>
      <c r="GQ125" s="301"/>
      <c r="GR125" s="301"/>
      <c r="GS125" s="301"/>
      <c r="GT125" s="301"/>
      <c r="GU125" s="303"/>
      <c r="GV125" s="302"/>
      <c r="GW125" s="302"/>
      <c r="GX125" s="302"/>
      <c r="GY125" s="302"/>
      <c r="GZ125" s="302"/>
      <c r="HA125" s="302"/>
      <c r="HB125" s="302"/>
      <c r="HC125" s="302"/>
      <c r="HD125" s="302"/>
      <c r="HE125" s="302"/>
      <c r="HF125" s="304"/>
      <c r="HG125" s="305"/>
    </row>
    <row r="126" spans="1:215" s="306" customFormat="1" ht="14.25" customHeight="1">
      <c r="A126" s="307"/>
      <c r="B126" s="292" t="s">
        <v>348</v>
      </c>
      <c r="C126" s="292" t="s">
        <v>193</v>
      </c>
      <c r="D126" s="292" t="s">
        <v>236</v>
      </c>
      <c r="E126" s="292" t="s">
        <v>236</v>
      </c>
      <c r="F126" s="292" t="s">
        <v>186</v>
      </c>
      <c r="G126" s="292" t="s">
        <v>350</v>
      </c>
      <c r="H126" s="292" t="s">
        <v>351</v>
      </c>
      <c r="I126" s="292" t="s">
        <v>352</v>
      </c>
      <c r="J126" s="292" t="s">
        <v>186</v>
      </c>
      <c r="K126" s="292" t="s">
        <v>353</v>
      </c>
      <c r="L126" s="292" t="s">
        <v>359</v>
      </c>
      <c r="M126" s="292" t="s">
        <v>367</v>
      </c>
      <c r="N126" s="292" t="str">
        <f t="shared" si="120"/>
        <v>Deployment-Testing Support</v>
      </c>
      <c r="O126" s="292" t="str">
        <f t="shared" si="121"/>
        <v>Technology-Consultant-US-Consulting</v>
      </c>
      <c r="P126" s="292" t="str">
        <f t="shared" si="122"/>
        <v>Deployment - Technology</v>
      </c>
      <c r="Q126" s="293">
        <f t="shared" si="111"/>
        <v>0</v>
      </c>
      <c r="R126" s="294">
        <f t="shared" si="112"/>
        <v>0</v>
      </c>
      <c r="S126" s="295">
        <f t="shared" si="123"/>
        <v>0</v>
      </c>
      <c r="T126" s="295">
        <f t="shared" si="113"/>
        <v>0</v>
      </c>
      <c r="U126" s="296" t="str">
        <f t="shared" si="124"/>
        <v>Technology - Consultant</v>
      </c>
      <c r="V126" s="295" t="str">
        <f t="shared" si="125"/>
        <v>1-3 years</v>
      </c>
      <c r="W126" s="292" t="str">
        <f t="shared" si="126"/>
        <v>Onshore</v>
      </c>
      <c r="X126" s="292" t="s">
        <v>261</v>
      </c>
      <c r="Y126" s="292" t="s">
        <v>259</v>
      </c>
      <c r="Z126" s="292" t="s">
        <v>368</v>
      </c>
      <c r="AA126" s="297">
        <f>[1]Resourcing!QD130</f>
        <v>42.616571428571397</v>
      </c>
      <c r="AB126" s="298">
        <f t="shared" si="127"/>
        <v>194</v>
      </c>
      <c r="AC126" s="299"/>
      <c r="AD126" s="299"/>
      <c r="AE126" s="299"/>
      <c r="AF126" s="299"/>
      <c r="AG126" s="299"/>
      <c r="AH126" s="299"/>
      <c r="AI126" s="299"/>
      <c r="AJ126" s="299"/>
      <c r="AK126" s="299"/>
      <c r="AL126" s="299"/>
      <c r="AM126" s="299"/>
      <c r="AN126" s="299"/>
      <c r="AO126" s="299"/>
      <c r="AP126" s="299"/>
      <c r="AQ126" s="299"/>
      <c r="AR126" s="299"/>
      <c r="AS126" s="299"/>
      <c r="AT126" s="299"/>
      <c r="AU126" s="299"/>
      <c r="AV126" s="299"/>
      <c r="AW126" s="299"/>
      <c r="AX126" s="299"/>
      <c r="AY126" s="299"/>
      <c r="AZ126" s="299"/>
      <c r="BA126" s="299"/>
      <c r="BB126" s="299"/>
      <c r="BC126" s="299"/>
      <c r="BD126" s="299"/>
      <c r="BE126" s="299"/>
      <c r="BF126" s="299"/>
      <c r="BG126" s="299"/>
      <c r="BH126" s="299"/>
      <c r="BI126" s="299"/>
      <c r="BJ126" s="299"/>
      <c r="BK126" s="299"/>
      <c r="BL126" s="299"/>
      <c r="BM126" s="299"/>
      <c r="BN126" s="299"/>
      <c r="BO126" s="299"/>
      <c r="BP126" s="299"/>
      <c r="BQ126" s="299"/>
      <c r="BR126" s="299"/>
      <c r="BS126" s="299"/>
      <c r="BT126" s="299"/>
      <c r="BU126" s="299"/>
      <c r="BV126" s="299"/>
      <c r="BW126" s="299"/>
      <c r="BX126" s="299"/>
      <c r="BY126" s="299"/>
      <c r="BZ126" s="299"/>
      <c r="CA126" s="299"/>
      <c r="CB126" s="299"/>
      <c r="CC126" s="299"/>
      <c r="CD126" s="299"/>
      <c r="CE126" s="299"/>
      <c r="CF126" s="299"/>
      <c r="CG126" s="299"/>
      <c r="CH126" s="299"/>
      <c r="CI126" s="299"/>
      <c r="CJ126" s="299"/>
      <c r="CK126" s="299"/>
      <c r="CL126" s="299"/>
      <c r="CM126" s="299"/>
      <c r="CN126" s="299"/>
      <c r="CO126" s="299"/>
      <c r="CP126" s="299"/>
      <c r="CQ126" s="299"/>
      <c r="CR126" s="299"/>
      <c r="CS126" s="299"/>
      <c r="CT126" s="299"/>
      <c r="CU126" s="299"/>
      <c r="CV126" s="299"/>
      <c r="CW126" s="299">
        <v>0</v>
      </c>
      <c r="CX126" s="299">
        <v>0</v>
      </c>
      <c r="CY126" s="299">
        <v>0</v>
      </c>
      <c r="CZ126" s="299">
        <v>0</v>
      </c>
      <c r="DA126" s="299">
        <v>0</v>
      </c>
      <c r="DB126" s="299">
        <v>0</v>
      </c>
      <c r="DC126" s="299">
        <v>0</v>
      </c>
      <c r="DD126" s="299">
        <v>0</v>
      </c>
      <c r="DE126" s="299">
        <v>0</v>
      </c>
      <c r="DF126" s="299">
        <v>0</v>
      </c>
      <c r="DG126" s="299">
        <v>0</v>
      </c>
      <c r="DH126" s="299">
        <v>0</v>
      </c>
      <c r="DI126" s="299">
        <v>0</v>
      </c>
      <c r="DJ126" s="299">
        <v>0</v>
      </c>
      <c r="DK126" s="299">
        <v>0</v>
      </c>
      <c r="DL126" s="299">
        <v>0</v>
      </c>
      <c r="DM126" s="299">
        <v>0</v>
      </c>
      <c r="DN126" s="299">
        <v>0</v>
      </c>
      <c r="DO126" s="299">
        <v>0</v>
      </c>
      <c r="DP126" s="299">
        <v>0</v>
      </c>
      <c r="DQ126" s="299">
        <v>0</v>
      </c>
      <c r="DR126" s="299"/>
      <c r="DS126" s="299"/>
      <c r="DT126" s="299">
        <v>0</v>
      </c>
      <c r="DU126" s="299">
        <v>0</v>
      </c>
      <c r="DV126" s="299">
        <v>0</v>
      </c>
      <c r="DW126" s="299">
        <v>0</v>
      </c>
      <c r="DX126" s="299">
        <v>0</v>
      </c>
      <c r="DY126" s="299">
        <v>0</v>
      </c>
      <c r="DZ126" s="299">
        <v>0</v>
      </c>
      <c r="EA126" s="299">
        <v>0</v>
      </c>
      <c r="EB126" s="299">
        <v>0</v>
      </c>
      <c r="EC126" s="299">
        <v>0</v>
      </c>
      <c r="ED126" s="299">
        <v>0</v>
      </c>
      <c r="EE126" s="299">
        <v>0</v>
      </c>
      <c r="EF126" s="299">
        <v>0</v>
      </c>
      <c r="EG126" s="299">
        <v>0</v>
      </c>
      <c r="EH126" s="299">
        <v>0</v>
      </c>
      <c r="EI126" s="299">
        <v>0</v>
      </c>
      <c r="EJ126" s="299">
        <v>0</v>
      </c>
      <c r="EK126" s="299">
        <v>0</v>
      </c>
      <c r="EL126" s="299">
        <v>0</v>
      </c>
      <c r="EM126" s="299">
        <v>0</v>
      </c>
      <c r="EN126" s="299">
        <v>0</v>
      </c>
      <c r="EO126" s="299">
        <v>0</v>
      </c>
      <c r="EP126" s="299">
        <v>0</v>
      </c>
      <c r="EQ126" s="299"/>
      <c r="ER126" s="299"/>
      <c r="ES126" s="299"/>
      <c r="ET126" s="299"/>
      <c r="EU126" s="299"/>
      <c r="EV126" s="299"/>
      <c r="EW126" s="299"/>
      <c r="EX126" s="299"/>
      <c r="EY126" s="299"/>
      <c r="EZ126" s="299"/>
      <c r="FA126" s="299"/>
      <c r="FB126" s="299"/>
      <c r="FC126" s="299"/>
      <c r="FD126" s="299"/>
      <c r="FE126" s="299"/>
      <c r="FF126" s="299"/>
      <c r="FG126" s="299"/>
      <c r="FH126" s="299"/>
      <c r="FI126" s="299"/>
      <c r="FJ126" s="299"/>
      <c r="FK126" s="299"/>
      <c r="FL126" s="299"/>
      <c r="FM126" s="299"/>
      <c r="FN126" s="299"/>
      <c r="FO126" s="299"/>
      <c r="FP126" s="299"/>
      <c r="FQ126" s="300" t="e">
        <f t="shared" ca="1" si="114"/>
        <v>#VALUE!</v>
      </c>
      <c r="FR126" s="300" t="e">
        <f t="shared" ca="1" si="118"/>
        <v>#VALUE!</v>
      </c>
      <c r="FS126" s="300" t="e">
        <f t="shared" ca="1" si="118"/>
        <v>#VALUE!</v>
      </c>
      <c r="FT126" s="300" t="e">
        <f t="shared" ca="1" si="118"/>
        <v>#VALUE!</v>
      </c>
      <c r="FU126" s="300" t="e">
        <f t="shared" ca="1" si="118"/>
        <v>#VALUE!</v>
      </c>
      <c r="FV126" s="300" t="e">
        <f t="shared" ca="1" si="118"/>
        <v>#VALUE!</v>
      </c>
      <c r="FW126" s="300" t="e">
        <f t="shared" ca="1" si="118"/>
        <v>#VALUE!</v>
      </c>
      <c r="FX126" s="300" t="e">
        <f t="shared" ca="1" si="118"/>
        <v>#VALUE!</v>
      </c>
      <c r="FY126" s="300" t="e">
        <f t="shared" ca="1" si="118"/>
        <v>#VALUE!</v>
      </c>
      <c r="FZ126" s="300" t="e">
        <f t="shared" ca="1" si="118"/>
        <v>#VALUE!</v>
      </c>
      <c r="GA126" s="301" t="e">
        <f t="shared" ca="1" si="118"/>
        <v>#VALUE!</v>
      </c>
      <c r="GB126" s="301" t="e">
        <f t="shared" ca="1" si="119"/>
        <v>#VALUE!</v>
      </c>
      <c r="GC126" s="301" t="e">
        <f t="shared" ca="1" si="119"/>
        <v>#VALUE!</v>
      </c>
      <c r="GD126" s="301" t="e">
        <f t="shared" ca="1" si="119"/>
        <v>#VALUE!</v>
      </c>
      <c r="GE126" s="301" t="e">
        <f t="shared" ca="1" si="119"/>
        <v>#VALUE!</v>
      </c>
      <c r="GF126" s="301" t="e">
        <f t="shared" ca="1" si="119"/>
        <v>#VALUE!</v>
      </c>
      <c r="GG126" s="301" t="e">
        <f t="shared" ca="1" si="119"/>
        <v>#VALUE!</v>
      </c>
      <c r="GH126" s="301" t="e">
        <f t="shared" ca="1" si="119"/>
        <v>#VALUE!</v>
      </c>
      <c r="GI126" s="301" t="e">
        <f t="shared" ca="1" si="119"/>
        <v>#VALUE!</v>
      </c>
      <c r="GJ126" s="301" t="e">
        <f t="shared" ca="1" si="119"/>
        <v>#VALUE!</v>
      </c>
      <c r="GK126" s="301" t="e">
        <f t="shared" ca="1" si="119"/>
        <v>#VALUE!</v>
      </c>
      <c r="GL126" s="301" t="e">
        <f t="shared" ca="1" si="119"/>
        <v>#VALUE!</v>
      </c>
      <c r="GM126" s="301" t="e">
        <f t="shared" ca="1" si="119"/>
        <v>#VALUE!</v>
      </c>
      <c r="GN126" s="302" t="e">
        <f t="shared" ca="1" si="119"/>
        <v>#VALUE!</v>
      </c>
      <c r="GO126" s="302" t="e">
        <f t="shared" ca="1" si="119"/>
        <v>#VALUE!</v>
      </c>
      <c r="GP126" s="301"/>
      <c r="GQ126" s="301"/>
      <c r="GR126" s="301"/>
      <c r="GS126" s="301"/>
      <c r="GT126" s="301"/>
      <c r="GU126" s="303"/>
      <c r="GV126" s="302"/>
      <c r="GW126" s="302"/>
      <c r="GX126" s="302"/>
      <c r="GY126" s="302"/>
      <c r="GZ126" s="302"/>
      <c r="HA126" s="302"/>
      <c r="HB126" s="302"/>
      <c r="HC126" s="302"/>
      <c r="HD126" s="302"/>
      <c r="HE126" s="302"/>
      <c r="HF126" s="304"/>
      <c r="HG126" s="305"/>
    </row>
    <row r="127" spans="1:215" s="306" customFormat="1" ht="14.25" customHeight="1">
      <c r="A127" s="307"/>
      <c r="B127" s="292" t="s">
        <v>445</v>
      </c>
      <c r="C127" s="292" t="s">
        <v>193</v>
      </c>
      <c r="D127" s="292" t="s">
        <v>228</v>
      </c>
      <c r="E127" s="292" t="s">
        <v>470</v>
      </c>
      <c r="F127" s="292" t="s">
        <v>184</v>
      </c>
      <c r="G127" s="292" t="s">
        <v>350</v>
      </c>
      <c r="H127" s="292" t="s">
        <v>351</v>
      </c>
      <c r="I127" s="292" t="s">
        <v>352</v>
      </c>
      <c r="J127" s="292" t="s">
        <v>184</v>
      </c>
      <c r="K127" s="292" t="s">
        <v>353</v>
      </c>
      <c r="L127" s="292" t="s">
        <v>359</v>
      </c>
      <c r="M127" s="292" t="s">
        <v>374</v>
      </c>
      <c r="N127" s="292" t="str">
        <f t="shared" si="120"/>
        <v>Deployment-Cutover</v>
      </c>
      <c r="O127" s="292" t="str">
        <f t="shared" si="121"/>
        <v>Technology-Senior Consultant-India-Consulting</v>
      </c>
      <c r="P127" s="292" t="str">
        <f t="shared" si="122"/>
        <v>Deployment - Technology</v>
      </c>
      <c r="Q127" s="293">
        <f t="shared" si="111"/>
        <v>166140</v>
      </c>
      <c r="R127" s="294">
        <f t="shared" si="112"/>
        <v>0</v>
      </c>
      <c r="S127" s="295" t="e">
        <f t="shared" ca="1" si="123"/>
        <v>#VALUE!</v>
      </c>
      <c r="T127" s="295">
        <f t="shared" si="113"/>
        <v>2340</v>
      </c>
      <c r="U127" s="296" t="str">
        <f t="shared" si="124"/>
        <v>Technology - Senior Consultant</v>
      </c>
      <c r="V127" s="295" t="str">
        <f t="shared" si="125"/>
        <v>3-5 years</v>
      </c>
      <c r="W127" s="292" t="str">
        <f t="shared" si="126"/>
        <v>Offshore</v>
      </c>
      <c r="X127" s="292" t="s">
        <v>261</v>
      </c>
      <c r="Y127" s="292" t="s">
        <v>259</v>
      </c>
      <c r="Z127" s="292" t="s">
        <v>364</v>
      </c>
      <c r="AA127" s="297">
        <f>[1]Resourcing!QD131</f>
        <v>0</v>
      </c>
      <c r="AB127" s="298">
        <f t="shared" si="127"/>
        <v>71</v>
      </c>
      <c r="AC127" s="299"/>
      <c r="AD127" s="299"/>
      <c r="AE127" s="299"/>
      <c r="AF127" s="299"/>
      <c r="AG127" s="299"/>
      <c r="AH127" s="299"/>
      <c r="AI127" s="299"/>
      <c r="AJ127" s="299"/>
      <c r="AK127" s="299"/>
      <c r="AL127" s="299"/>
      <c r="AM127" s="299"/>
      <c r="AN127" s="299"/>
      <c r="AO127" s="299"/>
      <c r="AP127" s="299"/>
      <c r="AQ127" s="299"/>
      <c r="AR127" s="299"/>
      <c r="AS127" s="299"/>
      <c r="AT127" s="299"/>
      <c r="AU127" s="299"/>
      <c r="AV127" s="299"/>
      <c r="AW127" s="299"/>
      <c r="AX127" s="299"/>
      <c r="AY127" s="299"/>
      <c r="AZ127" s="299"/>
      <c r="BA127" s="299"/>
      <c r="BB127" s="299"/>
      <c r="BC127" s="299"/>
      <c r="BD127" s="299"/>
      <c r="BE127" s="299"/>
      <c r="BF127" s="299"/>
      <c r="BG127" s="299"/>
      <c r="BH127" s="299"/>
      <c r="BI127" s="299"/>
      <c r="BJ127" s="299"/>
      <c r="BK127" s="299"/>
      <c r="BL127" s="299"/>
      <c r="BM127" s="299"/>
      <c r="BN127" s="299"/>
      <c r="BO127" s="299"/>
      <c r="BP127" s="299"/>
      <c r="BQ127" s="299"/>
      <c r="BR127" s="299"/>
      <c r="BS127" s="299"/>
      <c r="BT127" s="299"/>
      <c r="BU127" s="299"/>
      <c r="BV127" s="299"/>
      <c r="BW127" s="299"/>
      <c r="BX127" s="299"/>
      <c r="BY127" s="299"/>
      <c r="BZ127" s="299"/>
      <c r="CA127" s="299"/>
      <c r="CB127" s="299"/>
      <c r="CC127" s="299"/>
      <c r="CD127" s="299"/>
      <c r="CE127" s="299"/>
      <c r="CF127" s="299"/>
      <c r="CG127" s="299"/>
      <c r="CH127" s="299"/>
      <c r="CI127" s="299"/>
      <c r="CJ127" s="299"/>
      <c r="CK127" s="299"/>
      <c r="CL127" s="299"/>
      <c r="CM127" s="299"/>
      <c r="CN127" s="299"/>
      <c r="CO127" s="299"/>
      <c r="CP127" s="299"/>
      <c r="CQ127" s="299"/>
      <c r="CR127" s="299"/>
      <c r="CS127" s="299">
        <v>45</v>
      </c>
      <c r="CT127" s="299">
        <v>45</v>
      </c>
      <c r="CU127" s="299">
        <v>45</v>
      </c>
      <c r="CV127" s="299">
        <v>45</v>
      </c>
      <c r="CW127" s="299">
        <v>45</v>
      </c>
      <c r="CX127" s="299">
        <v>45</v>
      </c>
      <c r="CY127" s="299">
        <v>45</v>
      </c>
      <c r="CZ127" s="299">
        <v>45</v>
      </c>
      <c r="DA127" s="299">
        <v>45</v>
      </c>
      <c r="DB127" s="299">
        <v>45</v>
      </c>
      <c r="DC127" s="299">
        <v>45</v>
      </c>
      <c r="DD127" s="299">
        <v>45</v>
      </c>
      <c r="DE127" s="299">
        <v>45</v>
      </c>
      <c r="DF127" s="299">
        <v>45</v>
      </c>
      <c r="DG127" s="299">
        <v>45</v>
      </c>
      <c r="DH127" s="299">
        <v>45</v>
      </c>
      <c r="DI127" s="299">
        <v>45</v>
      </c>
      <c r="DJ127" s="299">
        <v>45</v>
      </c>
      <c r="DK127" s="299">
        <v>45</v>
      </c>
      <c r="DL127" s="299">
        <v>45</v>
      </c>
      <c r="DM127" s="299">
        <v>45</v>
      </c>
      <c r="DN127" s="299">
        <v>45</v>
      </c>
      <c r="DO127" s="299">
        <v>45</v>
      </c>
      <c r="DP127" s="299">
        <v>45</v>
      </c>
      <c r="DQ127" s="299">
        <v>45</v>
      </c>
      <c r="DR127" s="299"/>
      <c r="DS127" s="299"/>
      <c r="DT127" s="299">
        <v>45</v>
      </c>
      <c r="DU127" s="299">
        <v>45</v>
      </c>
      <c r="DV127" s="299">
        <v>45</v>
      </c>
      <c r="DW127" s="299">
        <v>45</v>
      </c>
      <c r="DX127" s="299">
        <v>45</v>
      </c>
      <c r="DY127" s="299">
        <v>45</v>
      </c>
      <c r="DZ127" s="299">
        <v>45</v>
      </c>
      <c r="EA127" s="299">
        <v>45</v>
      </c>
      <c r="EB127" s="299">
        <v>45</v>
      </c>
      <c r="EC127" s="299">
        <v>45</v>
      </c>
      <c r="ED127" s="299">
        <v>45</v>
      </c>
      <c r="EE127" s="299">
        <v>45</v>
      </c>
      <c r="EF127" s="299">
        <v>45</v>
      </c>
      <c r="EG127" s="299">
        <v>45</v>
      </c>
      <c r="EH127" s="299">
        <v>45</v>
      </c>
      <c r="EI127" s="299">
        <v>45</v>
      </c>
      <c r="EJ127" s="299">
        <v>45</v>
      </c>
      <c r="EK127" s="299">
        <v>45</v>
      </c>
      <c r="EL127" s="299">
        <v>45</v>
      </c>
      <c r="EM127" s="299">
        <v>45</v>
      </c>
      <c r="EN127" s="299">
        <v>45</v>
      </c>
      <c r="EO127" s="299">
        <v>45</v>
      </c>
      <c r="EP127" s="299">
        <v>45</v>
      </c>
      <c r="EQ127" s="299">
        <v>45</v>
      </c>
      <c r="ER127" s="299">
        <v>45</v>
      </c>
      <c r="ES127" s="299">
        <v>45</v>
      </c>
      <c r="ET127" s="299">
        <v>45</v>
      </c>
      <c r="EU127" s="299"/>
      <c r="EV127" s="299"/>
      <c r="EW127" s="299"/>
      <c r="EX127" s="299"/>
      <c r="EY127" s="299"/>
      <c r="EZ127" s="299"/>
      <c r="FA127" s="299"/>
      <c r="FB127" s="299"/>
      <c r="FC127" s="299"/>
      <c r="FD127" s="299"/>
      <c r="FE127" s="299"/>
      <c r="FF127" s="299"/>
      <c r="FG127" s="299"/>
      <c r="FH127" s="299"/>
      <c r="FI127" s="299"/>
      <c r="FJ127" s="299"/>
      <c r="FK127" s="299"/>
      <c r="FL127" s="299"/>
      <c r="FM127" s="299"/>
      <c r="FN127" s="299"/>
      <c r="FO127" s="299"/>
      <c r="FP127" s="299"/>
      <c r="FQ127" s="300" t="e">
        <f t="shared" ca="1" si="114"/>
        <v>#VALUE!</v>
      </c>
      <c r="FR127" s="300" t="e">
        <f t="shared" ca="1" si="118"/>
        <v>#VALUE!</v>
      </c>
      <c r="FS127" s="300" t="e">
        <f t="shared" ca="1" si="118"/>
        <v>#VALUE!</v>
      </c>
      <c r="FT127" s="300" t="e">
        <f t="shared" ca="1" si="118"/>
        <v>#VALUE!</v>
      </c>
      <c r="FU127" s="300" t="e">
        <f t="shared" ca="1" si="118"/>
        <v>#VALUE!</v>
      </c>
      <c r="FV127" s="300" t="e">
        <f t="shared" ca="1" si="118"/>
        <v>#VALUE!</v>
      </c>
      <c r="FW127" s="300" t="e">
        <f t="shared" ca="1" si="118"/>
        <v>#VALUE!</v>
      </c>
      <c r="FX127" s="300" t="e">
        <f t="shared" ca="1" si="118"/>
        <v>#VALUE!</v>
      </c>
      <c r="FY127" s="300" t="e">
        <f t="shared" ca="1" si="118"/>
        <v>#VALUE!</v>
      </c>
      <c r="FZ127" s="300" t="e">
        <f t="shared" ca="1" si="118"/>
        <v>#VALUE!</v>
      </c>
      <c r="GA127" s="301" t="e">
        <f t="shared" ca="1" si="118"/>
        <v>#VALUE!</v>
      </c>
      <c r="GB127" s="301" t="e">
        <f t="shared" ca="1" si="119"/>
        <v>#VALUE!</v>
      </c>
      <c r="GC127" s="301" t="e">
        <f t="shared" ca="1" si="119"/>
        <v>#VALUE!</v>
      </c>
      <c r="GD127" s="301" t="e">
        <f t="shared" ca="1" si="119"/>
        <v>#VALUE!</v>
      </c>
      <c r="GE127" s="301" t="e">
        <f t="shared" ca="1" si="119"/>
        <v>#VALUE!</v>
      </c>
      <c r="GF127" s="301" t="e">
        <f t="shared" ca="1" si="119"/>
        <v>#VALUE!</v>
      </c>
      <c r="GG127" s="301" t="e">
        <f t="shared" ca="1" si="119"/>
        <v>#VALUE!</v>
      </c>
      <c r="GH127" s="301" t="e">
        <f t="shared" ca="1" si="119"/>
        <v>#VALUE!</v>
      </c>
      <c r="GI127" s="301" t="e">
        <f t="shared" ca="1" si="119"/>
        <v>#VALUE!</v>
      </c>
      <c r="GJ127" s="301" t="e">
        <f t="shared" ca="1" si="119"/>
        <v>#VALUE!</v>
      </c>
      <c r="GK127" s="301" t="e">
        <f t="shared" ca="1" si="119"/>
        <v>#VALUE!</v>
      </c>
      <c r="GL127" s="301" t="e">
        <f t="shared" ca="1" si="119"/>
        <v>#VALUE!</v>
      </c>
      <c r="GM127" s="301" t="e">
        <f t="shared" ca="1" si="119"/>
        <v>#VALUE!</v>
      </c>
      <c r="GN127" s="302" t="e">
        <f t="shared" ca="1" si="119"/>
        <v>#VALUE!</v>
      </c>
      <c r="GO127" s="302" t="e">
        <f t="shared" ca="1" si="119"/>
        <v>#VALUE!</v>
      </c>
      <c r="GP127" s="301">
        <f t="shared" ref="GP127:HE132" si="128">SUMIF($AB$8:$FO$8,GP$9,$AB127:$FO127)</f>
        <v>90</v>
      </c>
      <c r="GQ127" s="301">
        <f t="shared" si="128"/>
        <v>180</v>
      </c>
      <c r="GR127" s="301">
        <f t="shared" si="128"/>
        <v>180</v>
      </c>
      <c r="GS127" s="301">
        <f t="shared" si="128"/>
        <v>180</v>
      </c>
      <c r="GT127" s="301">
        <f t="shared" si="128"/>
        <v>180</v>
      </c>
      <c r="GU127" s="303">
        <f t="shared" si="128"/>
        <v>180</v>
      </c>
      <c r="GV127" s="302">
        <f t="shared" si="128"/>
        <v>180</v>
      </c>
      <c r="GW127" s="302">
        <f t="shared" si="128"/>
        <v>135</v>
      </c>
      <c r="GX127" s="302">
        <f t="shared" si="128"/>
        <v>0</v>
      </c>
      <c r="GY127" s="302">
        <f t="shared" si="128"/>
        <v>0</v>
      </c>
      <c r="GZ127" s="302">
        <f t="shared" si="128"/>
        <v>0</v>
      </c>
      <c r="HA127" s="302">
        <f t="shared" si="128"/>
        <v>0</v>
      </c>
      <c r="HB127" s="302">
        <f t="shared" si="128"/>
        <v>0</v>
      </c>
      <c r="HC127" s="302">
        <f t="shared" si="128"/>
        <v>0</v>
      </c>
      <c r="HD127" s="302">
        <f t="shared" si="128"/>
        <v>0</v>
      </c>
      <c r="HE127" s="302">
        <f t="shared" si="128"/>
        <v>0</v>
      </c>
      <c r="HF127" s="304" t="e">
        <f ca="1">SUM(FQ127:HE127)</f>
        <v>#VALUE!</v>
      </c>
      <c r="HG127" s="305" t="e">
        <f ca="1">HF127-S173</f>
        <v>#VALUE!</v>
      </c>
    </row>
    <row r="128" spans="1:215" s="306" customFormat="1" ht="14.25" customHeight="1">
      <c r="A128" s="307"/>
      <c r="B128" s="292" t="s">
        <v>348</v>
      </c>
      <c r="C128" s="292" t="s">
        <v>193</v>
      </c>
      <c r="D128" s="292" t="s">
        <v>229</v>
      </c>
      <c r="E128" s="292" t="s">
        <v>236</v>
      </c>
      <c r="F128" s="292" t="s">
        <v>184</v>
      </c>
      <c r="G128" s="292" t="s">
        <v>350</v>
      </c>
      <c r="H128" s="292" t="s">
        <v>351</v>
      </c>
      <c r="I128" s="292" t="s">
        <v>352</v>
      </c>
      <c r="J128" s="292" t="s">
        <v>184</v>
      </c>
      <c r="K128" s="292" t="s">
        <v>353</v>
      </c>
      <c r="L128" s="292" t="s">
        <v>359</v>
      </c>
      <c r="M128" s="292" t="s">
        <v>367</v>
      </c>
      <c r="N128" s="292" t="str">
        <f t="shared" si="120"/>
        <v>Deployment-Testing</v>
      </c>
      <c r="O128" s="292" t="str">
        <f t="shared" si="121"/>
        <v>Technology-Consultant-India-Consulting</v>
      </c>
      <c r="P128" s="292" t="str">
        <f t="shared" si="122"/>
        <v>Deployment - Technology</v>
      </c>
      <c r="Q128" s="293">
        <f t="shared" si="111"/>
        <v>108000</v>
      </c>
      <c r="R128" s="294">
        <f t="shared" si="112"/>
        <v>0</v>
      </c>
      <c r="S128" s="295">
        <f t="shared" si="123"/>
        <v>945</v>
      </c>
      <c r="T128" s="295">
        <f t="shared" si="113"/>
        <v>1800</v>
      </c>
      <c r="U128" s="296" t="str">
        <f t="shared" si="124"/>
        <v>Technology - Consultant</v>
      </c>
      <c r="V128" s="295" t="str">
        <f t="shared" si="125"/>
        <v>1-3 years</v>
      </c>
      <c r="W128" s="292" t="str">
        <f t="shared" si="126"/>
        <v>Offshore</v>
      </c>
      <c r="X128" s="292" t="s">
        <v>261</v>
      </c>
      <c r="Y128" s="292" t="s">
        <v>259</v>
      </c>
      <c r="Z128" s="292" t="s">
        <v>368</v>
      </c>
      <c r="AA128" s="297">
        <f>[1]Resourcing!QD132</f>
        <v>364.92571428571398</v>
      </c>
      <c r="AB128" s="298">
        <f t="shared" si="127"/>
        <v>60</v>
      </c>
      <c r="AC128" s="299"/>
      <c r="AD128" s="299"/>
      <c r="AE128" s="299"/>
      <c r="AF128" s="299"/>
      <c r="AG128" s="299"/>
      <c r="AH128" s="299"/>
      <c r="AI128" s="299"/>
      <c r="AJ128" s="299"/>
      <c r="AK128" s="299"/>
      <c r="AL128" s="299"/>
      <c r="AM128" s="299"/>
      <c r="AN128" s="299"/>
      <c r="AO128" s="299"/>
      <c r="AP128" s="299"/>
      <c r="AQ128" s="299"/>
      <c r="AR128" s="299"/>
      <c r="AS128" s="299"/>
      <c r="AT128" s="299"/>
      <c r="AU128" s="299"/>
      <c r="AV128" s="299"/>
      <c r="AW128" s="299"/>
      <c r="AX128" s="299"/>
      <c r="AY128" s="299"/>
      <c r="AZ128" s="299"/>
      <c r="BA128" s="299"/>
      <c r="BB128" s="299"/>
      <c r="BC128" s="299"/>
      <c r="BD128" s="299"/>
      <c r="BE128" s="299"/>
      <c r="BF128" s="299"/>
      <c r="BG128" s="299"/>
      <c r="BH128" s="299"/>
      <c r="BI128" s="299"/>
      <c r="BJ128" s="299"/>
      <c r="BK128" s="299"/>
      <c r="BL128" s="299"/>
      <c r="BM128" s="299"/>
      <c r="BN128" s="299"/>
      <c r="BO128" s="299"/>
      <c r="BP128" s="299"/>
      <c r="BQ128" s="299"/>
      <c r="BR128" s="299"/>
      <c r="BS128" s="299"/>
      <c r="BT128" s="299"/>
      <c r="BU128" s="299"/>
      <c r="BV128" s="299"/>
      <c r="BW128" s="299"/>
      <c r="BX128" s="299"/>
      <c r="BY128" s="299"/>
      <c r="BZ128" s="299"/>
      <c r="CA128" s="299"/>
      <c r="CB128" s="299"/>
      <c r="CC128" s="299"/>
      <c r="CD128" s="299"/>
      <c r="CE128" s="299"/>
      <c r="CF128" s="299"/>
      <c r="CG128" s="299"/>
      <c r="CH128" s="299"/>
      <c r="CI128" s="299"/>
      <c r="CJ128" s="299"/>
      <c r="CK128" s="299"/>
      <c r="CL128" s="299"/>
      <c r="CM128" s="299"/>
      <c r="CN128" s="299"/>
      <c r="CO128" s="299"/>
      <c r="CP128" s="299"/>
      <c r="CQ128" s="299"/>
      <c r="CR128" s="299"/>
      <c r="CS128" s="299"/>
      <c r="CT128" s="299"/>
      <c r="CU128" s="299"/>
      <c r="CV128" s="299"/>
      <c r="CW128" s="299">
        <v>45</v>
      </c>
      <c r="CX128" s="299">
        <v>45</v>
      </c>
      <c r="CY128" s="299">
        <v>45</v>
      </c>
      <c r="CZ128" s="299">
        <v>45</v>
      </c>
      <c r="DA128" s="299">
        <v>45</v>
      </c>
      <c r="DB128" s="299">
        <v>45</v>
      </c>
      <c r="DC128" s="299">
        <v>45</v>
      </c>
      <c r="DD128" s="299">
        <v>45</v>
      </c>
      <c r="DE128" s="299">
        <v>45</v>
      </c>
      <c r="DF128" s="299">
        <v>45</v>
      </c>
      <c r="DG128" s="299">
        <v>45</v>
      </c>
      <c r="DH128" s="299">
        <v>45</v>
      </c>
      <c r="DI128" s="299">
        <v>45</v>
      </c>
      <c r="DJ128" s="299">
        <v>45</v>
      </c>
      <c r="DK128" s="299">
        <v>45</v>
      </c>
      <c r="DL128" s="299">
        <v>45</v>
      </c>
      <c r="DM128" s="299">
        <v>45</v>
      </c>
      <c r="DN128" s="299">
        <v>45</v>
      </c>
      <c r="DO128" s="299">
        <v>45</v>
      </c>
      <c r="DP128" s="299">
        <v>45</v>
      </c>
      <c r="DQ128" s="299">
        <v>45</v>
      </c>
      <c r="DR128" s="299"/>
      <c r="DS128" s="299"/>
      <c r="DT128" s="299">
        <v>45</v>
      </c>
      <c r="DU128" s="299">
        <v>45</v>
      </c>
      <c r="DV128" s="299">
        <v>45</v>
      </c>
      <c r="DW128" s="299">
        <v>45</v>
      </c>
      <c r="DX128" s="299">
        <v>45</v>
      </c>
      <c r="DY128" s="299">
        <v>45</v>
      </c>
      <c r="DZ128" s="299">
        <v>45</v>
      </c>
      <c r="EA128" s="299">
        <v>45</v>
      </c>
      <c r="EB128" s="299">
        <v>45</v>
      </c>
      <c r="EC128" s="299">
        <v>45</v>
      </c>
      <c r="ED128" s="299">
        <v>45</v>
      </c>
      <c r="EE128" s="299">
        <v>45</v>
      </c>
      <c r="EF128" s="299">
        <v>45</v>
      </c>
      <c r="EG128" s="299">
        <v>45</v>
      </c>
      <c r="EH128" s="299">
        <v>45</v>
      </c>
      <c r="EI128" s="299">
        <v>45</v>
      </c>
      <c r="EJ128" s="299">
        <v>45</v>
      </c>
      <c r="EK128" s="299">
        <v>45</v>
      </c>
      <c r="EL128" s="299">
        <v>45</v>
      </c>
      <c r="EM128" s="299"/>
      <c r="EN128" s="299"/>
      <c r="EO128" s="299"/>
      <c r="EP128" s="299"/>
      <c r="EQ128" s="299"/>
      <c r="ER128" s="299"/>
      <c r="ES128" s="299"/>
      <c r="ET128" s="299"/>
      <c r="EU128" s="299"/>
      <c r="EV128" s="299"/>
      <c r="EW128" s="299"/>
      <c r="EX128" s="299"/>
      <c r="EY128" s="299"/>
      <c r="EZ128" s="299"/>
      <c r="FA128" s="299"/>
      <c r="FB128" s="299"/>
      <c r="FC128" s="299"/>
      <c r="FD128" s="299"/>
      <c r="FE128" s="299"/>
      <c r="FF128" s="299"/>
      <c r="FG128" s="299"/>
      <c r="FH128" s="299"/>
      <c r="FI128" s="299"/>
      <c r="FJ128" s="299"/>
      <c r="FK128" s="299"/>
      <c r="FL128" s="299"/>
      <c r="FM128" s="299"/>
      <c r="FN128" s="299"/>
      <c r="FO128" s="299"/>
      <c r="FP128" s="299"/>
      <c r="FQ128" s="300" t="e">
        <f t="shared" ca="1" si="114"/>
        <v>#VALUE!</v>
      </c>
      <c r="FR128" s="300" t="e">
        <f t="shared" ca="1" si="118"/>
        <v>#VALUE!</v>
      </c>
      <c r="FS128" s="300" t="e">
        <f t="shared" ca="1" si="118"/>
        <v>#VALUE!</v>
      </c>
      <c r="FT128" s="300" t="e">
        <f t="shared" ca="1" si="118"/>
        <v>#VALUE!</v>
      </c>
      <c r="FU128" s="300" t="e">
        <f t="shared" ca="1" si="118"/>
        <v>#VALUE!</v>
      </c>
      <c r="FV128" s="300" t="e">
        <f t="shared" ca="1" si="118"/>
        <v>#VALUE!</v>
      </c>
      <c r="FW128" s="300" t="e">
        <f t="shared" ca="1" si="118"/>
        <v>#VALUE!</v>
      </c>
      <c r="FX128" s="300" t="e">
        <f t="shared" ca="1" si="118"/>
        <v>#VALUE!</v>
      </c>
      <c r="FY128" s="300" t="e">
        <f t="shared" ca="1" si="118"/>
        <v>#VALUE!</v>
      </c>
      <c r="FZ128" s="300" t="e">
        <f t="shared" ca="1" si="118"/>
        <v>#VALUE!</v>
      </c>
      <c r="GA128" s="301" t="e">
        <f t="shared" ca="1" si="118"/>
        <v>#VALUE!</v>
      </c>
      <c r="GB128" s="301" t="e">
        <f t="shared" ca="1" si="119"/>
        <v>#VALUE!</v>
      </c>
      <c r="GC128" s="301" t="e">
        <f t="shared" ca="1" si="119"/>
        <v>#VALUE!</v>
      </c>
      <c r="GD128" s="301" t="e">
        <f t="shared" ca="1" si="119"/>
        <v>#VALUE!</v>
      </c>
      <c r="GE128" s="301" t="e">
        <f t="shared" ca="1" si="119"/>
        <v>#VALUE!</v>
      </c>
      <c r="GF128" s="301" t="e">
        <f t="shared" ca="1" si="119"/>
        <v>#VALUE!</v>
      </c>
      <c r="GG128" s="301" t="e">
        <f t="shared" ca="1" si="119"/>
        <v>#VALUE!</v>
      </c>
      <c r="GH128" s="301" t="e">
        <f t="shared" ca="1" si="119"/>
        <v>#VALUE!</v>
      </c>
      <c r="GI128" s="301" t="e">
        <f t="shared" ca="1" si="119"/>
        <v>#VALUE!</v>
      </c>
      <c r="GJ128" s="301" t="e">
        <f t="shared" ca="1" si="119"/>
        <v>#VALUE!</v>
      </c>
      <c r="GK128" s="301" t="e">
        <f t="shared" ca="1" si="119"/>
        <v>#VALUE!</v>
      </c>
      <c r="GL128" s="301" t="e">
        <f t="shared" ca="1" si="119"/>
        <v>#VALUE!</v>
      </c>
      <c r="GM128" s="301" t="e">
        <f t="shared" ca="1" si="119"/>
        <v>#VALUE!</v>
      </c>
      <c r="GN128" s="302" t="e">
        <f t="shared" ca="1" si="119"/>
        <v>#VALUE!</v>
      </c>
      <c r="GO128" s="302" t="e">
        <f t="shared" ca="1" si="119"/>
        <v>#VALUE!</v>
      </c>
      <c r="GP128" s="301">
        <f t="shared" si="128"/>
        <v>90</v>
      </c>
      <c r="GQ128" s="301">
        <f t="shared" si="128"/>
        <v>180</v>
      </c>
      <c r="GR128" s="301">
        <f t="shared" si="128"/>
        <v>180</v>
      </c>
      <c r="GS128" s="301">
        <f t="shared" si="128"/>
        <v>180</v>
      </c>
      <c r="GT128" s="301">
        <f t="shared" si="128"/>
        <v>180</v>
      </c>
      <c r="GU128" s="303">
        <f t="shared" si="128"/>
        <v>135</v>
      </c>
      <c r="GV128" s="302">
        <f t="shared" si="128"/>
        <v>0</v>
      </c>
      <c r="GW128" s="302">
        <f t="shared" si="128"/>
        <v>0</v>
      </c>
      <c r="GX128" s="302">
        <f t="shared" si="128"/>
        <v>0</v>
      </c>
      <c r="GY128" s="302">
        <f t="shared" si="128"/>
        <v>0</v>
      </c>
      <c r="GZ128" s="302">
        <f t="shared" si="128"/>
        <v>0</v>
      </c>
      <c r="HA128" s="302">
        <f t="shared" si="128"/>
        <v>0</v>
      </c>
      <c r="HB128" s="302">
        <f t="shared" si="128"/>
        <v>0</v>
      </c>
      <c r="HC128" s="302">
        <f t="shared" si="128"/>
        <v>0</v>
      </c>
      <c r="HD128" s="302">
        <f t="shared" si="128"/>
        <v>0</v>
      </c>
      <c r="HE128" s="302">
        <f t="shared" si="128"/>
        <v>0</v>
      </c>
      <c r="HF128" s="304"/>
      <c r="HG128" s="305"/>
    </row>
    <row r="129" spans="1:215" s="306" customFormat="1" ht="14.25" customHeight="1">
      <c r="A129" s="307"/>
      <c r="B129" s="292" t="s">
        <v>348</v>
      </c>
      <c r="C129" s="292" t="s">
        <v>193</v>
      </c>
      <c r="D129" s="292" t="s">
        <v>228</v>
      </c>
      <c r="E129" s="292" t="s">
        <v>471</v>
      </c>
      <c r="F129" s="292" t="s">
        <v>184</v>
      </c>
      <c r="G129" s="292" t="s">
        <v>350</v>
      </c>
      <c r="H129" s="292" t="s">
        <v>351</v>
      </c>
      <c r="I129" s="292" t="s">
        <v>352</v>
      </c>
      <c r="J129" s="292" t="s">
        <v>184</v>
      </c>
      <c r="K129" s="292" t="s">
        <v>353</v>
      </c>
      <c r="L129" s="292" t="s">
        <v>359</v>
      </c>
      <c r="M129" s="292" t="s">
        <v>363</v>
      </c>
      <c r="N129" s="292" t="str">
        <f t="shared" si="120"/>
        <v>Deployment-Cutover</v>
      </c>
      <c r="O129" s="292" t="str">
        <f t="shared" si="121"/>
        <v>Technology-Analyst-India-Consulting</v>
      </c>
      <c r="P129" s="292" t="str">
        <f t="shared" si="122"/>
        <v>Deployment - Technology</v>
      </c>
      <c r="Q129" s="293">
        <f t="shared" si="111"/>
        <v>97200</v>
      </c>
      <c r="R129" s="294">
        <f t="shared" si="112"/>
        <v>0</v>
      </c>
      <c r="S129" s="295" t="e">
        <f t="shared" ca="1" si="123"/>
        <v>#VALUE!</v>
      </c>
      <c r="T129" s="295">
        <f t="shared" si="113"/>
        <v>2025</v>
      </c>
      <c r="U129" s="296" t="str">
        <f t="shared" si="124"/>
        <v>Technology - Analyst</v>
      </c>
      <c r="V129" s="295" t="str">
        <f t="shared" si="125"/>
        <v>0-1 years</v>
      </c>
      <c r="W129" s="292" t="str">
        <f t="shared" si="126"/>
        <v>Offshore</v>
      </c>
      <c r="X129" s="292" t="s">
        <v>261</v>
      </c>
      <c r="Y129" s="292" t="s">
        <v>259</v>
      </c>
      <c r="Z129" s="292" t="s">
        <v>384</v>
      </c>
      <c r="AA129" s="297">
        <f>[1]Resourcing!QD133</f>
        <v>0</v>
      </c>
      <c r="AB129" s="298">
        <f t="shared" si="127"/>
        <v>48</v>
      </c>
      <c r="AC129" s="299"/>
      <c r="AD129" s="299"/>
      <c r="AE129" s="299"/>
      <c r="AF129" s="299"/>
      <c r="AG129" s="299"/>
      <c r="AH129" s="299"/>
      <c r="AI129" s="299"/>
      <c r="AJ129" s="299"/>
      <c r="AK129" s="299"/>
      <c r="AL129" s="299"/>
      <c r="AM129" s="299"/>
      <c r="AN129" s="299"/>
      <c r="AO129" s="299"/>
      <c r="AP129" s="299"/>
      <c r="AQ129" s="299"/>
      <c r="AR129" s="299"/>
      <c r="AS129" s="299"/>
      <c r="AT129" s="299"/>
      <c r="AU129" s="299"/>
      <c r="AV129" s="299"/>
      <c r="AW129" s="299"/>
      <c r="AX129" s="299"/>
      <c r="AY129" s="299"/>
      <c r="AZ129" s="299"/>
      <c r="BA129" s="299"/>
      <c r="BB129" s="299"/>
      <c r="BC129" s="299"/>
      <c r="BD129" s="299"/>
      <c r="BE129" s="299"/>
      <c r="BF129" s="299"/>
      <c r="BG129" s="299"/>
      <c r="BH129" s="299"/>
      <c r="BI129" s="299"/>
      <c r="BJ129" s="299"/>
      <c r="BK129" s="299"/>
      <c r="BL129" s="299"/>
      <c r="BM129" s="299"/>
      <c r="BN129" s="299"/>
      <c r="BO129" s="299"/>
      <c r="BP129" s="299"/>
      <c r="BQ129" s="299"/>
      <c r="BR129" s="299"/>
      <c r="BS129" s="299"/>
      <c r="BT129" s="299"/>
      <c r="BU129" s="299"/>
      <c r="BV129" s="299"/>
      <c r="BW129" s="299"/>
      <c r="BX129" s="299"/>
      <c r="BY129" s="299"/>
      <c r="BZ129" s="299"/>
      <c r="CA129" s="299"/>
      <c r="CB129" s="299"/>
      <c r="CC129" s="299"/>
      <c r="CD129" s="299"/>
      <c r="CE129" s="299"/>
      <c r="CF129" s="299"/>
      <c r="CG129" s="299"/>
      <c r="CH129" s="299"/>
      <c r="CI129" s="299"/>
      <c r="CJ129" s="299"/>
      <c r="CK129" s="299"/>
      <c r="CL129" s="299"/>
      <c r="CM129" s="299"/>
      <c r="CN129" s="299"/>
      <c r="CO129" s="299"/>
      <c r="CP129" s="299"/>
      <c r="CQ129" s="299"/>
      <c r="CR129" s="299"/>
      <c r="CS129" s="299"/>
      <c r="CT129" s="299"/>
      <c r="CU129" s="299"/>
      <c r="CV129" s="299"/>
      <c r="CW129" s="299"/>
      <c r="CX129" s="299"/>
      <c r="CY129" s="299"/>
      <c r="CZ129" s="299">
        <v>45</v>
      </c>
      <c r="DA129" s="299">
        <v>45</v>
      </c>
      <c r="DB129" s="299">
        <v>45</v>
      </c>
      <c r="DC129" s="299">
        <v>45</v>
      </c>
      <c r="DD129" s="299">
        <v>45</v>
      </c>
      <c r="DE129" s="299">
        <v>45</v>
      </c>
      <c r="DF129" s="299">
        <v>45</v>
      </c>
      <c r="DG129" s="299">
        <v>45</v>
      </c>
      <c r="DH129" s="299">
        <v>45</v>
      </c>
      <c r="DI129" s="299">
        <v>45</v>
      </c>
      <c r="DJ129" s="299">
        <v>45</v>
      </c>
      <c r="DK129" s="299">
        <v>45</v>
      </c>
      <c r="DL129" s="299">
        <v>45</v>
      </c>
      <c r="DM129" s="299">
        <v>45</v>
      </c>
      <c r="DN129" s="299">
        <v>45</v>
      </c>
      <c r="DO129" s="299">
        <v>45</v>
      </c>
      <c r="DP129" s="299">
        <v>45</v>
      </c>
      <c r="DQ129" s="299">
        <v>45</v>
      </c>
      <c r="DR129" s="299"/>
      <c r="DS129" s="299"/>
      <c r="DT129" s="299">
        <v>45</v>
      </c>
      <c r="DU129" s="299">
        <v>45</v>
      </c>
      <c r="DV129" s="299">
        <v>45</v>
      </c>
      <c r="DW129" s="299">
        <v>45</v>
      </c>
      <c r="DX129" s="299">
        <v>45</v>
      </c>
      <c r="DY129" s="299">
        <v>45</v>
      </c>
      <c r="DZ129" s="299">
        <v>45</v>
      </c>
      <c r="EA129" s="299">
        <v>45</v>
      </c>
      <c r="EB129" s="299">
        <v>45</v>
      </c>
      <c r="EC129" s="299">
        <v>45</v>
      </c>
      <c r="ED129" s="299">
        <v>45</v>
      </c>
      <c r="EE129" s="299">
        <v>45</v>
      </c>
      <c r="EF129" s="299">
        <v>45</v>
      </c>
      <c r="EG129" s="299">
        <v>45</v>
      </c>
      <c r="EH129" s="299">
        <v>45</v>
      </c>
      <c r="EI129" s="299">
        <v>45</v>
      </c>
      <c r="EJ129" s="299">
        <v>45</v>
      </c>
      <c r="EK129" s="299">
        <v>45</v>
      </c>
      <c r="EL129" s="299">
        <v>45</v>
      </c>
      <c r="EM129" s="299">
        <v>45</v>
      </c>
      <c r="EN129" s="299">
        <v>45</v>
      </c>
      <c r="EO129" s="299">
        <v>45</v>
      </c>
      <c r="EP129" s="299">
        <v>45</v>
      </c>
      <c r="EQ129" s="299">
        <v>45</v>
      </c>
      <c r="ER129" s="299">
        <v>45</v>
      </c>
      <c r="ES129" s="299">
        <v>45</v>
      </c>
      <c r="ET129" s="299">
        <v>45</v>
      </c>
      <c r="EU129" s="299"/>
      <c r="EV129" s="299"/>
      <c r="EW129" s="299"/>
      <c r="EX129" s="299"/>
      <c r="EY129" s="299"/>
      <c r="EZ129" s="299"/>
      <c r="FA129" s="299"/>
      <c r="FB129" s="299"/>
      <c r="FC129" s="299"/>
      <c r="FD129" s="299"/>
      <c r="FE129" s="299"/>
      <c r="FF129" s="299"/>
      <c r="FG129" s="299"/>
      <c r="FH129" s="299"/>
      <c r="FI129" s="299"/>
      <c r="FJ129" s="299"/>
      <c r="FK129" s="299"/>
      <c r="FL129" s="299"/>
      <c r="FM129" s="299"/>
      <c r="FN129" s="299"/>
      <c r="FO129" s="299"/>
      <c r="FP129" s="299"/>
      <c r="FQ129" s="300" t="e">
        <f t="shared" ca="1" si="114"/>
        <v>#VALUE!</v>
      </c>
      <c r="FR129" s="300" t="e">
        <f t="shared" ca="1" si="118"/>
        <v>#VALUE!</v>
      </c>
      <c r="FS129" s="300" t="e">
        <f t="shared" ca="1" si="118"/>
        <v>#VALUE!</v>
      </c>
      <c r="FT129" s="300" t="e">
        <f t="shared" ca="1" si="118"/>
        <v>#VALUE!</v>
      </c>
      <c r="FU129" s="300" t="e">
        <f t="shared" ca="1" si="118"/>
        <v>#VALUE!</v>
      </c>
      <c r="FV129" s="300" t="e">
        <f t="shared" ca="1" si="118"/>
        <v>#VALUE!</v>
      </c>
      <c r="FW129" s="300" t="e">
        <f t="shared" ca="1" si="118"/>
        <v>#VALUE!</v>
      </c>
      <c r="FX129" s="300" t="e">
        <f t="shared" ca="1" si="118"/>
        <v>#VALUE!</v>
      </c>
      <c r="FY129" s="300" t="e">
        <f t="shared" ca="1" si="118"/>
        <v>#VALUE!</v>
      </c>
      <c r="FZ129" s="300" t="e">
        <f t="shared" ca="1" si="118"/>
        <v>#VALUE!</v>
      </c>
      <c r="GA129" s="301" t="e">
        <f t="shared" ca="1" si="118"/>
        <v>#VALUE!</v>
      </c>
      <c r="GB129" s="301" t="e">
        <f t="shared" ca="1" si="119"/>
        <v>#VALUE!</v>
      </c>
      <c r="GC129" s="301" t="e">
        <f t="shared" ca="1" si="119"/>
        <v>#VALUE!</v>
      </c>
      <c r="GD129" s="301" t="e">
        <f t="shared" ca="1" si="119"/>
        <v>#VALUE!</v>
      </c>
      <c r="GE129" s="301" t="e">
        <f t="shared" ca="1" si="119"/>
        <v>#VALUE!</v>
      </c>
      <c r="GF129" s="301" t="e">
        <f t="shared" ca="1" si="119"/>
        <v>#VALUE!</v>
      </c>
      <c r="GG129" s="301" t="e">
        <f t="shared" ca="1" si="119"/>
        <v>#VALUE!</v>
      </c>
      <c r="GH129" s="301" t="e">
        <f t="shared" ca="1" si="119"/>
        <v>#VALUE!</v>
      </c>
      <c r="GI129" s="301" t="e">
        <f t="shared" ca="1" si="119"/>
        <v>#VALUE!</v>
      </c>
      <c r="GJ129" s="301" t="e">
        <f t="shared" ca="1" si="119"/>
        <v>#VALUE!</v>
      </c>
      <c r="GK129" s="301" t="e">
        <f t="shared" ca="1" si="119"/>
        <v>#VALUE!</v>
      </c>
      <c r="GL129" s="301" t="e">
        <f t="shared" ca="1" si="119"/>
        <v>#VALUE!</v>
      </c>
      <c r="GM129" s="301" t="e">
        <f t="shared" ca="1" si="119"/>
        <v>#VALUE!</v>
      </c>
      <c r="GN129" s="302" t="e">
        <f t="shared" ca="1" si="119"/>
        <v>#VALUE!</v>
      </c>
      <c r="GO129" s="302" t="e">
        <f t="shared" ca="1" si="119"/>
        <v>#VALUE!</v>
      </c>
      <c r="GP129" s="301">
        <f t="shared" si="128"/>
        <v>90</v>
      </c>
      <c r="GQ129" s="301">
        <f t="shared" si="128"/>
        <v>180</v>
      </c>
      <c r="GR129" s="301">
        <f t="shared" si="128"/>
        <v>180</v>
      </c>
      <c r="GS129" s="301">
        <f t="shared" si="128"/>
        <v>180</v>
      </c>
      <c r="GT129" s="301">
        <f t="shared" si="128"/>
        <v>180</v>
      </c>
      <c r="GU129" s="303">
        <f t="shared" si="128"/>
        <v>180</v>
      </c>
      <c r="GV129" s="302">
        <f t="shared" si="128"/>
        <v>180</v>
      </c>
      <c r="GW129" s="302">
        <f t="shared" si="128"/>
        <v>135</v>
      </c>
      <c r="GX129" s="302">
        <f t="shared" si="128"/>
        <v>0</v>
      </c>
      <c r="GY129" s="302">
        <f t="shared" si="128"/>
        <v>0</v>
      </c>
      <c r="GZ129" s="302">
        <f t="shared" si="128"/>
        <v>0</v>
      </c>
      <c r="HA129" s="302">
        <f t="shared" si="128"/>
        <v>0</v>
      </c>
      <c r="HB129" s="302">
        <f t="shared" si="128"/>
        <v>0</v>
      </c>
      <c r="HC129" s="302">
        <f t="shared" si="128"/>
        <v>0</v>
      </c>
      <c r="HD129" s="302">
        <f t="shared" si="128"/>
        <v>0</v>
      </c>
      <c r="HE129" s="302">
        <f t="shared" si="128"/>
        <v>0</v>
      </c>
      <c r="HF129" s="304" t="e">
        <f ca="1">SUM(FQ129:HE129)</f>
        <v>#VALUE!</v>
      </c>
      <c r="HG129" s="305" t="e">
        <f ca="1">HF129-S79</f>
        <v>#VALUE!</v>
      </c>
    </row>
    <row r="130" spans="1:215" s="306" customFormat="1" ht="14.25" customHeight="1">
      <c r="A130" s="307"/>
      <c r="B130" s="292" t="s">
        <v>348</v>
      </c>
      <c r="C130" s="292" t="s">
        <v>193</v>
      </c>
      <c r="D130" s="292" t="s">
        <v>235</v>
      </c>
      <c r="E130" s="292" t="s">
        <v>235</v>
      </c>
      <c r="F130" s="292" t="s">
        <v>184</v>
      </c>
      <c r="G130" s="292" t="s">
        <v>350</v>
      </c>
      <c r="H130" s="292" t="s">
        <v>351</v>
      </c>
      <c r="I130" s="292" t="s">
        <v>352</v>
      </c>
      <c r="J130" s="292" t="s">
        <v>184</v>
      </c>
      <c r="K130" s="292" t="s">
        <v>353</v>
      </c>
      <c r="L130" s="292" t="s">
        <v>359</v>
      </c>
      <c r="M130" s="292" t="s">
        <v>367</v>
      </c>
      <c r="N130" s="292" t="str">
        <f t="shared" si="120"/>
        <v>Deployment-Release Management</v>
      </c>
      <c r="O130" s="292" t="str">
        <f t="shared" si="121"/>
        <v>Technology-Consultant-India-Consulting</v>
      </c>
      <c r="P130" s="292" t="str">
        <f t="shared" si="122"/>
        <v>Deployment - Technology</v>
      </c>
      <c r="Q130" s="293">
        <f t="shared" si="111"/>
        <v>0</v>
      </c>
      <c r="R130" s="294">
        <f t="shared" si="112"/>
        <v>0</v>
      </c>
      <c r="S130" s="295">
        <f t="shared" si="123"/>
        <v>0</v>
      </c>
      <c r="T130" s="295">
        <f t="shared" si="113"/>
        <v>0</v>
      </c>
      <c r="U130" s="296" t="str">
        <f t="shared" si="124"/>
        <v>Technology - Consultant</v>
      </c>
      <c r="V130" s="295" t="str">
        <f t="shared" si="125"/>
        <v>1-3 years</v>
      </c>
      <c r="W130" s="292" t="str">
        <f t="shared" si="126"/>
        <v>Offshore</v>
      </c>
      <c r="X130" s="292" t="s">
        <v>261</v>
      </c>
      <c r="Y130" s="292" t="s">
        <v>259</v>
      </c>
      <c r="Z130" s="292" t="s">
        <v>368</v>
      </c>
      <c r="AA130" s="297">
        <f>[1]Resourcing!QD134</f>
        <v>64.0407692307692</v>
      </c>
      <c r="AB130" s="298">
        <f t="shared" si="127"/>
        <v>60</v>
      </c>
      <c r="AC130" s="299"/>
      <c r="AD130" s="299"/>
      <c r="AE130" s="299"/>
      <c r="AF130" s="299"/>
      <c r="AG130" s="299"/>
      <c r="AH130" s="299"/>
      <c r="AI130" s="299"/>
      <c r="AJ130" s="299"/>
      <c r="AK130" s="299"/>
      <c r="AL130" s="299"/>
      <c r="AM130" s="299"/>
      <c r="AN130" s="299"/>
      <c r="AO130" s="299"/>
      <c r="AP130" s="299"/>
      <c r="AQ130" s="299"/>
      <c r="AR130" s="299"/>
      <c r="AS130" s="299"/>
      <c r="AT130" s="299"/>
      <c r="AU130" s="299"/>
      <c r="AV130" s="299"/>
      <c r="AW130" s="299"/>
      <c r="AX130" s="299"/>
      <c r="AY130" s="299"/>
      <c r="AZ130" s="299"/>
      <c r="BA130" s="299"/>
      <c r="BB130" s="299"/>
      <c r="BC130" s="299"/>
      <c r="BD130" s="299"/>
      <c r="BE130" s="299"/>
      <c r="BF130" s="299"/>
      <c r="BG130" s="299"/>
      <c r="BH130" s="299"/>
      <c r="BI130" s="299"/>
      <c r="BJ130" s="299"/>
      <c r="BK130" s="299"/>
      <c r="BL130" s="299"/>
      <c r="BM130" s="299"/>
      <c r="BN130" s="299"/>
      <c r="BO130" s="299"/>
      <c r="BP130" s="299"/>
      <c r="BQ130" s="299"/>
      <c r="BR130" s="299"/>
      <c r="BS130" s="299"/>
      <c r="BT130" s="299"/>
      <c r="BU130" s="299"/>
      <c r="BV130" s="299"/>
      <c r="BW130" s="299"/>
      <c r="BX130" s="299"/>
      <c r="BY130" s="299"/>
      <c r="BZ130" s="299"/>
      <c r="CA130" s="299"/>
      <c r="CB130" s="299"/>
      <c r="CC130" s="299"/>
      <c r="CD130" s="299"/>
      <c r="CE130" s="299"/>
      <c r="CF130" s="299"/>
      <c r="CG130" s="299"/>
      <c r="CH130" s="299"/>
      <c r="CI130" s="299"/>
      <c r="CJ130" s="299"/>
      <c r="CK130" s="299"/>
      <c r="CL130" s="299"/>
      <c r="CM130" s="299"/>
      <c r="CN130" s="299"/>
      <c r="CO130" s="299"/>
      <c r="CP130" s="299"/>
      <c r="CQ130" s="299"/>
      <c r="CR130" s="299"/>
      <c r="CS130" s="299"/>
      <c r="CT130" s="299"/>
      <c r="CU130" s="299"/>
      <c r="CV130" s="299"/>
      <c r="CW130" s="299"/>
      <c r="CX130" s="299"/>
      <c r="CY130" s="299"/>
      <c r="CZ130" s="299"/>
      <c r="DA130" s="299"/>
      <c r="DB130" s="299"/>
      <c r="DC130" s="299"/>
      <c r="DD130" s="299"/>
      <c r="DE130" s="299"/>
      <c r="DF130" s="299"/>
      <c r="DG130" s="299"/>
      <c r="DH130" s="299"/>
      <c r="DI130" s="299"/>
      <c r="DJ130" s="299"/>
      <c r="DK130" s="299"/>
      <c r="DL130" s="299"/>
      <c r="DM130" s="299"/>
      <c r="DN130" s="299"/>
      <c r="DO130" s="299"/>
      <c r="DP130" s="299"/>
      <c r="DQ130" s="299"/>
      <c r="DR130" s="299"/>
      <c r="DS130" s="299"/>
      <c r="DT130" s="299"/>
      <c r="DU130" s="299"/>
      <c r="DV130" s="299"/>
      <c r="DW130" s="299"/>
      <c r="DX130" s="299"/>
      <c r="DY130" s="299"/>
      <c r="DZ130" s="299"/>
      <c r="EA130" s="299"/>
      <c r="EB130" s="299"/>
      <c r="EC130" s="299"/>
      <c r="ED130" s="299"/>
      <c r="EE130" s="299"/>
      <c r="EF130" s="299"/>
      <c r="EG130" s="299"/>
      <c r="EH130" s="299"/>
      <c r="EI130" s="299"/>
      <c r="EJ130" s="299"/>
      <c r="EK130" s="299"/>
      <c r="EL130" s="299"/>
      <c r="EM130" s="299"/>
      <c r="EN130" s="299"/>
      <c r="EO130" s="299"/>
      <c r="EP130" s="299"/>
      <c r="EQ130" s="299"/>
      <c r="ER130" s="299"/>
      <c r="ES130" s="299"/>
      <c r="ET130" s="299"/>
      <c r="EU130" s="299"/>
      <c r="EV130" s="299"/>
      <c r="EW130" s="299"/>
      <c r="EX130" s="299"/>
      <c r="EY130" s="299"/>
      <c r="EZ130" s="299"/>
      <c r="FA130" s="299"/>
      <c r="FB130" s="299"/>
      <c r="FC130" s="299"/>
      <c r="FD130" s="299"/>
      <c r="FE130" s="299"/>
      <c r="FF130" s="299"/>
      <c r="FG130" s="299"/>
      <c r="FH130" s="299"/>
      <c r="FI130" s="299"/>
      <c r="FJ130" s="299"/>
      <c r="FK130" s="299"/>
      <c r="FL130" s="299"/>
      <c r="FM130" s="299"/>
      <c r="FN130" s="299"/>
      <c r="FO130" s="299"/>
      <c r="FP130" s="299"/>
      <c r="FQ130" s="300" t="e">
        <f t="shared" ca="1" si="114"/>
        <v>#VALUE!</v>
      </c>
      <c r="FR130" s="300" t="e">
        <f t="shared" ca="1" si="118"/>
        <v>#VALUE!</v>
      </c>
      <c r="FS130" s="300" t="e">
        <f t="shared" ca="1" si="118"/>
        <v>#VALUE!</v>
      </c>
      <c r="FT130" s="300" t="e">
        <f t="shared" ca="1" si="118"/>
        <v>#VALUE!</v>
      </c>
      <c r="FU130" s="300" t="e">
        <f t="shared" ca="1" si="118"/>
        <v>#VALUE!</v>
      </c>
      <c r="FV130" s="300" t="e">
        <f t="shared" ca="1" si="118"/>
        <v>#VALUE!</v>
      </c>
      <c r="FW130" s="300" t="e">
        <f t="shared" ca="1" si="118"/>
        <v>#VALUE!</v>
      </c>
      <c r="FX130" s="300" t="e">
        <f t="shared" ca="1" si="118"/>
        <v>#VALUE!</v>
      </c>
      <c r="FY130" s="300" t="e">
        <f t="shared" ca="1" si="118"/>
        <v>#VALUE!</v>
      </c>
      <c r="FZ130" s="300" t="e">
        <f t="shared" ca="1" si="118"/>
        <v>#VALUE!</v>
      </c>
      <c r="GA130" s="301" t="e">
        <f t="shared" ca="1" si="118"/>
        <v>#VALUE!</v>
      </c>
      <c r="GB130" s="301" t="e">
        <f t="shared" ca="1" si="119"/>
        <v>#VALUE!</v>
      </c>
      <c r="GC130" s="301" t="e">
        <f t="shared" ca="1" si="119"/>
        <v>#VALUE!</v>
      </c>
      <c r="GD130" s="301" t="e">
        <f t="shared" ca="1" si="119"/>
        <v>#VALUE!</v>
      </c>
      <c r="GE130" s="301" t="e">
        <f t="shared" ca="1" si="119"/>
        <v>#VALUE!</v>
      </c>
      <c r="GF130" s="301" t="e">
        <f t="shared" ca="1" si="119"/>
        <v>#VALUE!</v>
      </c>
      <c r="GG130" s="301" t="e">
        <f t="shared" ca="1" si="119"/>
        <v>#VALUE!</v>
      </c>
      <c r="GH130" s="301" t="e">
        <f t="shared" ca="1" si="119"/>
        <v>#VALUE!</v>
      </c>
      <c r="GI130" s="301" t="e">
        <f t="shared" ca="1" si="119"/>
        <v>#VALUE!</v>
      </c>
      <c r="GJ130" s="301" t="e">
        <f t="shared" ca="1" si="119"/>
        <v>#VALUE!</v>
      </c>
      <c r="GK130" s="301" t="e">
        <f t="shared" ca="1" si="119"/>
        <v>#VALUE!</v>
      </c>
      <c r="GL130" s="301" t="e">
        <f t="shared" ca="1" si="119"/>
        <v>#VALUE!</v>
      </c>
      <c r="GM130" s="301" t="e">
        <f t="shared" ca="1" si="119"/>
        <v>#VALUE!</v>
      </c>
      <c r="GN130" s="302" t="e">
        <f t="shared" ca="1" si="119"/>
        <v>#VALUE!</v>
      </c>
      <c r="GO130" s="302" t="e">
        <f t="shared" ca="1" si="119"/>
        <v>#VALUE!</v>
      </c>
      <c r="GP130" s="301">
        <f t="shared" si="128"/>
        <v>0</v>
      </c>
      <c r="GQ130" s="301">
        <f t="shared" si="128"/>
        <v>0</v>
      </c>
      <c r="GR130" s="301">
        <f t="shared" si="128"/>
        <v>0</v>
      </c>
      <c r="GS130" s="301">
        <f t="shared" si="128"/>
        <v>0</v>
      </c>
      <c r="GT130" s="301">
        <f t="shared" si="128"/>
        <v>0</v>
      </c>
      <c r="GU130" s="303">
        <f t="shared" si="128"/>
        <v>0</v>
      </c>
      <c r="GV130" s="302">
        <f t="shared" si="128"/>
        <v>0</v>
      </c>
      <c r="GW130" s="302">
        <f t="shared" si="128"/>
        <v>0</v>
      </c>
      <c r="GX130" s="302">
        <f t="shared" si="128"/>
        <v>0</v>
      </c>
      <c r="GY130" s="302">
        <f t="shared" si="128"/>
        <v>0</v>
      </c>
      <c r="GZ130" s="302">
        <f t="shared" si="128"/>
        <v>0</v>
      </c>
      <c r="HA130" s="302">
        <f t="shared" si="128"/>
        <v>0</v>
      </c>
      <c r="HB130" s="302">
        <f t="shared" si="128"/>
        <v>0</v>
      </c>
      <c r="HC130" s="302">
        <f t="shared" si="128"/>
        <v>0</v>
      </c>
      <c r="HD130" s="302">
        <f t="shared" si="128"/>
        <v>0</v>
      </c>
      <c r="HE130" s="302">
        <f t="shared" si="128"/>
        <v>0</v>
      </c>
      <c r="HF130" s="304"/>
      <c r="HG130" s="305"/>
    </row>
    <row r="131" spans="1:215" s="306" customFormat="1" ht="14.25" customHeight="1">
      <c r="A131" s="307"/>
      <c r="B131" s="292"/>
      <c r="C131" s="292"/>
      <c r="D131" s="292"/>
      <c r="E131" s="292"/>
      <c r="F131" s="292"/>
      <c r="G131" s="292"/>
      <c r="H131" s="292"/>
      <c r="I131" s="292"/>
      <c r="J131" s="292"/>
      <c r="K131" s="292"/>
      <c r="L131" s="292"/>
      <c r="M131" s="292"/>
      <c r="N131" s="292"/>
      <c r="O131" s="292"/>
      <c r="P131" s="292"/>
      <c r="Q131" s="293">
        <f t="shared" si="111"/>
        <v>0</v>
      </c>
      <c r="R131" s="294">
        <f t="shared" si="112"/>
        <v>0</v>
      </c>
      <c r="S131" s="295"/>
      <c r="T131" s="295">
        <f t="shared" si="113"/>
        <v>0</v>
      </c>
      <c r="U131" s="296">
        <f>V131*AB131</f>
        <v>0</v>
      </c>
      <c r="V131" s="295">
        <f>SUM(GP131:HN131)</f>
        <v>0</v>
      </c>
      <c r="W131" s="292" t="str">
        <f>_xlfn.CONCAT(Y131,"-",Z131,"-",F131,"-",X131)</f>
        <v>---</v>
      </c>
      <c r="X131" s="292"/>
      <c r="Y131" s="292"/>
      <c r="Z131" s="292"/>
      <c r="AA131" s="297">
        <f>[1]Resourcing!QD135</f>
        <v>54.06</v>
      </c>
      <c r="AB131" s="298"/>
      <c r="AC131" s="299"/>
      <c r="AD131" s="299"/>
      <c r="AE131" s="299"/>
      <c r="AF131" s="299"/>
      <c r="AG131" s="299"/>
      <c r="AH131" s="299"/>
      <c r="AI131" s="299"/>
      <c r="AJ131" s="299"/>
      <c r="AK131" s="299"/>
      <c r="AL131" s="299"/>
      <c r="AM131" s="299"/>
      <c r="AN131" s="299"/>
      <c r="AO131" s="299"/>
      <c r="AP131" s="299"/>
      <c r="AQ131" s="299"/>
      <c r="AR131" s="299"/>
      <c r="AS131" s="299"/>
      <c r="AT131" s="299"/>
      <c r="AU131" s="299"/>
      <c r="AV131" s="299"/>
      <c r="AW131" s="299"/>
      <c r="AX131" s="299"/>
      <c r="AY131" s="299"/>
      <c r="AZ131" s="299"/>
      <c r="BA131" s="299"/>
      <c r="BB131" s="299"/>
      <c r="BC131" s="299"/>
      <c r="BD131" s="299"/>
      <c r="BE131" s="299"/>
      <c r="BF131" s="299"/>
      <c r="BG131" s="299"/>
      <c r="BH131" s="299"/>
      <c r="BI131" s="299"/>
      <c r="BJ131" s="299"/>
      <c r="BK131" s="299"/>
      <c r="BL131" s="299"/>
      <c r="BM131" s="299"/>
      <c r="BN131" s="299"/>
      <c r="BO131" s="299"/>
      <c r="BP131" s="299"/>
      <c r="BQ131" s="299"/>
      <c r="BR131" s="299"/>
      <c r="BS131" s="299"/>
      <c r="BT131" s="299"/>
      <c r="BU131" s="299"/>
      <c r="BV131" s="299"/>
      <c r="BW131" s="299"/>
      <c r="BX131" s="299"/>
      <c r="BY131" s="299"/>
      <c r="BZ131" s="299"/>
      <c r="CA131" s="299"/>
      <c r="CB131" s="299"/>
      <c r="CC131" s="299"/>
      <c r="CD131" s="299"/>
      <c r="CE131" s="299"/>
      <c r="CF131" s="299"/>
      <c r="CG131" s="299"/>
      <c r="CH131" s="299"/>
      <c r="CI131" s="299"/>
      <c r="CJ131" s="299"/>
      <c r="CK131" s="299"/>
      <c r="CL131" s="299"/>
      <c r="CM131" s="299"/>
      <c r="CN131" s="299"/>
      <c r="CO131" s="299"/>
      <c r="CP131" s="299"/>
      <c r="CQ131" s="299"/>
      <c r="CR131" s="299"/>
      <c r="CS131" s="299"/>
      <c r="CT131" s="299"/>
      <c r="CU131" s="299"/>
      <c r="CV131" s="299"/>
      <c r="CW131" s="299"/>
      <c r="CX131" s="299"/>
      <c r="CY131" s="299"/>
      <c r="CZ131" s="299"/>
      <c r="DA131" s="299"/>
      <c r="DB131" s="299"/>
      <c r="DC131" s="299"/>
      <c r="DD131" s="299"/>
      <c r="DE131" s="299"/>
      <c r="DF131" s="299"/>
      <c r="DG131" s="299"/>
      <c r="DH131" s="299"/>
      <c r="DI131" s="299"/>
      <c r="DJ131" s="299"/>
      <c r="DK131" s="299"/>
      <c r="DL131" s="299"/>
      <c r="DM131" s="299"/>
      <c r="DN131" s="299"/>
      <c r="DO131" s="299"/>
      <c r="DP131" s="299"/>
      <c r="DQ131" s="299"/>
      <c r="DR131" s="299"/>
      <c r="DS131" s="299"/>
      <c r="DT131" s="299"/>
      <c r="DU131" s="299"/>
      <c r="DV131" s="299"/>
      <c r="DW131" s="299"/>
      <c r="DX131" s="299"/>
      <c r="DY131" s="299"/>
      <c r="DZ131" s="299"/>
      <c r="EA131" s="299"/>
      <c r="EB131" s="299"/>
      <c r="EC131" s="299"/>
      <c r="ED131" s="299"/>
      <c r="EE131" s="299"/>
      <c r="EF131" s="299"/>
      <c r="EG131" s="299"/>
      <c r="EH131" s="299"/>
      <c r="EI131" s="299"/>
      <c r="EJ131" s="299"/>
      <c r="EK131" s="299"/>
      <c r="EL131" s="299"/>
      <c r="EM131" s="299"/>
      <c r="EN131" s="299"/>
      <c r="EO131" s="299"/>
      <c r="EP131" s="299"/>
      <c r="EQ131" s="299"/>
      <c r="ER131" s="299"/>
      <c r="ES131" s="299"/>
      <c r="ET131" s="299"/>
      <c r="EU131" s="299"/>
      <c r="EV131" s="299"/>
      <c r="EW131" s="299"/>
      <c r="EX131" s="299"/>
      <c r="EY131" s="299"/>
      <c r="EZ131" s="299"/>
      <c r="FA131" s="299"/>
      <c r="FB131" s="299"/>
      <c r="FC131" s="299"/>
      <c r="FD131" s="299"/>
      <c r="FE131" s="299"/>
      <c r="FF131" s="299"/>
      <c r="FG131" s="299"/>
      <c r="FH131" s="299"/>
      <c r="FI131" s="299"/>
      <c r="FJ131" s="299"/>
      <c r="FK131" s="299"/>
      <c r="FL131" s="299"/>
      <c r="FM131" s="299"/>
      <c r="FN131" s="299"/>
      <c r="FO131" s="299"/>
      <c r="FP131" s="299"/>
      <c r="FQ131" s="300" t="e">
        <f t="shared" ca="1" si="114"/>
        <v>#VALUE!</v>
      </c>
      <c r="FR131" s="300" t="e">
        <f t="shared" ca="1" si="118"/>
        <v>#VALUE!</v>
      </c>
      <c r="FS131" s="300" t="e">
        <f t="shared" ca="1" si="118"/>
        <v>#VALUE!</v>
      </c>
      <c r="FT131" s="300" t="e">
        <f t="shared" ca="1" si="118"/>
        <v>#VALUE!</v>
      </c>
      <c r="FU131" s="300" t="e">
        <f t="shared" ca="1" si="118"/>
        <v>#VALUE!</v>
      </c>
      <c r="FV131" s="300" t="e">
        <f t="shared" ca="1" si="118"/>
        <v>#VALUE!</v>
      </c>
      <c r="FW131" s="300" t="e">
        <f t="shared" ca="1" si="118"/>
        <v>#VALUE!</v>
      </c>
      <c r="FX131" s="300" t="e">
        <f t="shared" ca="1" si="118"/>
        <v>#VALUE!</v>
      </c>
      <c r="FY131" s="300" t="e">
        <f t="shared" ca="1" si="118"/>
        <v>#VALUE!</v>
      </c>
      <c r="FZ131" s="300" t="e">
        <f t="shared" ca="1" si="118"/>
        <v>#VALUE!</v>
      </c>
      <c r="GA131" s="301" t="e">
        <f t="shared" ca="1" si="118"/>
        <v>#VALUE!</v>
      </c>
      <c r="GB131" s="301" t="e">
        <f t="shared" ca="1" si="119"/>
        <v>#VALUE!</v>
      </c>
      <c r="GC131" s="301" t="e">
        <f t="shared" ca="1" si="119"/>
        <v>#VALUE!</v>
      </c>
      <c r="GD131" s="301" t="e">
        <f t="shared" ca="1" si="119"/>
        <v>#VALUE!</v>
      </c>
      <c r="GE131" s="301" t="e">
        <f t="shared" ca="1" si="119"/>
        <v>#VALUE!</v>
      </c>
      <c r="GF131" s="301" t="e">
        <f t="shared" ca="1" si="119"/>
        <v>#VALUE!</v>
      </c>
      <c r="GG131" s="301" t="e">
        <f t="shared" ca="1" si="119"/>
        <v>#VALUE!</v>
      </c>
      <c r="GH131" s="301" t="e">
        <f t="shared" ca="1" si="119"/>
        <v>#VALUE!</v>
      </c>
      <c r="GI131" s="301" t="e">
        <f t="shared" ca="1" si="119"/>
        <v>#VALUE!</v>
      </c>
      <c r="GJ131" s="301" t="e">
        <f t="shared" ca="1" si="119"/>
        <v>#VALUE!</v>
      </c>
      <c r="GK131" s="301" t="e">
        <f t="shared" ca="1" si="119"/>
        <v>#VALUE!</v>
      </c>
      <c r="GL131" s="301" t="e">
        <f t="shared" ca="1" si="119"/>
        <v>#VALUE!</v>
      </c>
      <c r="GM131" s="301" t="e">
        <f t="shared" ca="1" si="119"/>
        <v>#VALUE!</v>
      </c>
      <c r="GN131" s="302" t="e">
        <f t="shared" ca="1" si="119"/>
        <v>#VALUE!</v>
      </c>
      <c r="GO131" s="302" t="e">
        <f t="shared" ca="1" si="119"/>
        <v>#VALUE!</v>
      </c>
      <c r="GP131" s="301">
        <f t="shared" si="128"/>
        <v>0</v>
      </c>
      <c r="GQ131" s="301">
        <f t="shared" si="128"/>
        <v>0</v>
      </c>
      <c r="GR131" s="301">
        <f t="shared" si="128"/>
        <v>0</v>
      </c>
      <c r="GS131" s="301">
        <f t="shared" si="128"/>
        <v>0</v>
      </c>
      <c r="GT131" s="301">
        <f t="shared" si="128"/>
        <v>0</v>
      </c>
      <c r="GU131" s="303">
        <f t="shared" si="128"/>
        <v>0</v>
      </c>
      <c r="GV131" s="302">
        <f t="shared" si="128"/>
        <v>0</v>
      </c>
      <c r="GW131" s="302">
        <f t="shared" si="128"/>
        <v>0</v>
      </c>
      <c r="GX131" s="302">
        <f t="shared" si="128"/>
        <v>0</v>
      </c>
      <c r="GY131" s="302">
        <f t="shared" si="128"/>
        <v>0</v>
      </c>
      <c r="GZ131" s="302">
        <f t="shared" si="128"/>
        <v>0</v>
      </c>
      <c r="HA131" s="302">
        <f t="shared" si="128"/>
        <v>0</v>
      </c>
      <c r="HB131" s="302">
        <f t="shared" si="128"/>
        <v>0</v>
      </c>
      <c r="HC131" s="302">
        <f t="shared" si="128"/>
        <v>0</v>
      </c>
      <c r="HD131" s="302">
        <f t="shared" si="128"/>
        <v>0</v>
      </c>
      <c r="HE131" s="302">
        <f t="shared" si="128"/>
        <v>0</v>
      </c>
      <c r="HF131" s="304"/>
      <c r="HG131" s="305"/>
    </row>
    <row r="132" spans="1:215" s="306" customFormat="1" ht="14.25" customHeight="1">
      <c r="A132" s="307"/>
      <c r="B132" s="292" t="s">
        <v>348</v>
      </c>
      <c r="C132" s="292" t="s">
        <v>159</v>
      </c>
      <c r="D132" s="292" t="s">
        <v>159</v>
      </c>
      <c r="E132" s="292" t="s">
        <v>472</v>
      </c>
      <c r="F132" s="292" t="s">
        <v>186</v>
      </c>
      <c r="G132" s="292" t="s">
        <v>350</v>
      </c>
      <c r="H132" s="292" t="s">
        <v>473</v>
      </c>
      <c r="I132" s="292" t="s">
        <v>474</v>
      </c>
      <c r="J132" s="292" t="s">
        <v>186</v>
      </c>
      <c r="K132" s="292" t="s">
        <v>475</v>
      </c>
      <c r="L132" s="292" t="s">
        <v>476</v>
      </c>
      <c r="M132" s="292" t="s">
        <v>355</v>
      </c>
      <c r="N132" s="292" t="str">
        <f t="shared" ref="N132:N142" si="129">_xlfn.CONCAT(C132,"-",D132)</f>
        <v>Security-Security</v>
      </c>
      <c r="O132" s="292" t="str">
        <f t="shared" ref="O132:O142" si="130">_xlfn.CONCAT(Y132,"-",Z132,"-",F132,"-",X132)</f>
        <v>Cyber Security -Managing Director-US-Consulting</v>
      </c>
      <c r="P132" s="292" t="str">
        <f t="shared" ref="P132:P142" si="131">_xlfn.CONCAT(C132," - ",Y132)</f>
        <v xml:space="preserve">Security - Cyber Security </v>
      </c>
      <c r="Q132" s="293">
        <f t="shared" si="111"/>
        <v>78660</v>
      </c>
      <c r="R132" s="294">
        <f t="shared" si="112"/>
        <v>8740</v>
      </c>
      <c r="S132" s="295">
        <f t="shared" ref="S132:S142" si="132">SUM(GP132:HN132)</f>
        <v>58</v>
      </c>
      <c r="T132" s="295">
        <f t="shared" si="113"/>
        <v>180</v>
      </c>
      <c r="U132" s="296" t="str">
        <f t="shared" ref="U132:U142" si="133">_xlfn.CONCAT(Y132," - ",Z132)</f>
        <v>Cyber Security  - Managing Director</v>
      </c>
      <c r="V132" s="295" t="str">
        <f t="shared" ref="V132:V142" si="134">VLOOKUP(O132,$B$187:$H$848,4,0)</f>
        <v>10-15 years</v>
      </c>
      <c r="W132" s="292" t="str">
        <f t="shared" ref="W132:W142" si="135">IF(F132="US", "Onshore",IF(F132="India","Offshore", "Nearshore"))</f>
        <v>Onshore</v>
      </c>
      <c r="X132" s="292" t="s">
        <v>261</v>
      </c>
      <c r="Y132" s="292" t="s">
        <v>477</v>
      </c>
      <c r="Z132" s="292" t="s">
        <v>357</v>
      </c>
      <c r="AA132" s="297">
        <f>[1]Resourcing!QD136</f>
        <v>43.808</v>
      </c>
      <c r="AB132" s="298">
        <f t="shared" ref="AB132:AB142" si="136">IFERROR(VLOOKUP(O132,$B$187:$S$848,6,FALSE()),"combination not found")</f>
        <v>437</v>
      </c>
      <c r="AC132" s="299"/>
      <c r="AD132" s="299"/>
      <c r="AE132" s="299"/>
      <c r="AF132" s="299"/>
      <c r="AG132" s="299"/>
      <c r="AH132" s="299"/>
      <c r="AI132" s="299"/>
      <c r="AJ132" s="299"/>
      <c r="AK132" s="299"/>
      <c r="AL132" s="299"/>
      <c r="AM132" s="299"/>
      <c r="AN132" s="299"/>
      <c r="AO132" s="299"/>
      <c r="AP132" s="299"/>
      <c r="AQ132" s="299"/>
      <c r="AR132" s="299"/>
      <c r="AS132" s="299"/>
      <c r="AT132" s="299"/>
      <c r="AU132" s="299"/>
      <c r="AV132" s="299"/>
      <c r="AW132" s="299"/>
      <c r="AX132" s="299"/>
      <c r="AY132" s="299"/>
      <c r="AZ132" s="299"/>
      <c r="BA132" s="299"/>
      <c r="BB132" s="299"/>
      <c r="BC132" s="299"/>
      <c r="BD132" s="299"/>
      <c r="BE132" s="292">
        <v>2</v>
      </c>
      <c r="BF132" s="292">
        <v>2</v>
      </c>
      <c r="BG132" s="292">
        <v>2</v>
      </c>
      <c r="BH132" s="292">
        <v>2</v>
      </c>
      <c r="BI132" s="292">
        <v>2</v>
      </c>
      <c r="BJ132" s="292">
        <v>2</v>
      </c>
      <c r="BK132" s="292">
        <v>2</v>
      </c>
      <c r="BL132" s="292">
        <v>2</v>
      </c>
      <c r="BM132" s="292">
        <v>2</v>
      </c>
      <c r="BN132" s="292">
        <v>2</v>
      </c>
      <c r="BO132" s="292">
        <v>2</v>
      </c>
      <c r="BP132" s="292">
        <v>2</v>
      </c>
      <c r="BQ132" s="292">
        <v>2</v>
      </c>
      <c r="BR132" s="292"/>
      <c r="BS132" s="292"/>
      <c r="BT132" s="292">
        <v>2</v>
      </c>
      <c r="BU132" s="292">
        <v>2</v>
      </c>
      <c r="BV132" s="292">
        <v>2</v>
      </c>
      <c r="BW132" s="292">
        <v>2</v>
      </c>
      <c r="BX132" s="292">
        <v>2</v>
      </c>
      <c r="BY132" s="292">
        <v>2</v>
      </c>
      <c r="BZ132" s="292">
        <v>2</v>
      </c>
      <c r="CA132" s="292">
        <v>2</v>
      </c>
      <c r="CB132" s="292">
        <v>2</v>
      </c>
      <c r="CC132" s="292">
        <v>2</v>
      </c>
      <c r="CD132" s="292">
        <v>2</v>
      </c>
      <c r="CE132" s="292">
        <v>2</v>
      </c>
      <c r="CF132" s="292">
        <v>2</v>
      </c>
      <c r="CG132" s="292">
        <v>2</v>
      </c>
      <c r="CH132" s="292">
        <v>2</v>
      </c>
      <c r="CI132" s="292">
        <v>2</v>
      </c>
      <c r="CJ132" s="292">
        <v>2</v>
      </c>
      <c r="CK132" s="292">
        <v>2</v>
      </c>
      <c r="CL132" s="292">
        <v>2</v>
      </c>
      <c r="CM132" s="292">
        <v>2</v>
      </c>
      <c r="CN132" s="292">
        <v>2</v>
      </c>
      <c r="CO132" s="292">
        <v>2</v>
      </c>
      <c r="CP132" s="292">
        <v>2</v>
      </c>
      <c r="CQ132" s="292">
        <v>2</v>
      </c>
      <c r="CR132" s="292">
        <v>2</v>
      </c>
      <c r="CS132" s="292">
        <v>2</v>
      </c>
      <c r="CT132" s="292">
        <v>2</v>
      </c>
      <c r="CU132" s="292">
        <v>2</v>
      </c>
      <c r="CV132" s="292">
        <v>2</v>
      </c>
      <c r="CW132" s="292">
        <v>2</v>
      </c>
      <c r="CX132" s="292">
        <v>2</v>
      </c>
      <c r="CY132" s="292">
        <v>2</v>
      </c>
      <c r="CZ132" s="292">
        <v>2</v>
      </c>
      <c r="DA132" s="292">
        <v>2</v>
      </c>
      <c r="DB132" s="292">
        <v>2</v>
      </c>
      <c r="DC132" s="292">
        <v>2</v>
      </c>
      <c r="DD132" s="292">
        <v>2</v>
      </c>
      <c r="DE132" s="292">
        <v>2</v>
      </c>
      <c r="DF132" s="292">
        <v>2</v>
      </c>
      <c r="DG132" s="292">
        <v>2</v>
      </c>
      <c r="DH132" s="292">
        <v>2</v>
      </c>
      <c r="DI132" s="292">
        <v>2</v>
      </c>
      <c r="DJ132" s="292">
        <v>2</v>
      </c>
      <c r="DK132" s="292">
        <v>2</v>
      </c>
      <c r="DL132" s="292">
        <v>2</v>
      </c>
      <c r="DM132" s="292">
        <v>2</v>
      </c>
      <c r="DN132" s="292">
        <v>2</v>
      </c>
      <c r="DO132" s="292">
        <v>2</v>
      </c>
      <c r="DP132" s="292">
        <v>2</v>
      </c>
      <c r="DQ132" s="292">
        <v>2</v>
      </c>
      <c r="DR132" s="292"/>
      <c r="DS132" s="292"/>
      <c r="DT132" s="292">
        <v>2</v>
      </c>
      <c r="DU132" s="292">
        <v>2</v>
      </c>
      <c r="DV132" s="292">
        <v>2</v>
      </c>
      <c r="DW132" s="292">
        <v>2</v>
      </c>
      <c r="DX132" s="292">
        <v>2</v>
      </c>
      <c r="DY132" s="292">
        <v>2</v>
      </c>
      <c r="DZ132" s="292">
        <v>2</v>
      </c>
      <c r="EA132" s="292">
        <v>2</v>
      </c>
      <c r="EB132" s="292">
        <v>2</v>
      </c>
      <c r="EC132" s="292">
        <v>2</v>
      </c>
      <c r="ED132" s="292">
        <v>2</v>
      </c>
      <c r="EE132" s="292">
        <v>2</v>
      </c>
      <c r="EF132" s="292">
        <v>2</v>
      </c>
      <c r="EG132" s="292">
        <v>2</v>
      </c>
      <c r="EH132" s="292">
        <v>2</v>
      </c>
      <c r="EI132" s="292">
        <v>2</v>
      </c>
      <c r="EJ132" s="292">
        <v>2</v>
      </c>
      <c r="EK132" s="292">
        <v>2</v>
      </c>
      <c r="EL132" s="292">
        <v>2</v>
      </c>
      <c r="EM132" s="292">
        <v>2</v>
      </c>
      <c r="EN132" s="292">
        <v>2</v>
      </c>
      <c r="EO132" s="292">
        <v>2</v>
      </c>
      <c r="EP132" s="292">
        <v>2</v>
      </c>
      <c r="EQ132" s="292">
        <v>2</v>
      </c>
      <c r="ER132" s="292">
        <v>2</v>
      </c>
      <c r="ES132" s="292">
        <v>2</v>
      </c>
      <c r="ET132" s="292">
        <v>2</v>
      </c>
      <c r="EU132" s="299"/>
      <c r="EV132" s="299"/>
      <c r="EW132" s="299"/>
      <c r="EX132" s="299"/>
      <c r="EY132" s="299"/>
      <c r="EZ132" s="299"/>
      <c r="FA132" s="299"/>
      <c r="FB132" s="299"/>
      <c r="FC132" s="299"/>
      <c r="FD132" s="299"/>
      <c r="FE132" s="299"/>
      <c r="FF132" s="299"/>
      <c r="FG132" s="299"/>
      <c r="FH132" s="299"/>
      <c r="FI132" s="299"/>
      <c r="FJ132" s="299"/>
      <c r="FK132" s="299"/>
      <c r="FL132" s="299"/>
      <c r="FM132" s="299"/>
      <c r="FN132" s="299"/>
      <c r="FO132" s="299"/>
      <c r="FP132" s="299"/>
      <c r="FQ132" s="300" t="e">
        <f t="shared" ca="1" si="114"/>
        <v>#VALUE!</v>
      </c>
      <c r="FR132" s="300" t="e">
        <f t="shared" ca="1" si="118"/>
        <v>#VALUE!</v>
      </c>
      <c r="FS132" s="300" t="e">
        <f t="shared" ca="1" si="118"/>
        <v>#VALUE!</v>
      </c>
      <c r="FT132" s="300" t="e">
        <f t="shared" ca="1" si="118"/>
        <v>#VALUE!</v>
      </c>
      <c r="FU132" s="300" t="e">
        <f t="shared" ca="1" si="118"/>
        <v>#VALUE!</v>
      </c>
      <c r="FV132" s="300" t="e">
        <f t="shared" ca="1" si="118"/>
        <v>#VALUE!</v>
      </c>
      <c r="FW132" s="300" t="e">
        <f t="shared" ca="1" si="118"/>
        <v>#VALUE!</v>
      </c>
      <c r="FX132" s="300" t="e">
        <f t="shared" ca="1" si="118"/>
        <v>#VALUE!</v>
      </c>
      <c r="FY132" s="300" t="e">
        <f t="shared" ca="1" si="118"/>
        <v>#VALUE!</v>
      </c>
      <c r="FZ132" s="300" t="e">
        <f t="shared" ca="1" si="118"/>
        <v>#VALUE!</v>
      </c>
      <c r="GA132" s="301" t="e">
        <f t="shared" ca="1" si="118"/>
        <v>#VALUE!</v>
      </c>
      <c r="GB132" s="301" t="e">
        <f t="shared" ca="1" si="119"/>
        <v>#VALUE!</v>
      </c>
      <c r="GC132" s="301" t="e">
        <f t="shared" ca="1" si="119"/>
        <v>#VALUE!</v>
      </c>
      <c r="GD132" s="301" t="e">
        <f t="shared" ca="1" si="119"/>
        <v>#VALUE!</v>
      </c>
      <c r="GE132" s="301" t="e">
        <f t="shared" ca="1" si="119"/>
        <v>#VALUE!</v>
      </c>
      <c r="GF132" s="301" t="e">
        <f t="shared" ca="1" si="119"/>
        <v>#VALUE!</v>
      </c>
      <c r="GG132" s="301" t="e">
        <f t="shared" ca="1" si="119"/>
        <v>#VALUE!</v>
      </c>
      <c r="GH132" s="301" t="e">
        <f t="shared" ca="1" si="119"/>
        <v>#VALUE!</v>
      </c>
      <c r="GI132" s="301" t="e">
        <f t="shared" ca="1" si="119"/>
        <v>#VALUE!</v>
      </c>
      <c r="GJ132" s="301" t="e">
        <f t="shared" ca="1" si="119"/>
        <v>#VALUE!</v>
      </c>
      <c r="GK132" s="301" t="e">
        <f t="shared" ca="1" si="119"/>
        <v>#VALUE!</v>
      </c>
      <c r="GL132" s="301" t="e">
        <f t="shared" ca="1" si="119"/>
        <v>#VALUE!</v>
      </c>
      <c r="GM132" s="301" t="e">
        <f t="shared" ca="1" si="119"/>
        <v>#VALUE!</v>
      </c>
      <c r="GN132" s="302" t="e">
        <f t="shared" ca="1" si="119"/>
        <v>#VALUE!</v>
      </c>
      <c r="GO132" s="302" t="e">
        <f t="shared" ca="1" si="119"/>
        <v>#VALUE!</v>
      </c>
      <c r="GP132" s="301">
        <f t="shared" si="128"/>
        <v>4</v>
      </c>
      <c r="GQ132" s="301">
        <f t="shared" si="128"/>
        <v>8</v>
      </c>
      <c r="GR132" s="301">
        <f t="shared" si="128"/>
        <v>8</v>
      </c>
      <c r="GS132" s="301">
        <f t="shared" si="128"/>
        <v>8</v>
      </c>
      <c r="GT132" s="301">
        <f t="shared" si="128"/>
        <v>8</v>
      </c>
      <c r="GU132" s="303">
        <f t="shared" si="128"/>
        <v>8</v>
      </c>
      <c r="GV132" s="302">
        <f t="shared" si="128"/>
        <v>8</v>
      </c>
      <c r="GW132" s="302">
        <f t="shared" si="128"/>
        <v>6</v>
      </c>
      <c r="GX132" s="302">
        <f t="shared" si="128"/>
        <v>0</v>
      </c>
      <c r="GY132" s="302">
        <f t="shared" si="128"/>
        <v>0</v>
      </c>
      <c r="GZ132" s="302">
        <f t="shared" si="128"/>
        <v>0</v>
      </c>
      <c r="HA132" s="302">
        <f t="shared" si="128"/>
        <v>0</v>
      </c>
      <c r="HB132" s="302">
        <f t="shared" si="128"/>
        <v>0</v>
      </c>
      <c r="HC132" s="302">
        <f t="shared" si="128"/>
        <v>0</v>
      </c>
      <c r="HD132" s="302">
        <f t="shared" si="128"/>
        <v>0</v>
      </c>
      <c r="HE132" s="302">
        <f t="shared" si="128"/>
        <v>0</v>
      </c>
      <c r="HF132" s="304"/>
      <c r="HG132" s="305"/>
    </row>
    <row r="133" spans="1:215" s="306" customFormat="1" ht="14.25" customHeight="1">
      <c r="A133" s="307"/>
      <c r="B133" s="292" t="s">
        <v>348</v>
      </c>
      <c r="C133" s="292" t="s">
        <v>159</v>
      </c>
      <c r="D133" s="292" t="s">
        <v>159</v>
      </c>
      <c r="E133" s="292" t="s">
        <v>478</v>
      </c>
      <c r="F133" s="292" t="s">
        <v>186</v>
      </c>
      <c r="G133" s="292" t="s">
        <v>350</v>
      </c>
      <c r="H133" s="292" t="s">
        <v>473</v>
      </c>
      <c r="I133" s="292" t="s">
        <v>474</v>
      </c>
      <c r="J133" s="292" t="s">
        <v>186</v>
      </c>
      <c r="K133" s="292" t="s">
        <v>475</v>
      </c>
      <c r="L133" s="292" t="s">
        <v>476</v>
      </c>
      <c r="M133" s="292" t="s">
        <v>360</v>
      </c>
      <c r="N133" s="292" t="str">
        <f t="shared" si="129"/>
        <v>Security-Security</v>
      </c>
      <c r="O133" s="292" t="str">
        <f t="shared" si="130"/>
        <v>Cyber Security -Senior Manager-US-Consulting</v>
      </c>
      <c r="P133" s="292" t="str">
        <f t="shared" si="131"/>
        <v xml:space="preserve">Security - Cyber Security </v>
      </c>
      <c r="Q133" s="293">
        <f t="shared" si="111"/>
        <v>352320</v>
      </c>
      <c r="R133" s="294">
        <f t="shared" si="112"/>
        <v>58720</v>
      </c>
      <c r="S133" s="295">
        <f t="shared" si="132"/>
        <v>0</v>
      </c>
      <c r="T133" s="295">
        <f t="shared" si="113"/>
        <v>960</v>
      </c>
      <c r="U133" s="296" t="str">
        <f t="shared" si="133"/>
        <v>Cyber Security  - Senior Manager</v>
      </c>
      <c r="V133" s="295" t="str">
        <f t="shared" si="134"/>
        <v>7-10 years</v>
      </c>
      <c r="W133" s="292" t="str">
        <f t="shared" si="135"/>
        <v>Onshore</v>
      </c>
      <c r="X133" s="292" t="s">
        <v>261</v>
      </c>
      <c r="Y133" s="292" t="s">
        <v>477</v>
      </c>
      <c r="Z133" s="292" t="s">
        <v>361</v>
      </c>
      <c r="AA133" s="297">
        <f>[1]Resourcing!QD137</f>
        <v>0</v>
      </c>
      <c r="AB133" s="298">
        <f t="shared" si="136"/>
        <v>367</v>
      </c>
      <c r="AC133" s="299"/>
      <c r="AD133" s="299"/>
      <c r="AE133" s="299"/>
      <c r="AF133" s="299"/>
      <c r="AG133" s="299"/>
      <c r="AH133" s="299"/>
      <c r="AI133" s="299"/>
      <c r="AJ133" s="299"/>
      <c r="AK133" s="299"/>
      <c r="AL133" s="299"/>
      <c r="AM133" s="299"/>
      <c r="AN133" s="299"/>
      <c r="AO133" s="299"/>
      <c r="AP133" s="299"/>
      <c r="AQ133" s="299"/>
      <c r="AR133" s="299"/>
      <c r="AS133" s="299"/>
      <c r="AT133" s="299"/>
      <c r="AU133" s="299"/>
      <c r="AV133" s="299"/>
      <c r="AW133" s="299"/>
      <c r="AX133" s="299"/>
      <c r="AY133" s="299"/>
      <c r="AZ133" s="299"/>
      <c r="BA133" s="299"/>
      <c r="BB133" s="299"/>
      <c r="BC133" s="299"/>
      <c r="BD133" s="299"/>
      <c r="BE133" s="299">
        <v>16</v>
      </c>
      <c r="BF133" s="299">
        <v>16</v>
      </c>
      <c r="BG133" s="299">
        <v>16</v>
      </c>
      <c r="BH133" s="299">
        <v>16</v>
      </c>
      <c r="BI133" s="299">
        <v>16</v>
      </c>
      <c r="BJ133" s="299">
        <v>16</v>
      </c>
      <c r="BK133" s="299">
        <v>16</v>
      </c>
      <c r="BL133" s="299">
        <v>16</v>
      </c>
      <c r="BM133" s="299">
        <v>16</v>
      </c>
      <c r="BN133" s="299">
        <v>16</v>
      </c>
      <c r="BO133" s="299">
        <v>16</v>
      </c>
      <c r="BP133" s="299">
        <v>16</v>
      </c>
      <c r="BQ133" s="299">
        <v>16</v>
      </c>
      <c r="BR133" s="299"/>
      <c r="BS133" s="299"/>
      <c r="BT133" s="299">
        <v>16</v>
      </c>
      <c r="BU133" s="299">
        <v>16</v>
      </c>
      <c r="BV133" s="299">
        <v>16</v>
      </c>
      <c r="BW133" s="299">
        <v>16</v>
      </c>
      <c r="BX133" s="299">
        <v>16</v>
      </c>
      <c r="BY133" s="299">
        <v>16</v>
      </c>
      <c r="BZ133" s="299">
        <v>16</v>
      </c>
      <c r="CA133" s="299">
        <v>16</v>
      </c>
      <c r="CB133" s="299">
        <v>16</v>
      </c>
      <c r="CC133" s="299">
        <v>16</v>
      </c>
      <c r="CD133" s="299">
        <v>16</v>
      </c>
      <c r="CE133" s="299">
        <v>16</v>
      </c>
      <c r="CF133" s="299">
        <v>16</v>
      </c>
      <c r="CG133" s="299">
        <v>16</v>
      </c>
      <c r="CH133" s="299">
        <v>16</v>
      </c>
      <c r="CI133" s="299">
        <v>16</v>
      </c>
      <c r="CJ133" s="299">
        <v>16</v>
      </c>
      <c r="CK133" s="299">
        <v>8</v>
      </c>
      <c r="CL133" s="299">
        <v>8</v>
      </c>
      <c r="CM133" s="299">
        <v>8</v>
      </c>
      <c r="CN133" s="299">
        <v>8</v>
      </c>
      <c r="CO133" s="299">
        <v>8</v>
      </c>
      <c r="CP133" s="299">
        <v>8</v>
      </c>
      <c r="CQ133" s="299">
        <v>8</v>
      </c>
      <c r="CR133" s="299">
        <v>8</v>
      </c>
      <c r="CS133" s="299">
        <v>8</v>
      </c>
      <c r="CT133" s="299">
        <v>8</v>
      </c>
      <c r="CU133" s="299">
        <v>8</v>
      </c>
      <c r="CV133" s="299">
        <v>8</v>
      </c>
      <c r="CW133" s="299">
        <v>8</v>
      </c>
      <c r="CX133" s="299">
        <v>8</v>
      </c>
      <c r="CY133" s="299">
        <v>8</v>
      </c>
      <c r="CZ133" s="299">
        <v>8</v>
      </c>
      <c r="DA133" s="299">
        <v>8</v>
      </c>
      <c r="DB133" s="299">
        <v>8</v>
      </c>
      <c r="DC133" s="299">
        <v>8</v>
      </c>
      <c r="DD133" s="299">
        <v>8</v>
      </c>
      <c r="DE133" s="299">
        <v>8</v>
      </c>
      <c r="DF133" s="299">
        <v>8</v>
      </c>
      <c r="DG133" s="299">
        <v>8</v>
      </c>
      <c r="DH133" s="299">
        <v>8</v>
      </c>
      <c r="DI133" s="299">
        <v>8</v>
      </c>
      <c r="DJ133" s="299">
        <v>8</v>
      </c>
      <c r="DK133" s="299">
        <v>8</v>
      </c>
      <c r="DL133" s="299">
        <v>8</v>
      </c>
      <c r="DM133" s="299">
        <v>8</v>
      </c>
      <c r="DN133" s="299">
        <v>8</v>
      </c>
      <c r="DO133" s="299">
        <v>8</v>
      </c>
      <c r="DP133" s="299">
        <v>8</v>
      </c>
      <c r="DQ133" s="299">
        <v>8</v>
      </c>
      <c r="DR133" s="299"/>
      <c r="DS133" s="299"/>
      <c r="DT133" s="299">
        <v>8</v>
      </c>
      <c r="DU133" s="299">
        <v>8</v>
      </c>
      <c r="DV133" s="299">
        <v>8</v>
      </c>
      <c r="DW133" s="299">
        <v>8</v>
      </c>
      <c r="DX133" s="299">
        <v>8</v>
      </c>
      <c r="DY133" s="299">
        <v>8</v>
      </c>
      <c r="DZ133" s="299">
        <v>8</v>
      </c>
      <c r="EA133" s="299">
        <v>8</v>
      </c>
      <c r="EB133" s="299">
        <v>8</v>
      </c>
      <c r="EC133" s="299">
        <v>8</v>
      </c>
      <c r="ED133" s="299">
        <v>8</v>
      </c>
      <c r="EE133" s="299">
        <v>8</v>
      </c>
      <c r="EF133" s="299">
        <v>8</v>
      </c>
      <c r="EG133" s="299">
        <v>8</v>
      </c>
      <c r="EH133" s="299">
        <v>8</v>
      </c>
      <c r="EI133" s="299">
        <v>8</v>
      </c>
      <c r="EJ133" s="299">
        <v>8</v>
      </c>
      <c r="EK133" s="299">
        <v>8</v>
      </c>
      <c r="EL133" s="299">
        <v>8</v>
      </c>
      <c r="EM133" s="299">
        <v>8</v>
      </c>
      <c r="EN133" s="299">
        <v>8</v>
      </c>
      <c r="EO133" s="299">
        <v>8</v>
      </c>
      <c r="EP133" s="299">
        <v>8</v>
      </c>
      <c r="EQ133" s="299">
        <v>8</v>
      </c>
      <c r="ER133" s="299">
        <v>8</v>
      </c>
      <c r="ES133" s="299">
        <v>8</v>
      </c>
      <c r="ET133" s="299">
        <v>8</v>
      </c>
      <c r="EU133" s="299"/>
      <c r="EV133" s="299"/>
      <c r="EW133" s="299"/>
      <c r="EX133" s="299"/>
      <c r="EY133" s="299"/>
      <c r="EZ133" s="299"/>
      <c r="FA133" s="299"/>
      <c r="FB133" s="299"/>
      <c r="FC133" s="299"/>
      <c r="FD133" s="299"/>
      <c r="FE133" s="299"/>
      <c r="FF133" s="299"/>
      <c r="FG133" s="299"/>
      <c r="FH133" s="299"/>
      <c r="FI133" s="299"/>
      <c r="FJ133" s="299"/>
      <c r="FK133" s="299"/>
      <c r="FL133" s="299"/>
      <c r="FM133" s="299"/>
      <c r="FN133" s="299"/>
      <c r="FO133" s="299"/>
      <c r="FP133" s="299"/>
      <c r="FQ133" s="300" t="e">
        <f t="shared" ca="1" si="114"/>
        <v>#VALUE!</v>
      </c>
      <c r="FR133" s="300" t="e">
        <f t="shared" ref="FR133:GA142" ca="1" si="137">SUMIF($AC$11:$FP$11,FR$12,$AC133:$FP133)</f>
        <v>#VALUE!</v>
      </c>
      <c r="FS133" s="300" t="e">
        <f t="shared" ca="1" si="137"/>
        <v>#VALUE!</v>
      </c>
      <c r="FT133" s="300" t="e">
        <f t="shared" ca="1" si="137"/>
        <v>#VALUE!</v>
      </c>
      <c r="FU133" s="300" t="e">
        <f t="shared" ca="1" si="137"/>
        <v>#VALUE!</v>
      </c>
      <c r="FV133" s="300" t="e">
        <f t="shared" ca="1" si="137"/>
        <v>#VALUE!</v>
      </c>
      <c r="FW133" s="300" t="e">
        <f t="shared" ca="1" si="137"/>
        <v>#VALUE!</v>
      </c>
      <c r="FX133" s="300" t="e">
        <f t="shared" ca="1" si="137"/>
        <v>#VALUE!</v>
      </c>
      <c r="FY133" s="300" t="e">
        <f t="shared" ca="1" si="137"/>
        <v>#VALUE!</v>
      </c>
      <c r="FZ133" s="300" t="e">
        <f t="shared" ca="1" si="137"/>
        <v>#VALUE!</v>
      </c>
      <c r="GA133" s="301" t="e">
        <f t="shared" ca="1" si="137"/>
        <v>#VALUE!</v>
      </c>
      <c r="GB133" s="301" t="e">
        <f t="shared" ref="GB133:GO142" ca="1" si="138">SUMIF($AC$11:$FP$11,GB$12,$AC133:$FP133)</f>
        <v>#VALUE!</v>
      </c>
      <c r="GC133" s="301" t="e">
        <f t="shared" ca="1" si="138"/>
        <v>#VALUE!</v>
      </c>
      <c r="GD133" s="301" t="e">
        <f t="shared" ca="1" si="138"/>
        <v>#VALUE!</v>
      </c>
      <c r="GE133" s="301" t="e">
        <f t="shared" ca="1" si="138"/>
        <v>#VALUE!</v>
      </c>
      <c r="GF133" s="301" t="e">
        <f t="shared" ca="1" si="138"/>
        <v>#VALUE!</v>
      </c>
      <c r="GG133" s="301" t="e">
        <f t="shared" ca="1" si="138"/>
        <v>#VALUE!</v>
      </c>
      <c r="GH133" s="301" t="e">
        <f t="shared" ca="1" si="138"/>
        <v>#VALUE!</v>
      </c>
      <c r="GI133" s="301" t="e">
        <f t="shared" ca="1" si="138"/>
        <v>#VALUE!</v>
      </c>
      <c r="GJ133" s="301" t="e">
        <f t="shared" ca="1" si="138"/>
        <v>#VALUE!</v>
      </c>
      <c r="GK133" s="301" t="e">
        <f t="shared" ca="1" si="138"/>
        <v>#VALUE!</v>
      </c>
      <c r="GL133" s="301" t="e">
        <f t="shared" ca="1" si="138"/>
        <v>#VALUE!</v>
      </c>
      <c r="GM133" s="301" t="e">
        <f t="shared" ca="1" si="138"/>
        <v>#VALUE!</v>
      </c>
      <c r="GN133" s="302" t="e">
        <f t="shared" ca="1" si="138"/>
        <v>#VALUE!</v>
      </c>
      <c r="GO133" s="302" t="e">
        <f t="shared" ca="1" si="138"/>
        <v>#VALUE!</v>
      </c>
      <c r="GP133" s="301"/>
      <c r="GQ133" s="301"/>
      <c r="GR133" s="301"/>
      <c r="GS133" s="301"/>
      <c r="GT133" s="301"/>
      <c r="GU133" s="303"/>
      <c r="GV133" s="302"/>
      <c r="GW133" s="302"/>
      <c r="GX133" s="302"/>
      <c r="GY133" s="302"/>
      <c r="GZ133" s="302"/>
      <c r="HA133" s="302"/>
      <c r="HB133" s="302"/>
      <c r="HC133" s="302"/>
      <c r="HD133" s="302"/>
      <c r="HE133" s="302"/>
      <c r="HF133" s="304"/>
      <c r="HG133" s="305"/>
    </row>
    <row r="134" spans="1:215" s="306" customFormat="1" ht="15" customHeight="1">
      <c r="A134" s="344"/>
      <c r="B134" s="292" t="s">
        <v>348</v>
      </c>
      <c r="C134" s="292" t="s">
        <v>159</v>
      </c>
      <c r="D134" s="292" t="s">
        <v>159</v>
      </c>
      <c r="E134" s="292" t="s">
        <v>479</v>
      </c>
      <c r="F134" s="292" t="s">
        <v>186</v>
      </c>
      <c r="G134" s="292" t="s">
        <v>350</v>
      </c>
      <c r="H134" s="292" t="s">
        <v>473</v>
      </c>
      <c r="I134" s="292" t="s">
        <v>474</v>
      </c>
      <c r="J134" s="292" t="s">
        <v>186</v>
      </c>
      <c r="K134" s="292" t="s">
        <v>353</v>
      </c>
      <c r="L134" s="292" t="s">
        <v>480</v>
      </c>
      <c r="M134" s="292" t="s">
        <v>481</v>
      </c>
      <c r="N134" s="292" t="str">
        <f t="shared" si="129"/>
        <v>Security-Security</v>
      </c>
      <c r="O134" s="292" t="str">
        <f t="shared" si="130"/>
        <v>Cyber Security -Manager-US-Consulting</v>
      </c>
      <c r="P134" s="292" t="str">
        <f t="shared" si="131"/>
        <v xml:space="preserve">Security - Cyber Security </v>
      </c>
      <c r="Q134" s="293">
        <f t="shared" si="111"/>
        <v>982800</v>
      </c>
      <c r="R134" s="294">
        <f t="shared" si="112"/>
        <v>0</v>
      </c>
      <c r="S134" s="295" t="e">
        <f t="shared" ca="1" si="132"/>
        <v>#VALUE!</v>
      </c>
      <c r="T134" s="295">
        <f t="shared" si="113"/>
        <v>3120</v>
      </c>
      <c r="U134" s="296" t="str">
        <f t="shared" si="133"/>
        <v>Cyber Security  - Manager</v>
      </c>
      <c r="V134" s="295" t="str">
        <f t="shared" si="134"/>
        <v>5-7 years</v>
      </c>
      <c r="W134" s="292" t="str">
        <f t="shared" si="135"/>
        <v>Onshore</v>
      </c>
      <c r="X134" s="292" t="s">
        <v>261</v>
      </c>
      <c r="Y134" s="292" t="s">
        <v>477</v>
      </c>
      <c r="Z134" s="345" t="s">
        <v>376</v>
      </c>
      <c r="AA134" s="297">
        <f>[1]Resourcing!QD138</f>
        <v>0</v>
      </c>
      <c r="AB134" s="298">
        <f t="shared" si="136"/>
        <v>315</v>
      </c>
      <c r="AC134" s="299"/>
      <c r="AD134" s="299"/>
      <c r="AE134" s="299"/>
      <c r="AF134" s="299"/>
      <c r="AG134" s="299"/>
      <c r="AH134" s="299"/>
      <c r="AI134" s="299"/>
      <c r="AJ134" s="299"/>
      <c r="AK134" s="299"/>
      <c r="AL134" s="299"/>
      <c r="AM134" s="299"/>
      <c r="AN134" s="299"/>
      <c r="AO134" s="299"/>
      <c r="AP134" s="299"/>
      <c r="AQ134" s="299"/>
      <c r="AR134" s="299"/>
      <c r="AS134" s="299"/>
      <c r="AT134" s="299"/>
      <c r="AU134" s="299"/>
      <c r="AV134" s="299"/>
      <c r="AW134" s="299"/>
      <c r="AX134" s="299"/>
      <c r="AY134" s="299"/>
      <c r="AZ134" s="299"/>
      <c r="BA134" s="299"/>
      <c r="BB134" s="299"/>
      <c r="BC134" s="299"/>
      <c r="BD134" s="299"/>
      <c r="BE134" s="299"/>
      <c r="BF134" s="299"/>
      <c r="BG134" s="299"/>
      <c r="BH134" s="299"/>
      <c r="BI134" s="299"/>
      <c r="BJ134" s="299"/>
      <c r="BK134" s="299"/>
      <c r="BL134" s="299"/>
      <c r="BM134" s="299"/>
      <c r="BN134" s="299"/>
      <c r="BO134" s="299">
        <v>40</v>
      </c>
      <c r="BP134" s="299">
        <v>40</v>
      </c>
      <c r="BQ134" s="299">
        <v>40</v>
      </c>
      <c r="BR134" s="299"/>
      <c r="BS134" s="299"/>
      <c r="BT134" s="299">
        <v>40</v>
      </c>
      <c r="BU134" s="299">
        <v>40</v>
      </c>
      <c r="BV134" s="299">
        <v>40</v>
      </c>
      <c r="BW134" s="299">
        <v>40</v>
      </c>
      <c r="BX134" s="299">
        <v>40</v>
      </c>
      <c r="BY134" s="299">
        <v>40</v>
      </c>
      <c r="BZ134" s="299">
        <v>40</v>
      </c>
      <c r="CA134" s="299">
        <v>40</v>
      </c>
      <c r="CB134" s="299">
        <v>40</v>
      </c>
      <c r="CC134" s="299">
        <v>40</v>
      </c>
      <c r="CD134" s="299">
        <v>40</v>
      </c>
      <c r="CE134" s="299">
        <v>40</v>
      </c>
      <c r="CF134" s="299">
        <v>40</v>
      </c>
      <c r="CG134" s="299">
        <v>40</v>
      </c>
      <c r="CH134" s="299">
        <v>40</v>
      </c>
      <c r="CI134" s="299">
        <v>40</v>
      </c>
      <c r="CJ134" s="299">
        <v>40</v>
      </c>
      <c r="CK134" s="299">
        <v>40</v>
      </c>
      <c r="CL134" s="299">
        <v>40</v>
      </c>
      <c r="CM134" s="299">
        <v>40</v>
      </c>
      <c r="CN134" s="299">
        <v>40</v>
      </c>
      <c r="CO134" s="299">
        <v>40</v>
      </c>
      <c r="CP134" s="299">
        <v>40</v>
      </c>
      <c r="CQ134" s="299">
        <v>40</v>
      </c>
      <c r="CR134" s="299">
        <v>40</v>
      </c>
      <c r="CS134" s="299">
        <v>40</v>
      </c>
      <c r="CT134" s="299">
        <v>40</v>
      </c>
      <c r="CU134" s="299">
        <v>40</v>
      </c>
      <c r="CV134" s="299">
        <v>40</v>
      </c>
      <c r="CW134" s="299">
        <v>40</v>
      </c>
      <c r="CX134" s="299">
        <v>40</v>
      </c>
      <c r="CY134" s="299">
        <v>40</v>
      </c>
      <c r="CZ134" s="299">
        <v>40</v>
      </c>
      <c r="DA134" s="299">
        <v>40</v>
      </c>
      <c r="DB134" s="299">
        <v>40</v>
      </c>
      <c r="DC134" s="299">
        <v>40</v>
      </c>
      <c r="DD134" s="299">
        <v>40</v>
      </c>
      <c r="DE134" s="299">
        <v>40</v>
      </c>
      <c r="DF134" s="299">
        <v>40</v>
      </c>
      <c r="DG134" s="299">
        <v>40</v>
      </c>
      <c r="DH134" s="299">
        <v>40</v>
      </c>
      <c r="DI134" s="299">
        <v>40</v>
      </c>
      <c r="DJ134" s="299">
        <v>40</v>
      </c>
      <c r="DK134" s="299">
        <v>40</v>
      </c>
      <c r="DL134" s="299">
        <v>40</v>
      </c>
      <c r="DM134" s="299">
        <v>40</v>
      </c>
      <c r="DN134" s="299">
        <v>40</v>
      </c>
      <c r="DO134" s="299">
        <v>40</v>
      </c>
      <c r="DP134" s="299">
        <v>40</v>
      </c>
      <c r="DQ134" s="299">
        <v>40</v>
      </c>
      <c r="DR134" s="299"/>
      <c r="DS134" s="299"/>
      <c r="DT134" s="299">
        <v>40</v>
      </c>
      <c r="DU134" s="299">
        <v>40</v>
      </c>
      <c r="DV134" s="299">
        <v>40</v>
      </c>
      <c r="DW134" s="299">
        <v>40</v>
      </c>
      <c r="DX134" s="299">
        <v>40</v>
      </c>
      <c r="DY134" s="299">
        <v>40</v>
      </c>
      <c r="DZ134" s="299">
        <v>40</v>
      </c>
      <c r="EA134" s="299">
        <v>40</v>
      </c>
      <c r="EB134" s="299">
        <v>40</v>
      </c>
      <c r="EC134" s="299">
        <v>40</v>
      </c>
      <c r="ED134" s="299">
        <v>40</v>
      </c>
      <c r="EE134" s="299">
        <v>40</v>
      </c>
      <c r="EF134" s="299">
        <v>40</v>
      </c>
      <c r="EG134" s="299">
        <v>40</v>
      </c>
      <c r="EH134" s="299">
        <v>40</v>
      </c>
      <c r="EI134" s="299">
        <v>40</v>
      </c>
      <c r="EJ134" s="299">
        <v>40</v>
      </c>
      <c r="EK134" s="299">
        <v>40</v>
      </c>
      <c r="EL134" s="299">
        <v>40</v>
      </c>
      <c r="EM134" s="299">
        <v>40</v>
      </c>
      <c r="EN134" s="299">
        <v>40</v>
      </c>
      <c r="EO134" s="299">
        <v>40</v>
      </c>
      <c r="EP134" s="299">
        <v>40</v>
      </c>
      <c r="EQ134" s="299">
        <v>40</v>
      </c>
      <c r="ER134" s="299">
        <v>40</v>
      </c>
      <c r="ES134" s="299"/>
      <c r="ET134" s="299"/>
      <c r="EU134" s="299"/>
      <c r="EV134" s="299"/>
      <c r="EW134" s="299"/>
      <c r="EX134" s="299"/>
      <c r="EY134" s="299"/>
      <c r="EZ134" s="299"/>
      <c r="FA134" s="299"/>
      <c r="FB134" s="299"/>
      <c r="FC134" s="299"/>
      <c r="FD134" s="299"/>
      <c r="FE134" s="299"/>
      <c r="FF134" s="299"/>
      <c r="FG134" s="299"/>
      <c r="FH134" s="299"/>
      <c r="FI134" s="299"/>
      <c r="FJ134" s="299"/>
      <c r="FK134" s="299"/>
      <c r="FL134" s="299"/>
      <c r="FM134" s="299"/>
      <c r="FN134" s="299"/>
      <c r="FO134" s="299"/>
      <c r="FP134" s="299"/>
      <c r="FQ134" s="300" t="e">
        <f t="shared" ca="1" si="114"/>
        <v>#VALUE!</v>
      </c>
      <c r="FR134" s="300" t="e">
        <f t="shared" ca="1" si="137"/>
        <v>#VALUE!</v>
      </c>
      <c r="FS134" s="300" t="e">
        <f t="shared" ca="1" si="137"/>
        <v>#VALUE!</v>
      </c>
      <c r="FT134" s="300" t="e">
        <f t="shared" ca="1" si="137"/>
        <v>#VALUE!</v>
      </c>
      <c r="FU134" s="300" t="e">
        <f t="shared" ca="1" si="137"/>
        <v>#VALUE!</v>
      </c>
      <c r="FV134" s="300" t="e">
        <f t="shared" ca="1" si="137"/>
        <v>#VALUE!</v>
      </c>
      <c r="FW134" s="300" t="e">
        <f t="shared" ca="1" si="137"/>
        <v>#VALUE!</v>
      </c>
      <c r="FX134" s="300" t="e">
        <f t="shared" ca="1" si="137"/>
        <v>#VALUE!</v>
      </c>
      <c r="FY134" s="300" t="e">
        <f t="shared" ca="1" si="137"/>
        <v>#VALUE!</v>
      </c>
      <c r="FZ134" s="300" t="e">
        <f t="shared" ca="1" si="137"/>
        <v>#VALUE!</v>
      </c>
      <c r="GA134" s="301" t="e">
        <f t="shared" ca="1" si="137"/>
        <v>#VALUE!</v>
      </c>
      <c r="GB134" s="301" t="e">
        <f t="shared" ca="1" si="138"/>
        <v>#VALUE!</v>
      </c>
      <c r="GC134" s="301" t="e">
        <f t="shared" ca="1" si="138"/>
        <v>#VALUE!</v>
      </c>
      <c r="GD134" s="301" t="e">
        <f t="shared" ca="1" si="138"/>
        <v>#VALUE!</v>
      </c>
      <c r="GE134" s="301" t="e">
        <f t="shared" ca="1" si="138"/>
        <v>#VALUE!</v>
      </c>
      <c r="GF134" s="301" t="e">
        <f t="shared" ca="1" si="138"/>
        <v>#VALUE!</v>
      </c>
      <c r="GG134" s="301" t="e">
        <f t="shared" ca="1" si="138"/>
        <v>#VALUE!</v>
      </c>
      <c r="GH134" s="301" t="e">
        <f t="shared" ca="1" si="138"/>
        <v>#VALUE!</v>
      </c>
      <c r="GI134" s="301" t="e">
        <f t="shared" ca="1" si="138"/>
        <v>#VALUE!</v>
      </c>
      <c r="GJ134" s="301" t="e">
        <f t="shared" ca="1" si="138"/>
        <v>#VALUE!</v>
      </c>
      <c r="GK134" s="301" t="e">
        <f t="shared" ca="1" si="138"/>
        <v>#VALUE!</v>
      </c>
      <c r="GL134" s="301" t="e">
        <f t="shared" ca="1" si="138"/>
        <v>#VALUE!</v>
      </c>
      <c r="GM134" s="301" t="e">
        <f t="shared" ca="1" si="138"/>
        <v>#VALUE!</v>
      </c>
      <c r="GN134" s="302" t="e">
        <f t="shared" ca="1" si="138"/>
        <v>#VALUE!</v>
      </c>
      <c r="GO134" s="302" t="e">
        <f t="shared" ca="1" si="138"/>
        <v>#VALUE!</v>
      </c>
      <c r="GP134" s="301">
        <f t="shared" ref="GP134:HE144" si="139">SUMIF($AB$8:$FO$8,GP$9,$AB134:$FO134)</f>
        <v>80</v>
      </c>
      <c r="GQ134" s="301">
        <f t="shared" si="139"/>
        <v>160</v>
      </c>
      <c r="GR134" s="301">
        <f t="shared" si="139"/>
        <v>160</v>
      </c>
      <c r="GS134" s="301">
        <f t="shared" si="139"/>
        <v>160</v>
      </c>
      <c r="GT134" s="301">
        <f t="shared" si="139"/>
        <v>160</v>
      </c>
      <c r="GU134" s="303">
        <f t="shared" si="139"/>
        <v>160</v>
      </c>
      <c r="GV134" s="302">
        <f t="shared" si="139"/>
        <v>160</v>
      </c>
      <c r="GW134" s="302">
        <f t="shared" si="139"/>
        <v>40</v>
      </c>
      <c r="GX134" s="302">
        <f t="shared" si="139"/>
        <v>0</v>
      </c>
      <c r="GY134" s="302">
        <f t="shared" si="139"/>
        <v>0</v>
      </c>
      <c r="GZ134" s="302">
        <f t="shared" si="139"/>
        <v>0</v>
      </c>
      <c r="HA134" s="302">
        <f t="shared" si="139"/>
        <v>0</v>
      </c>
      <c r="HB134" s="302">
        <f t="shared" si="139"/>
        <v>0</v>
      </c>
      <c r="HC134" s="302">
        <f t="shared" si="139"/>
        <v>0</v>
      </c>
      <c r="HD134" s="302">
        <f t="shared" si="139"/>
        <v>0</v>
      </c>
      <c r="HE134" s="302">
        <f t="shared" si="139"/>
        <v>0</v>
      </c>
      <c r="HF134" s="304" t="e">
        <f ca="1">SUM(FQ134:HE134)</f>
        <v>#VALUE!</v>
      </c>
      <c r="HG134" s="305"/>
    </row>
    <row r="135" spans="1:215" s="306" customFormat="1" ht="15" customHeight="1">
      <c r="A135" s="344"/>
      <c r="B135" s="292" t="s">
        <v>348</v>
      </c>
      <c r="C135" s="292" t="s">
        <v>159</v>
      </c>
      <c r="D135" s="292" t="s">
        <v>159</v>
      </c>
      <c r="E135" s="292" t="s">
        <v>482</v>
      </c>
      <c r="F135" s="292" t="s">
        <v>184</v>
      </c>
      <c r="G135" s="292" t="s">
        <v>350</v>
      </c>
      <c r="H135" s="292" t="s">
        <v>473</v>
      </c>
      <c r="I135" s="292" t="s">
        <v>483</v>
      </c>
      <c r="J135" s="292" t="s">
        <v>184</v>
      </c>
      <c r="K135" s="292" t="s">
        <v>475</v>
      </c>
      <c r="L135" s="292" t="s">
        <v>476</v>
      </c>
      <c r="M135" s="292" t="s">
        <v>374</v>
      </c>
      <c r="N135" s="292" t="str">
        <f t="shared" si="129"/>
        <v>Security-Security</v>
      </c>
      <c r="O135" s="292" t="str">
        <f t="shared" si="130"/>
        <v>Cybersecurity Consultant-Senior-India-Technology</v>
      </c>
      <c r="P135" s="292" t="str">
        <f t="shared" si="131"/>
        <v>Security - Cybersecurity Consultant</v>
      </c>
      <c r="Q135" s="293">
        <f t="shared" si="111"/>
        <v>22050</v>
      </c>
      <c r="R135" s="294">
        <f t="shared" si="112"/>
        <v>22050</v>
      </c>
      <c r="S135" s="295">
        <f t="shared" si="132"/>
        <v>0</v>
      </c>
      <c r="T135" s="295">
        <f t="shared" si="113"/>
        <v>450</v>
      </c>
      <c r="U135" s="296" t="str">
        <f t="shared" si="133"/>
        <v>Cybersecurity Consultant - Senior</v>
      </c>
      <c r="V135" s="295" t="str">
        <f t="shared" si="134"/>
        <v>6-9 years</v>
      </c>
      <c r="W135" s="292" t="str">
        <f t="shared" si="135"/>
        <v>Offshore</v>
      </c>
      <c r="X135" s="292" t="s">
        <v>259</v>
      </c>
      <c r="Y135" s="292" t="s">
        <v>484</v>
      </c>
      <c r="Z135" s="345" t="s">
        <v>243</v>
      </c>
      <c r="AA135" s="297">
        <f>[1]Resourcing!QD139</f>
        <v>417.38688888888902</v>
      </c>
      <c r="AB135" s="298">
        <f t="shared" si="136"/>
        <v>49</v>
      </c>
      <c r="AC135" s="299"/>
      <c r="AD135" s="299"/>
      <c r="AE135" s="299"/>
      <c r="AF135" s="299"/>
      <c r="AG135" s="299"/>
      <c r="AH135" s="299"/>
      <c r="AI135" s="299"/>
      <c r="AJ135" s="299"/>
      <c r="AK135" s="299"/>
      <c r="AL135" s="299"/>
      <c r="AM135" s="299"/>
      <c r="AN135" s="299"/>
      <c r="AO135" s="299"/>
      <c r="AP135" s="299"/>
      <c r="AQ135" s="299"/>
      <c r="AR135" s="299"/>
      <c r="AS135" s="299"/>
      <c r="AT135" s="299"/>
      <c r="AU135" s="299"/>
      <c r="AV135" s="299"/>
      <c r="AW135" s="299"/>
      <c r="AX135" s="299"/>
      <c r="AY135" s="299"/>
      <c r="BA135" s="299"/>
      <c r="BB135" s="299"/>
      <c r="BC135" s="299"/>
      <c r="BD135" s="299"/>
      <c r="BE135" s="299">
        <v>45</v>
      </c>
      <c r="BF135" s="299">
        <v>45</v>
      </c>
      <c r="BG135" s="299">
        <v>45</v>
      </c>
      <c r="BH135" s="299">
        <v>45</v>
      </c>
      <c r="BI135" s="299">
        <v>45</v>
      </c>
      <c r="BJ135" s="299">
        <v>45</v>
      </c>
      <c r="BK135" s="299">
        <v>45</v>
      </c>
      <c r="BL135" s="299">
        <v>45</v>
      </c>
      <c r="BM135" s="299">
        <v>45</v>
      </c>
      <c r="BN135" s="299">
        <v>45</v>
      </c>
      <c r="BO135" s="299"/>
      <c r="BP135" s="299"/>
      <c r="BQ135" s="299"/>
      <c r="BR135" s="299"/>
      <c r="BS135" s="299"/>
      <c r="BT135" s="299"/>
      <c r="BU135" s="299"/>
      <c r="BV135" s="299"/>
      <c r="BW135" s="299"/>
      <c r="BX135" s="299"/>
      <c r="BY135" s="299"/>
      <c r="BZ135" s="299"/>
      <c r="CA135" s="299"/>
      <c r="CB135" s="299"/>
      <c r="CC135" s="299"/>
      <c r="CD135" s="299"/>
      <c r="CE135" s="299"/>
      <c r="CF135" s="299"/>
      <c r="CG135" s="299"/>
      <c r="CH135" s="299"/>
      <c r="CI135" s="299"/>
      <c r="CJ135" s="299"/>
      <c r="CK135" s="299"/>
      <c r="CL135" s="299"/>
      <c r="CM135" s="299"/>
      <c r="CN135" s="299"/>
      <c r="CO135" s="299"/>
      <c r="CP135" s="299"/>
      <c r="CQ135" s="299"/>
      <c r="CR135" s="299"/>
      <c r="CS135" s="299"/>
      <c r="CT135" s="299"/>
      <c r="CU135" s="299"/>
      <c r="CV135" s="299"/>
      <c r="CW135" s="299"/>
      <c r="CX135" s="299"/>
      <c r="CY135" s="299"/>
      <c r="CZ135" s="299"/>
      <c r="DA135" s="299"/>
      <c r="DB135" s="299"/>
      <c r="DC135" s="299"/>
      <c r="DD135" s="299"/>
      <c r="DE135" s="299"/>
      <c r="DF135" s="299"/>
      <c r="DG135" s="299"/>
      <c r="DH135" s="292"/>
      <c r="DI135" s="292"/>
      <c r="DJ135" s="292"/>
      <c r="DK135" s="292"/>
      <c r="DL135" s="299"/>
      <c r="DM135" s="299"/>
      <c r="DN135" s="299"/>
      <c r="DO135" s="299"/>
      <c r="DP135" s="299"/>
      <c r="DQ135" s="299"/>
      <c r="DR135" s="299"/>
      <c r="DS135" s="299"/>
      <c r="DT135" s="299"/>
      <c r="DU135" s="299"/>
      <c r="DV135" s="299"/>
      <c r="DW135" s="299"/>
      <c r="DX135" s="299"/>
      <c r="DY135" s="299"/>
      <c r="DZ135" s="299"/>
      <c r="EA135" s="299"/>
      <c r="EB135" s="299"/>
      <c r="EC135" s="299"/>
      <c r="ED135" s="299"/>
      <c r="EE135" s="299"/>
      <c r="EF135" s="299"/>
      <c r="EG135" s="299"/>
      <c r="EH135" s="299"/>
      <c r="EI135" s="299"/>
      <c r="EJ135" s="299"/>
      <c r="EK135" s="299"/>
      <c r="EL135" s="299"/>
      <c r="EM135" s="299"/>
      <c r="EN135" s="299"/>
      <c r="EO135" s="299"/>
      <c r="EP135" s="299"/>
      <c r="EQ135" s="299"/>
      <c r="ER135" s="299"/>
      <c r="ES135" s="299"/>
      <c r="ET135" s="299"/>
      <c r="EU135" s="299"/>
      <c r="EV135" s="299"/>
      <c r="EW135" s="299"/>
      <c r="EX135" s="299"/>
      <c r="EY135" s="299"/>
      <c r="EZ135" s="299"/>
      <c r="FA135" s="299"/>
      <c r="FB135" s="299"/>
      <c r="FC135" s="299"/>
      <c r="FD135" s="299"/>
      <c r="FE135" s="299"/>
      <c r="FF135" s="299"/>
      <c r="FG135" s="299"/>
      <c r="FH135" s="299"/>
      <c r="FI135" s="299"/>
      <c r="FJ135" s="299"/>
      <c r="FK135" s="299"/>
      <c r="FL135" s="299"/>
      <c r="FM135" s="299"/>
      <c r="FN135" s="299"/>
      <c r="FO135" s="299"/>
      <c r="FP135" s="299"/>
      <c r="FQ135" s="300" t="e">
        <f t="shared" ca="1" si="114"/>
        <v>#VALUE!</v>
      </c>
      <c r="FR135" s="300" t="e">
        <f t="shared" ca="1" si="137"/>
        <v>#VALUE!</v>
      </c>
      <c r="FS135" s="300" t="e">
        <f t="shared" ca="1" si="137"/>
        <v>#VALUE!</v>
      </c>
      <c r="FT135" s="300" t="e">
        <f t="shared" ca="1" si="137"/>
        <v>#VALUE!</v>
      </c>
      <c r="FU135" s="300" t="e">
        <f t="shared" ca="1" si="137"/>
        <v>#VALUE!</v>
      </c>
      <c r="FV135" s="300" t="e">
        <f t="shared" ca="1" si="137"/>
        <v>#VALUE!</v>
      </c>
      <c r="FW135" s="300" t="e">
        <f t="shared" ca="1" si="137"/>
        <v>#VALUE!</v>
      </c>
      <c r="FX135" s="300" t="e">
        <f t="shared" ca="1" si="137"/>
        <v>#VALUE!</v>
      </c>
      <c r="FY135" s="300" t="e">
        <f t="shared" ca="1" si="137"/>
        <v>#VALUE!</v>
      </c>
      <c r="FZ135" s="300" t="e">
        <f t="shared" ca="1" si="137"/>
        <v>#VALUE!</v>
      </c>
      <c r="GA135" s="301" t="e">
        <f t="shared" ca="1" si="137"/>
        <v>#VALUE!</v>
      </c>
      <c r="GB135" s="301" t="e">
        <f t="shared" ca="1" si="138"/>
        <v>#VALUE!</v>
      </c>
      <c r="GC135" s="301" t="e">
        <f t="shared" ca="1" si="138"/>
        <v>#VALUE!</v>
      </c>
      <c r="GD135" s="301" t="e">
        <f t="shared" ca="1" si="138"/>
        <v>#VALUE!</v>
      </c>
      <c r="GE135" s="301" t="e">
        <f t="shared" ca="1" si="138"/>
        <v>#VALUE!</v>
      </c>
      <c r="GF135" s="301" t="e">
        <f t="shared" ca="1" si="138"/>
        <v>#VALUE!</v>
      </c>
      <c r="GG135" s="301" t="e">
        <f t="shared" ca="1" si="138"/>
        <v>#VALUE!</v>
      </c>
      <c r="GH135" s="301" t="e">
        <f t="shared" ca="1" si="138"/>
        <v>#VALUE!</v>
      </c>
      <c r="GI135" s="301" t="e">
        <f t="shared" ca="1" si="138"/>
        <v>#VALUE!</v>
      </c>
      <c r="GJ135" s="301" t="e">
        <f t="shared" ca="1" si="138"/>
        <v>#VALUE!</v>
      </c>
      <c r="GK135" s="301" t="e">
        <f t="shared" ca="1" si="138"/>
        <v>#VALUE!</v>
      </c>
      <c r="GL135" s="301" t="e">
        <f t="shared" ca="1" si="138"/>
        <v>#VALUE!</v>
      </c>
      <c r="GM135" s="301" t="e">
        <f t="shared" ca="1" si="138"/>
        <v>#VALUE!</v>
      </c>
      <c r="GN135" s="302" t="e">
        <f t="shared" ca="1" si="138"/>
        <v>#VALUE!</v>
      </c>
      <c r="GO135" s="302" t="e">
        <f t="shared" ca="1" si="138"/>
        <v>#VALUE!</v>
      </c>
      <c r="GP135" s="301">
        <f t="shared" si="139"/>
        <v>0</v>
      </c>
      <c r="GQ135" s="301">
        <f t="shared" si="139"/>
        <v>0</v>
      </c>
      <c r="GR135" s="301">
        <f t="shared" si="139"/>
        <v>0</v>
      </c>
      <c r="GS135" s="301">
        <f t="shared" si="139"/>
        <v>0</v>
      </c>
      <c r="GT135" s="301">
        <f t="shared" si="139"/>
        <v>0</v>
      </c>
      <c r="GU135" s="303">
        <f t="shared" si="139"/>
        <v>0</v>
      </c>
      <c r="GV135" s="302">
        <f t="shared" si="139"/>
        <v>0</v>
      </c>
      <c r="GW135" s="302">
        <f t="shared" si="139"/>
        <v>0</v>
      </c>
      <c r="GX135" s="302">
        <f t="shared" si="139"/>
        <v>0</v>
      </c>
      <c r="GY135" s="302">
        <f t="shared" si="139"/>
        <v>0</v>
      </c>
      <c r="GZ135" s="302">
        <f t="shared" si="139"/>
        <v>0</v>
      </c>
      <c r="HA135" s="302">
        <f t="shared" si="139"/>
        <v>0</v>
      </c>
      <c r="HB135" s="302">
        <f t="shared" si="139"/>
        <v>0</v>
      </c>
      <c r="HC135" s="302">
        <f t="shared" si="139"/>
        <v>0</v>
      </c>
      <c r="HD135" s="302">
        <f t="shared" si="139"/>
        <v>0</v>
      </c>
      <c r="HE135" s="302">
        <f t="shared" si="139"/>
        <v>0</v>
      </c>
      <c r="HF135" s="304"/>
      <c r="HG135" s="305"/>
    </row>
    <row r="136" spans="1:215" s="306" customFormat="1" ht="15" customHeight="1">
      <c r="A136" s="344"/>
      <c r="B136" s="292" t="s">
        <v>348</v>
      </c>
      <c r="C136" s="292" t="s">
        <v>159</v>
      </c>
      <c r="D136" s="292" t="s">
        <v>159</v>
      </c>
      <c r="E136" s="292" t="s">
        <v>485</v>
      </c>
      <c r="F136" s="292" t="s">
        <v>186</v>
      </c>
      <c r="G136" s="292" t="s">
        <v>350</v>
      </c>
      <c r="H136" s="292" t="s">
        <v>473</v>
      </c>
      <c r="I136" s="292" t="s">
        <v>474</v>
      </c>
      <c r="J136" s="292" t="s">
        <v>186</v>
      </c>
      <c r="K136" s="292" t="s">
        <v>353</v>
      </c>
      <c r="L136" s="292" t="s">
        <v>480</v>
      </c>
      <c r="M136" s="292" t="s">
        <v>481</v>
      </c>
      <c r="N136" s="292" t="str">
        <f t="shared" si="129"/>
        <v>Security-Security</v>
      </c>
      <c r="O136" s="292" t="str">
        <f t="shared" si="130"/>
        <v>Cyber Security -Manager-US-Consulting</v>
      </c>
      <c r="P136" s="292" t="str">
        <f t="shared" si="131"/>
        <v xml:space="preserve">Security - Cyber Security </v>
      </c>
      <c r="Q136" s="293">
        <f t="shared" si="111"/>
        <v>368550</v>
      </c>
      <c r="R136" s="294">
        <f t="shared" si="112"/>
        <v>0</v>
      </c>
      <c r="S136" s="295">
        <f t="shared" si="132"/>
        <v>0</v>
      </c>
      <c r="T136" s="295">
        <f t="shared" si="113"/>
        <v>1170</v>
      </c>
      <c r="U136" s="296" t="str">
        <f t="shared" si="133"/>
        <v>Cyber Security  - Manager</v>
      </c>
      <c r="V136" s="295" t="str">
        <f t="shared" si="134"/>
        <v>5-7 years</v>
      </c>
      <c r="W136" s="292" t="str">
        <f t="shared" si="135"/>
        <v>Onshore</v>
      </c>
      <c r="X136" s="292" t="s">
        <v>261</v>
      </c>
      <c r="Y136" s="292" t="s">
        <v>477</v>
      </c>
      <c r="Z136" s="345" t="s">
        <v>376</v>
      </c>
      <c r="AA136" s="297">
        <f>[1]Resourcing!QD140</f>
        <v>390.94799999999998</v>
      </c>
      <c r="AB136" s="298">
        <f t="shared" si="136"/>
        <v>315</v>
      </c>
      <c r="AC136" s="299"/>
      <c r="AD136" s="299"/>
      <c r="AE136" s="299"/>
      <c r="AF136" s="299"/>
      <c r="AG136" s="299"/>
      <c r="AH136" s="299"/>
      <c r="AI136" s="299"/>
      <c r="AJ136" s="299"/>
      <c r="AK136" s="299"/>
      <c r="AL136" s="299"/>
      <c r="AM136" s="299"/>
      <c r="AN136" s="299"/>
      <c r="AO136" s="299"/>
      <c r="AP136" s="299"/>
      <c r="AQ136" s="299"/>
      <c r="AR136" s="299"/>
      <c r="AS136" s="299"/>
      <c r="AT136" s="299"/>
      <c r="AU136" s="299"/>
      <c r="AV136" s="299"/>
      <c r="AW136" s="299"/>
      <c r="AX136" s="299"/>
      <c r="AY136" s="299"/>
      <c r="AZ136" s="299"/>
      <c r="BA136" s="299"/>
      <c r="BB136" s="299"/>
      <c r="BC136" s="299"/>
      <c r="BD136" s="299"/>
      <c r="BE136" s="299"/>
      <c r="BF136" s="299"/>
      <c r="BG136" s="299"/>
      <c r="BH136" s="299"/>
      <c r="BI136" s="299"/>
      <c r="BJ136" s="299"/>
      <c r="BK136" s="299"/>
      <c r="BL136" s="299"/>
      <c r="BM136" s="299"/>
      <c r="BN136" s="299"/>
      <c r="BO136" s="299">
        <v>45</v>
      </c>
      <c r="BP136" s="299">
        <v>45</v>
      </c>
      <c r="BQ136" s="299">
        <v>45</v>
      </c>
      <c r="BR136" s="299"/>
      <c r="BS136" s="299"/>
      <c r="BT136" s="299">
        <v>45</v>
      </c>
      <c r="BU136" s="299">
        <v>45</v>
      </c>
      <c r="BV136" s="299">
        <v>45</v>
      </c>
      <c r="BW136" s="299">
        <v>45</v>
      </c>
      <c r="BX136" s="299">
        <v>45</v>
      </c>
      <c r="BY136" s="299">
        <v>45</v>
      </c>
      <c r="BZ136" s="299">
        <v>45</v>
      </c>
      <c r="CA136" s="299">
        <v>45</v>
      </c>
      <c r="CB136" s="299">
        <v>45</v>
      </c>
      <c r="CC136" s="299">
        <v>45</v>
      </c>
      <c r="CD136" s="299">
        <v>45</v>
      </c>
      <c r="CE136" s="299">
        <v>45</v>
      </c>
      <c r="CF136" s="299">
        <v>45</v>
      </c>
      <c r="CG136" s="299">
        <v>45</v>
      </c>
      <c r="CH136" s="299">
        <v>45</v>
      </c>
      <c r="CI136" s="299">
        <v>45</v>
      </c>
      <c r="CJ136" s="299">
        <v>45</v>
      </c>
      <c r="CK136" s="299">
        <v>45</v>
      </c>
      <c r="CL136" s="299">
        <v>45</v>
      </c>
      <c r="CM136" s="299">
        <v>45</v>
      </c>
      <c r="CN136" s="299">
        <v>45</v>
      </c>
      <c r="CO136" s="299">
        <v>45</v>
      </c>
      <c r="CP136" s="299">
        <v>45</v>
      </c>
      <c r="CQ136" s="299"/>
      <c r="CR136" s="299"/>
      <c r="CS136" s="299"/>
      <c r="CT136" s="299"/>
      <c r="CU136" s="299"/>
      <c r="CV136" s="299"/>
      <c r="CW136" s="299"/>
      <c r="CX136" s="299"/>
      <c r="CY136" s="299"/>
      <c r="CZ136" s="299"/>
      <c r="DA136" s="299"/>
      <c r="DB136" s="299"/>
      <c r="DC136" s="299"/>
      <c r="DD136" s="299"/>
      <c r="DE136" s="299"/>
      <c r="DF136" s="299"/>
      <c r="DG136" s="299"/>
      <c r="DH136" s="299"/>
      <c r="DI136" s="299"/>
      <c r="DJ136" s="299"/>
      <c r="DK136" s="299"/>
      <c r="DL136" s="299"/>
      <c r="DM136" s="299"/>
      <c r="DN136" s="299"/>
      <c r="DO136" s="299"/>
      <c r="DP136" s="299"/>
      <c r="DQ136" s="299"/>
      <c r="DR136" s="299"/>
      <c r="DS136" s="299"/>
      <c r="DT136" s="299"/>
      <c r="DU136" s="299"/>
      <c r="DV136" s="299"/>
      <c r="DW136" s="299"/>
      <c r="DX136" s="299"/>
      <c r="DY136" s="299"/>
      <c r="DZ136" s="299"/>
      <c r="EA136" s="299"/>
      <c r="EB136" s="299"/>
      <c r="EC136" s="299"/>
      <c r="ED136" s="299"/>
      <c r="EE136" s="299"/>
      <c r="EF136" s="299"/>
      <c r="EG136" s="299"/>
      <c r="EH136" s="299"/>
      <c r="EI136" s="299"/>
      <c r="EJ136" s="299"/>
      <c r="EK136" s="299"/>
      <c r="EL136" s="299"/>
      <c r="EM136" s="299"/>
      <c r="EN136" s="299"/>
      <c r="EO136" s="299"/>
      <c r="EP136" s="299"/>
      <c r="EQ136" s="299"/>
      <c r="ER136" s="299"/>
      <c r="ES136" s="299"/>
      <c r="ET136" s="299"/>
      <c r="EU136" s="299"/>
      <c r="EV136" s="299"/>
      <c r="EW136" s="299"/>
      <c r="EX136" s="299"/>
      <c r="EY136" s="299"/>
      <c r="EZ136" s="299"/>
      <c r="FA136" s="299"/>
      <c r="FB136" s="299"/>
      <c r="FC136" s="299"/>
      <c r="FD136" s="299"/>
      <c r="FE136" s="299"/>
      <c r="FF136" s="299"/>
      <c r="FG136" s="299"/>
      <c r="FH136" s="299"/>
      <c r="FI136" s="299"/>
      <c r="FJ136" s="299"/>
      <c r="FK136" s="299"/>
      <c r="FL136" s="299"/>
      <c r="FM136" s="299"/>
      <c r="FN136" s="299"/>
      <c r="FO136" s="299"/>
      <c r="FP136" s="299"/>
      <c r="FQ136" s="300" t="e">
        <f t="shared" ca="1" si="114"/>
        <v>#VALUE!</v>
      </c>
      <c r="FR136" s="300" t="e">
        <f t="shared" ca="1" si="137"/>
        <v>#VALUE!</v>
      </c>
      <c r="FS136" s="300" t="e">
        <f t="shared" ca="1" si="137"/>
        <v>#VALUE!</v>
      </c>
      <c r="FT136" s="300" t="e">
        <f t="shared" ca="1" si="137"/>
        <v>#VALUE!</v>
      </c>
      <c r="FU136" s="300" t="e">
        <f t="shared" ca="1" si="137"/>
        <v>#VALUE!</v>
      </c>
      <c r="FV136" s="300" t="e">
        <f t="shared" ca="1" si="137"/>
        <v>#VALUE!</v>
      </c>
      <c r="FW136" s="300" t="e">
        <f t="shared" ca="1" si="137"/>
        <v>#VALUE!</v>
      </c>
      <c r="FX136" s="300" t="e">
        <f t="shared" ca="1" si="137"/>
        <v>#VALUE!</v>
      </c>
      <c r="FY136" s="300" t="e">
        <f t="shared" ca="1" si="137"/>
        <v>#VALUE!</v>
      </c>
      <c r="FZ136" s="300" t="e">
        <f t="shared" ca="1" si="137"/>
        <v>#VALUE!</v>
      </c>
      <c r="GA136" s="301" t="e">
        <f t="shared" ca="1" si="137"/>
        <v>#VALUE!</v>
      </c>
      <c r="GB136" s="301" t="e">
        <f t="shared" ca="1" si="138"/>
        <v>#VALUE!</v>
      </c>
      <c r="GC136" s="301" t="e">
        <f t="shared" ca="1" si="138"/>
        <v>#VALUE!</v>
      </c>
      <c r="GD136" s="301" t="e">
        <f t="shared" ca="1" si="138"/>
        <v>#VALUE!</v>
      </c>
      <c r="GE136" s="301" t="e">
        <f t="shared" ca="1" si="138"/>
        <v>#VALUE!</v>
      </c>
      <c r="GF136" s="301" t="e">
        <f t="shared" ca="1" si="138"/>
        <v>#VALUE!</v>
      </c>
      <c r="GG136" s="301" t="e">
        <f t="shared" ca="1" si="138"/>
        <v>#VALUE!</v>
      </c>
      <c r="GH136" s="301" t="e">
        <f t="shared" ca="1" si="138"/>
        <v>#VALUE!</v>
      </c>
      <c r="GI136" s="301" t="e">
        <f t="shared" ca="1" si="138"/>
        <v>#VALUE!</v>
      </c>
      <c r="GJ136" s="301" t="e">
        <f t="shared" ca="1" si="138"/>
        <v>#VALUE!</v>
      </c>
      <c r="GK136" s="301" t="e">
        <f t="shared" ca="1" si="138"/>
        <v>#VALUE!</v>
      </c>
      <c r="GL136" s="301" t="e">
        <f t="shared" ca="1" si="138"/>
        <v>#VALUE!</v>
      </c>
      <c r="GM136" s="301" t="e">
        <f t="shared" ca="1" si="138"/>
        <v>#VALUE!</v>
      </c>
      <c r="GN136" s="302" t="e">
        <f t="shared" ca="1" si="138"/>
        <v>#VALUE!</v>
      </c>
      <c r="GO136" s="302" t="e">
        <f t="shared" ca="1" si="138"/>
        <v>#VALUE!</v>
      </c>
      <c r="GP136" s="301">
        <f t="shared" si="139"/>
        <v>0</v>
      </c>
      <c r="GQ136" s="301">
        <f t="shared" si="139"/>
        <v>0</v>
      </c>
      <c r="GR136" s="301">
        <f t="shared" si="139"/>
        <v>0</v>
      </c>
      <c r="GS136" s="301">
        <f t="shared" si="139"/>
        <v>0</v>
      </c>
      <c r="GT136" s="301">
        <f t="shared" si="139"/>
        <v>0</v>
      </c>
      <c r="GU136" s="303">
        <f t="shared" si="139"/>
        <v>0</v>
      </c>
      <c r="GV136" s="302">
        <f t="shared" si="139"/>
        <v>0</v>
      </c>
      <c r="GW136" s="302">
        <f t="shared" si="139"/>
        <v>0</v>
      </c>
      <c r="GX136" s="302">
        <f t="shared" si="139"/>
        <v>0</v>
      </c>
      <c r="GY136" s="302">
        <f t="shared" si="139"/>
        <v>0</v>
      </c>
      <c r="GZ136" s="302">
        <f t="shared" si="139"/>
        <v>0</v>
      </c>
      <c r="HA136" s="302">
        <f t="shared" si="139"/>
        <v>0</v>
      </c>
      <c r="HB136" s="302">
        <f t="shared" si="139"/>
        <v>0</v>
      </c>
      <c r="HC136" s="302">
        <f t="shared" si="139"/>
        <v>0</v>
      </c>
      <c r="HD136" s="302">
        <f t="shared" si="139"/>
        <v>0</v>
      </c>
      <c r="HE136" s="302">
        <f t="shared" si="139"/>
        <v>0</v>
      </c>
      <c r="HF136" s="304"/>
      <c r="HG136" s="305"/>
    </row>
    <row r="137" spans="1:215" s="306" customFormat="1" ht="15" customHeight="1">
      <c r="A137" s="344"/>
      <c r="B137" s="292" t="s">
        <v>348</v>
      </c>
      <c r="C137" s="292" t="s">
        <v>159</v>
      </c>
      <c r="D137" s="292" t="s">
        <v>159</v>
      </c>
      <c r="E137" s="292" t="s">
        <v>486</v>
      </c>
      <c r="F137" s="292" t="s">
        <v>184</v>
      </c>
      <c r="G137" s="292" t="s">
        <v>350</v>
      </c>
      <c r="H137" s="292" t="s">
        <v>473</v>
      </c>
      <c r="I137" s="292" t="s">
        <v>483</v>
      </c>
      <c r="J137" s="292" t="s">
        <v>184</v>
      </c>
      <c r="K137" s="292" t="s">
        <v>475</v>
      </c>
      <c r="L137" s="292" t="s">
        <v>476</v>
      </c>
      <c r="M137" s="292" t="s">
        <v>374</v>
      </c>
      <c r="N137" s="292" t="str">
        <f t="shared" si="129"/>
        <v>Security-Security</v>
      </c>
      <c r="O137" s="292" t="str">
        <f t="shared" si="130"/>
        <v>Cyber Security -Senior Consultant-India-Consulting</v>
      </c>
      <c r="P137" s="292" t="str">
        <f t="shared" si="131"/>
        <v xml:space="preserve">Security - Cyber Security </v>
      </c>
      <c r="Q137" s="293">
        <f t="shared" si="111"/>
        <v>121680</v>
      </c>
      <c r="R137" s="294">
        <f t="shared" si="112"/>
        <v>0</v>
      </c>
      <c r="S137" s="295">
        <f t="shared" si="132"/>
        <v>0</v>
      </c>
      <c r="T137" s="295">
        <f t="shared" si="113"/>
        <v>1170</v>
      </c>
      <c r="U137" s="296" t="str">
        <f t="shared" si="133"/>
        <v>Cyber Security  - Senior Consultant</v>
      </c>
      <c r="V137" s="295" t="str">
        <f t="shared" si="134"/>
        <v>3-5 years</v>
      </c>
      <c r="W137" s="292" t="str">
        <f t="shared" si="135"/>
        <v>Offshore</v>
      </c>
      <c r="X137" s="292" t="s">
        <v>261</v>
      </c>
      <c r="Y137" s="292" t="s">
        <v>477</v>
      </c>
      <c r="Z137" s="345" t="s">
        <v>364</v>
      </c>
      <c r="AA137" s="297">
        <f>[1]Resourcing!QD141</f>
        <v>288.37179487179498</v>
      </c>
      <c r="AB137" s="298">
        <f t="shared" si="136"/>
        <v>104</v>
      </c>
      <c r="AC137" s="299"/>
      <c r="AD137" s="299"/>
      <c r="AE137" s="299"/>
      <c r="AF137" s="299"/>
      <c r="AG137" s="299"/>
      <c r="AH137" s="299"/>
      <c r="AI137" s="299"/>
      <c r="AJ137" s="299"/>
      <c r="AK137" s="299"/>
      <c r="AL137" s="299"/>
      <c r="AM137" s="299"/>
      <c r="AN137" s="299"/>
      <c r="AO137" s="299"/>
      <c r="AP137" s="299"/>
      <c r="AQ137" s="299"/>
      <c r="AR137" s="299"/>
      <c r="AS137" s="299"/>
      <c r="AT137" s="299"/>
      <c r="AU137" s="299"/>
      <c r="AV137" s="299"/>
      <c r="AW137" s="299"/>
      <c r="AX137" s="299"/>
      <c r="AY137" s="299"/>
      <c r="AZ137" s="299"/>
      <c r="BA137" s="299"/>
      <c r="BB137" s="299"/>
      <c r="BC137" s="299"/>
      <c r="BD137" s="299"/>
      <c r="BE137" s="299"/>
      <c r="BF137" s="299"/>
      <c r="BG137" s="299"/>
      <c r="BH137" s="299"/>
      <c r="BI137" s="299"/>
      <c r="BJ137" s="299"/>
      <c r="BK137" s="299"/>
      <c r="BL137" s="299"/>
      <c r="BM137" s="299"/>
      <c r="BN137" s="299"/>
      <c r="BO137" s="299">
        <v>45</v>
      </c>
      <c r="BP137" s="299">
        <v>45</v>
      </c>
      <c r="BQ137" s="299">
        <v>45</v>
      </c>
      <c r="BR137" s="299"/>
      <c r="BS137" s="299"/>
      <c r="BT137" s="299">
        <v>45</v>
      </c>
      <c r="BU137" s="299">
        <v>45</v>
      </c>
      <c r="BV137" s="299">
        <v>45</v>
      </c>
      <c r="BW137" s="299">
        <v>45</v>
      </c>
      <c r="BX137" s="299">
        <v>45</v>
      </c>
      <c r="BY137" s="299">
        <v>45</v>
      </c>
      <c r="BZ137" s="299">
        <v>45</v>
      </c>
      <c r="CA137" s="299">
        <v>45</v>
      </c>
      <c r="CB137" s="299">
        <v>45</v>
      </c>
      <c r="CC137" s="299">
        <v>45</v>
      </c>
      <c r="CD137" s="299">
        <v>45</v>
      </c>
      <c r="CE137" s="299">
        <v>45</v>
      </c>
      <c r="CF137" s="299">
        <v>45</v>
      </c>
      <c r="CG137" s="299">
        <v>45</v>
      </c>
      <c r="CH137" s="299">
        <v>45</v>
      </c>
      <c r="CI137" s="299">
        <v>45</v>
      </c>
      <c r="CJ137" s="299">
        <v>45</v>
      </c>
      <c r="CK137" s="299">
        <v>45</v>
      </c>
      <c r="CL137" s="299">
        <v>45</v>
      </c>
      <c r="CM137" s="299">
        <v>45</v>
      </c>
      <c r="CN137" s="299">
        <v>45</v>
      </c>
      <c r="CO137" s="299">
        <v>45</v>
      </c>
      <c r="CP137" s="299">
        <v>45</v>
      </c>
      <c r="CQ137" s="299"/>
      <c r="CR137" s="299"/>
      <c r="CS137" s="299"/>
      <c r="CT137" s="299"/>
      <c r="CU137" s="299"/>
      <c r="CV137" s="299"/>
      <c r="CW137" s="299"/>
      <c r="CX137" s="299"/>
      <c r="CY137" s="299"/>
      <c r="CZ137" s="299"/>
      <c r="DA137" s="299"/>
      <c r="DB137" s="299"/>
      <c r="DC137" s="299"/>
      <c r="DD137" s="299"/>
      <c r="DE137" s="299"/>
      <c r="DF137" s="299"/>
      <c r="DG137" s="299"/>
      <c r="DH137" s="299"/>
      <c r="DI137" s="299"/>
      <c r="DJ137" s="299"/>
      <c r="DK137" s="299"/>
      <c r="DL137" s="299"/>
      <c r="DM137" s="299"/>
      <c r="DN137" s="299"/>
      <c r="DO137" s="299"/>
      <c r="DP137" s="299"/>
      <c r="DQ137" s="299"/>
      <c r="DR137" s="299"/>
      <c r="DS137" s="299"/>
      <c r="DT137" s="299"/>
      <c r="DU137" s="299"/>
      <c r="DV137" s="299"/>
      <c r="DW137" s="299"/>
      <c r="DX137" s="299"/>
      <c r="DY137" s="299"/>
      <c r="DZ137" s="299"/>
      <c r="EA137" s="299"/>
      <c r="EB137" s="299"/>
      <c r="EC137" s="299"/>
      <c r="ED137" s="299"/>
      <c r="EE137" s="299"/>
      <c r="EF137" s="299"/>
      <c r="EG137" s="299"/>
      <c r="EH137" s="299"/>
      <c r="EI137" s="299"/>
      <c r="EJ137" s="299"/>
      <c r="EK137" s="299"/>
      <c r="EL137" s="299"/>
      <c r="EM137" s="299"/>
      <c r="EN137" s="299"/>
      <c r="EO137" s="299"/>
      <c r="EP137" s="299"/>
      <c r="EQ137" s="299"/>
      <c r="ER137" s="299"/>
      <c r="ES137" s="299"/>
      <c r="ET137" s="299"/>
      <c r="EU137" s="299"/>
      <c r="EV137" s="299"/>
      <c r="EW137" s="299"/>
      <c r="EX137" s="299"/>
      <c r="EY137" s="299"/>
      <c r="EZ137" s="299"/>
      <c r="FA137" s="299"/>
      <c r="FB137" s="299"/>
      <c r="FC137" s="299"/>
      <c r="FD137" s="299"/>
      <c r="FE137" s="299"/>
      <c r="FF137" s="299"/>
      <c r="FG137" s="299"/>
      <c r="FH137" s="299"/>
      <c r="FI137" s="299"/>
      <c r="FJ137" s="299"/>
      <c r="FK137" s="299"/>
      <c r="FL137" s="299"/>
      <c r="FM137" s="299"/>
      <c r="FN137" s="299"/>
      <c r="FO137" s="299"/>
      <c r="FP137" s="299"/>
      <c r="FQ137" s="300" t="e">
        <f t="shared" ca="1" si="114"/>
        <v>#VALUE!</v>
      </c>
      <c r="FR137" s="300" t="e">
        <f t="shared" ca="1" si="137"/>
        <v>#VALUE!</v>
      </c>
      <c r="FS137" s="300" t="e">
        <f t="shared" ca="1" si="137"/>
        <v>#VALUE!</v>
      </c>
      <c r="FT137" s="300" t="e">
        <f t="shared" ca="1" si="137"/>
        <v>#VALUE!</v>
      </c>
      <c r="FU137" s="300" t="e">
        <f t="shared" ca="1" si="137"/>
        <v>#VALUE!</v>
      </c>
      <c r="FV137" s="300" t="e">
        <f t="shared" ca="1" si="137"/>
        <v>#VALUE!</v>
      </c>
      <c r="FW137" s="300" t="e">
        <f t="shared" ca="1" si="137"/>
        <v>#VALUE!</v>
      </c>
      <c r="FX137" s="300" t="e">
        <f t="shared" ca="1" si="137"/>
        <v>#VALUE!</v>
      </c>
      <c r="FY137" s="300" t="e">
        <f t="shared" ca="1" si="137"/>
        <v>#VALUE!</v>
      </c>
      <c r="FZ137" s="300" t="e">
        <f t="shared" ca="1" si="137"/>
        <v>#VALUE!</v>
      </c>
      <c r="GA137" s="301" t="e">
        <f t="shared" ca="1" si="137"/>
        <v>#VALUE!</v>
      </c>
      <c r="GB137" s="301" t="e">
        <f t="shared" ca="1" si="138"/>
        <v>#VALUE!</v>
      </c>
      <c r="GC137" s="301" t="e">
        <f t="shared" ca="1" si="138"/>
        <v>#VALUE!</v>
      </c>
      <c r="GD137" s="301" t="e">
        <f t="shared" ca="1" si="138"/>
        <v>#VALUE!</v>
      </c>
      <c r="GE137" s="301" t="e">
        <f t="shared" ca="1" si="138"/>
        <v>#VALUE!</v>
      </c>
      <c r="GF137" s="301" t="e">
        <f t="shared" ca="1" si="138"/>
        <v>#VALUE!</v>
      </c>
      <c r="GG137" s="301" t="e">
        <f t="shared" ca="1" si="138"/>
        <v>#VALUE!</v>
      </c>
      <c r="GH137" s="301" t="e">
        <f t="shared" ca="1" si="138"/>
        <v>#VALUE!</v>
      </c>
      <c r="GI137" s="301" t="e">
        <f t="shared" ca="1" si="138"/>
        <v>#VALUE!</v>
      </c>
      <c r="GJ137" s="301" t="e">
        <f t="shared" ca="1" si="138"/>
        <v>#VALUE!</v>
      </c>
      <c r="GK137" s="301" t="e">
        <f t="shared" ca="1" si="138"/>
        <v>#VALUE!</v>
      </c>
      <c r="GL137" s="301" t="e">
        <f t="shared" ca="1" si="138"/>
        <v>#VALUE!</v>
      </c>
      <c r="GM137" s="301" t="e">
        <f t="shared" ca="1" si="138"/>
        <v>#VALUE!</v>
      </c>
      <c r="GN137" s="302" t="e">
        <f t="shared" ca="1" si="138"/>
        <v>#VALUE!</v>
      </c>
      <c r="GO137" s="302" t="e">
        <f t="shared" ca="1" si="138"/>
        <v>#VALUE!</v>
      </c>
      <c r="GP137" s="301">
        <f t="shared" si="139"/>
        <v>0</v>
      </c>
      <c r="GQ137" s="301">
        <f t="shared" si="139"/>
        <v>0</v>
      </c>
      <c r="GR137" s="301">
        <f t="shared" si="139"/>
        <v>0</v>
      </c>
      <c r="GS137" s="301">
        <f t="shared" si="139"/>
        <v>0</v>
      </c>
      <c r="GT137" s="301">
        <f t="shared" si="139"/>
        <v>0</v>
      </c>
      <c r="GU137" s="303">
        <f t="shared" si="139"/>
        <v>0</v>
      </c>
      <c r="GV137" s="302">
        <f t="shared" si="139"/>
        <v>0</v>
      </c>
      <c r="GW137" s="302">
        <f t="shared" si="139"/>
        <v>0</v>
      </c>
      <c r="GX137" s="302">
        <f t="shared" si="139"/>
        <v>0</v>
      </c>
      <c r="GY137" s="302">
        <f t="shared" si="139"/>
        <v>0</v>
      </c>
      <c r="GZ137" s="302">
        <f t="shared" si="139"/>
        <v>0</v>
      </c>
      <c r="HA137" s="302">
        <f t="shared" si="139"/>
        <v>0</v>
      </c>
      <c r="HB137" s="302">
        <f t="shared" si="139"/>
        <v>0</v>
      </c>
      <c r="HC137" s="302">
        <f t="shared" si="139"/>
        <v>0</v>
      </c>
      <c r="HD137" s="302">
        <f t="shared" si="139"/>
        <v>0</v>
      </c>
      <c r="HE137" s="302">
        <f t="shared" si="139"/>
        <v>0</v>
      </c>
      <c r="HF137" s="304"/>
      <c r="HG137" s="305"/>
    </row>
    <row r="138" spans="1:215" s="306" customFormat="1" ht="15" customHeight="1">
      <c r="A138" s="344"/>
      <c r="B138" s="292" t="s">
        <v>348</v>
      </c>
      <c r="C138" s="292" t="s">
        <v>159</v>
      </c>
      <c r="D138" s="292" t="s">
        <v>159</v>
      </c>
      <c r="E138" s="292" t="s">
        <v>487</v>
      </c>
      <c r="F138" s="292" t="s">
        <v>184</v>
      </c>
      <c r="G138" s="292" t="s">
        <v>350</v>
      </c>
      <c r="H138" s="292" t="s">
        <v>473</v>
      </c>
      <c r="I138" s="292" t="s">
        <v>483</v>
      </c>
      <c r="J138" s="292" t="s">
        <v>184</v>
      </c>
      <c r="K138" s="292" t="s">
        <v>475</v>
      </c>
      <c r="L138" s="292" t="s">
        <v>476</v>
      </c>
      <c r="M138" s="292" t="s">
        <v>371</v>
      </c>
      <c r="N138" s="292" t="str">
        <f t="shared" si="129"/>
        <v>Security-Security</v>
      </c>
      <c r="O138" s="292" t="str">
        <f t="shared" si="130"/>
        <v>Cyber Security -Manager-India-Consulting</v>
      </c>
      <c r="P138" s="292" t="str">
        <f t="shared" si="131"/>
        <v xml:space="preserve">Security - Cyber Security </v>
      </c>
      <c r="Q138" s="293">
        <f t="shared" ref="Q138:Q173" si="140">AB138*SUM(AZ138:ET138)</f>
        <v>447040</v>
      </c>
      <c r="R138" s="294">
        <f t="shared" ref="R138:R173" si="141">AB138*SUM(BC138:BN138)</f>
        <v>50800</v>
      </c>
      <c r="S138" s="295">
        <f t="shared" si="132"/>
        <v>1080</v>
      </c>
      <c r="T138" s="295">
        <f t="shared" ref="T138:T169" si="142">SUM(AZ138:EZ138)</f>
        <v>3520</v>
      </c>
      <c r="U138" s="296" t="str">
        <f t="shared" si="133"/>
        <v>Cyber Security  - Manager</v>
      </c>
      <c r="V138" s="295" t="str">
        <f t="shared" si="134"/>
        <v>5-7 years</v>
      </c>
      <c r="W138" s="292" t="str">
        <f t="shared" si="135"/>
        <v>Offshore</v>
      </c>
      <c r="X138" s="292" t="s">
        <v>261</v>
      </c>
      <c r="Y138" s="292" t="s">
        <v>477</v>
      </c>
      <c r="Z138" s="345" t="s">
        <v>376</v>
      </c>
      <c r="AA138" s="297">
        <f>[1]Resourcing!QD142</f>
        <v>156</v>
      </c>
      <c r="AB138" s="298">
        <f t="shared" si="136"/>
        <v>127</v>
      </c>
      <c r="AC138" s="299"/>
      <c r="AD138" s="299"/>
      <c r="AE138" s="299"/>
      <c r="AF138" s="299"/>
      <c r="AG138" s="299"/>
      <c r="AH138" s="299"/>
      <c r="AI138" s="299"/>
      <c r="AJ138" s="299"/>
      <c r="AK138" s="299"/>
      <c r="AL138" s="299"/>
      <c r="AM138" s="299"/>
      <c r="AN138" s="299"/>
      <c r="AO138" s="299"/>
      <c r="AP138" s="299"/>
      <c r="AQ138" s="299"/>
      <c r="AR138" s="299"/>
      <c r="AS138" s="299"/>
      <c r="AT138" s="299"/>
      <c r="AU138" s="299"/>
      <c r="AV138" s="299"/>
      <c r="AW138" s="299"/>
      <c r="AX138" s="299"/>
      <c r="AY138" s="299"/>
      <c r="AZ138" s="299"/>
      <c r="BA138" s="299"/>
      <c r="BB138" s="299"/>
      <c r="BC138" s="299"/>
      <c r="BD138" s="299"/>
      <c r="BE138" s="299">
        <v>40</v>
      </c>
      <c r="BF138" s="299">
        <v>40</v>
      </c>
      <c r="BG138" s="299">
        <v>40</v>
      </c>
      <c r="BH138" s="299">
        <v>40</v>
      </c>
      <c r="BI138" s="299">
        <v>40</v>
      </c>
      <c r="BJ138" s="299">
        <v>40</v>
      </c>
      <c r="BK138" s="299">
        <v>40</v>
      </c>
      <c r="BL138" s="299">
        <v>40</v>
      </c>
      <c r="BM138" s="299">
        <v>40</v>
      </c>
      <c r="BN138" s="299">
        <v>40</v>
      </c>
      <c r="BO138" s="299">
        <v>40</v>
      </c>
      <c r="BP138" s="299">
        <v>40</v>
      </c>
      <c r="BQ138" s="299">
        <v>40</v>
      </c>
      <c r="BR138" s="299"/>
      <c r="BS138" s="299"/>
      <c r="BT138" s="299">
        <v>40</v>
      </c>
      <c r="BU138" s="299">
        <v>40</v>
      </c>
      <c r="BV138" s="299">
        <v>40</v>
      </c>
      <c r="BW138" s="299">
        <v>40</v>
      </c>
      <c r="BX138" s="299">
        <v>40</v>
      </c>
      <c r="BY138" s="299">
        <v>40</v>
      </c>
      <c r="BZ138" s="299">
        <v>40</v>
      </c>
      <c r="CA138" s="299">
        <v>40</v>
      </c>
      <c r="CB138" s="299">
        <v>40</v>
      </c>
      <c r="CC138" s="299">
        <v>40</v>
      </c>
      <c r="CD138" s="299">
        <v>40</v>
      </c>
      <c r="CE138" s="299">
        <v>40</v>
      </c>
      <c r="CF138" s="299">
        <v>40</v>
      </c>
      <c r="CG138" s="299">
        <v>40</v>
      </c>
      <c r="CH138" s="299">
        <v>40</v>
      </c>
      <c r="CI138" s="299">
        <v>40</v>
      </c>
      <c r="CJ138" s="299">
        <v>40</v>
      </c>
      <c r="CK138" s="299">
        <v>40</v>
      </c>
      <c r="CL138" s="299">
        <v>40</v>
      </c>
      <c r="CM138" s="299">
        <v>40</v>
      </c>
      <c r="CN138" s="299">
        <v>40</v>
      </c>
      <c r="CO138" s="299">
        <v>40</v>
      </c>
      <c r="CP138" s="299">
        <v>40</v>
      </c>
      <c r="CQ138" s="299">
        <v>40</v>
      </c>
      <c r="CR138" s="299">
        <v>40</v>
      </c>
      <c r="CS138" s="299">
        <v>40</v>
      </c>
      <c r="CT138" s="299">
        <v>40</v>
      </c>
      <c r="CU138" s="299">
        <v>40</v>
      </c>
      <c r="CV138" s="299">
        <v>40</v>
      </c>
      <c r="CW138" s="299">
        <v>40</v>
      </c>
      <c r="CX138" s="299">
        <v>40</v>
      </c>
      <c r="CY138" s="299">
        <v>40</v>
      </c>
      <c r="CZ138" s="299">
        <v>40</v>
      </c>
      <c r="DA138" s="299">
        <v>40</v>
      </c>
      <c r="DB138" s="299">
        <v>40</v>
      </c>
      <c r="DC138" s="299">
        <v>40</v>
      </c>
      <c r="DD138" s="299">
        <v>40</v>
      </c>
      <c r="DE138" s="299">
        <v>40</v>
      </c>
      <c r="DF138" s="299">
        <v>40</v>
      </c>
      <c r="DG138" s="299">
        <v>40</v>
      </c>
      <c r="DH138" s="299">
        <v>40</v>
      </c>
      <c r="DI138" s="299">
        <v>40</v>
      </c>
      <c r="DJ138" s="299">
        <v>40</v>
      </c>
      <c r="DK138" s="299">
        <v>40</v>
      </c>
      <c r="DL138" s="299">
        <v>40</v>
      </c>
      <c r="DM138" s="299">
        <v>40</v>
      </c>
      <c r="DN138" s="299">
        <v>40</v>
      </c>
      <c r="DO138" s="299">
        <v>40</v>
      </c>
      <c r="DP138" s="299">
        <v>40</v>
      </c>
      <c r="DQ138" s="299">
        <v>40</v>
      </c>
      <c r="DR138" s="299"/>
      <c r="DS138" s="299"/>
      <c r="DT138" s="299">
        <v>40</v>
      </c>
      <c r="DU138" s="299">
        <v>40</v>
      </c>
      <c r="DV138" s="299">
        <v>40</v>
      </c>
      <c r="DW138" s="299">
        <v>40</v>
      </c>
      <c r="DX138" s="299">
        <v>40</v>
      </c>
      <c r="DY138" s="299">
        <v>40</v>
      </c>
      <c r="DZ138" s="299">
        <v>40</v>
      </c>
      <c r="EA138" s="299">
        <v>40</v>
      </c>
      <c r="EB138" s="299">
        <v>40</v>
      </c>
      <c r="EC138" s="299">
        <v>40</v>
      </c>
      <c r="ED138" s="299">
        <v>40</v>
      </c>
      <c r="EE138" s="299">
        <v>40</v>
      </c>
      <c r="EF138" s="299">
        <v>40</v>
      </c>
      <c r="EG138" s="299">
        <v>40</v>
      </c>
      <c r="EH138" s="299">
        <v>40</v>
      </c>
      <c r="EI138" s="299">
        <v>40</v>
      </c>
      <c r="EJ138" s="299">
        <v>40</v>
      </c>
      <c r="EK138" s="299">
        <v>40</v>
      </c>
      <c r="EL138" s="299">
        <v>40</v>
      </c>
      <c r="EM138" s="299">
        <v>40</v>
      </c>
      <c r="EN138" s="299">
        <v>40</v>
      </c>
      <c r="EO138" s="299">
        <v>40</v>
      </c>
      <c r="EP138" s="299">
        <v>40</v>
      </c>
      <c r="EQ138" s="299">
        <v>40</v>
      </c>
      <c r="ER138" s="299">
        <v>40</v>
      </c>
      <c r="ES138" s="299"/>
      <c r="ET138" s="299"/>
      <c r="EU138" s="299"/>
      <c r="EV138" s="299"/>
      <c r="EW138" s="299"/>
      <c r="EX138" s="299"/>
      <c r="EY138" s="299"/>
      <c r="EZ138" s="299"/>
      <c r="FA138" s="299"/>
      <c r="FB138" s="299"/>
      <c r="FC138" s="299"/>
      <c r="FD138" s="299"/>
      <c r="FE138" s="299"/>
      <c r="FF138" s="299"/>
      <c r="FG138" s="299"/>
      <c r="FH138" s="299"/>
      <c r="FI138" s="299"/>
      <c r="FJ138" s="299"/>
      <c r="FK138" s="299"/>
      <c r="FL138" s="299"/>
      <c r="FM138" s="299"/>
      <c r="FN138" s="299"/>
      <c r="FO138" s="299"/>
      <c r="FP138" s="299"/>
      <c r="FQ138" s="300" t="e">
        <f t="shared" ca="1" si="114"/>
        <v>#VALUE!</v>
      </c>
      <c r="FR138" s="300" t="e">
        <f t="shared" ca="1" si="137"/>
        <v>#VALUE!</v>
      </c>
      <c r="FS138" s="300" t="e">
        <f t="shared" ca="1" si="137"/>
        <v>#VALUE!</v>
      </c>
      <c r="FT138" s="300" t="e">
        <f t="shared" ca="1" si="137"/>
        <v>#VALUE!</v>
      </c>
      <c r="FU138" s="300" t="e">
        <f t="shared" ca="1" si="137"/>
        <v>#VALUE!</v>
      </c>
      <c r="FV138" s="300" t="e">
        <f t="shared" ca="1" si="137"/>
        <v>#VALUE!</v>
      </c>
      <c r="FW138" s="300" t="e">
        <f t="shared" ca="1" si="137"/>
        <v>#VALUE!</v>
      </c>
      <c r="FX138" s="300" t="e">
        <f t="shared" ca="1" si="137"/>
        <v>#VALUE!</v>
      </c>
      <c r="FY138" s="300" t="e">
        <f t="shared" ca="1" si="137"/>
        <v>#VALUE!</v>
      </c>
      <c r="FZ138" s="300" t="e">
        <f t="shared" ca="1" si="137"/>
        <v>#VALUE!</v>
      </c>
      <c r="GA138" s="301" t="e">
        <f t="shared" ca="1" si="137"/>
        <v>#VALUE!</v>
      </c>
      <c r="GB138" s="301" t="e">
        <f t="shared" ca="1" si="138"/>
        <v>#VALUE!</v>
      </c>
      <c r="GC138" s="301" t="e">
        <f t="shared" ca="1" si="138"/>
        <v>#VALUE!</v>
      </c>
      <c r="GD138" s="301" t="e">
        <f t="shared" ca="1" si="138"/>
        <v>#VALUE!</v>
      </c>
      <c r="GE138" s="301" t="e">
        <f t="shared" ca="1" si="138"/>
        <v>#VALUE!</v>
      </c>
      <c r="GF138" s="301" t="e">
        <f t="shared" ca="1" si="138"/>
        <v>#VALUE!</v>
      </c>
      <c r="GG138" s="301" t="e">
        <f t="shared" ca="1" si="138"/>
        <v>#VALUE!</v>
      </c>
      <c r="GH138" s="301" t="e">
        <f t="shared" ca="1" si="138"/>
        <v>#VALUE!</v>
      </c>
      <c r="GI138" s="301" t="e">
        <f t="shared" ca="1" si="138"/>
        <v>#VALUE!</v>
      </c>
      <c r="GJ138" s="301" t="e">
        <f t="shared" ca="1" si="138"/>
        <v>#VALUE!</v>
      </c>
      <c r="GK138" s="301" t="e">
        <f t="shared" ca="1" si="138"/>
        <v>#VALUE!</v>
      </c>
      <c r="GL138" s="301" t="e">
        <f t="shared" ca="1" si="138"/>
        <v>#VALUE!</v>
      </c>
      <c r="GM138" s="301" t="e">
        <f t="shared" ca="1" si="138"/>
        <v>#VALUE!</v>
      </c>
      <c r="GN138" s="302" t="e">
        <f t="shared" ca="1" si="138"/>
        <v>#VALUE!</v>
      </c>
      <c r="GO138" s="302" t="e">
        <f t="shared" ca="1" si="138"/>
        <v>#VALUE!</v>
      </c>
      <c r="GP138" s="301">
        <f t="shared" si="139"/>
        <v>80</v>
      </c>
      <c r="GQ138" s="301">
        <f t="shared" si="139"/>
        <v>160</v>
      </c>
      <c r="GR138" s="301">
        <f t="shared" si="139"/>
        <v>160</v>
      </c>
      <c r="GS138" s="301">
        <f t="shared" si="139"/>
        <v>160</v>
      </c>
      <c r="GT138" s="301">
        <f t="shared" si="139"/>
        <v>160</v>
      </c>
      <c r="GU138" s="303">
        <f t="shared" si="139"/>
        <v>160</v>
      </c>
      <c r="GV138" s="302">
        <f t="shared" si="139"/>
        <v>160</v>
      </c>
      <c r="GW138" s="302">
        <f t="shared" si="139"/>
        <v>40</v>
      </c>
      <c r="GX138" s="302">
        <f t="shared" si="139"/>
        <v>0</v>
      </c>
      <c r="GY138" s="302">
        <f t="shared" si="139"/>
        <v>0</v>
      </c>
      <c r="GZ138" s="302">
        <f t="shared" si="139"/>
        <v>0</v>
      </c>
      <c r="HA138" s="302">
        <f t="shared" si="139"/>
        <v>0</v>
      </c>
      <c r="HB138" s="302">
        <f t="shared" si="139"/>
        <v>0</v>
      </c>
      <c r="HC138" s="302">
        <f t="shared" si="139"/>
        <v>0</v>
      </c>
      <c r="HD138" s="302">
        <f t="shared" si="139"/>
        <v>0</v>
      </c>
      <c r="HE138" s="302">
        <f t="shared" si="139"/>
        <v>0</v>
      </c>
      <c r="HF138" s="304"/>
      <c r="HG138" s="305"/>
    </row>
    <row r="139" spans="1:215" s="306" customFormat="1" ht="15" customHeight="1">
      <c r="A139" s="344"/>
      <c r="B139" s="292" t="s">
        <v>348</v>
      </c>
      <c r="C139" s="292" t="s">
        <v>159</v>
      </c>
      <c r="D139" s="292" t="s">
        <v>159</v>
      </c>
      <c r="E139" s="292" t="s">
        <v>488</v>
      </c>
      <c r="F139" s="292" t="s">
        <v>184</v>
      </c>
      <c r="G139" s="292" t="s">
        <v>350</v>
      </c>
      <c r="H139" s="292" t="s">
        <v>473</v>
      </c>
      <c r="I139" s="292" t="s">
        <v>483</v>
      </c>
      <c r="J139" s="292" t="s">
        <v>184</v>
      </c>
      <c r="K139" s="292" t="s">
        <v>475</v>
      </c>
      <c r="L139" s="292" t="s">
        <v>476</v>
      </c>
      <c r="M139" s="292" t="s">
        <v>374</v>
      </c>
      <c r="N139" s="292" t="str">
        <f t="shared" si="129"/>
        <v>Security-Security</v>
      </c>
      <c r="O139" s="292" t="str">
        <f t="shared" si="130"/>
        <v>Cybersecurity Consultant-Senior-India-Technology</v>
      </c>
      <c r="P139" s="292" t="str">
        <f t="shared" si="131"/>
        <v>Security - Cybersecurity Consultant</v>
      </c>
      <c r="Q139" s="293">
        <f t="shared" si="140"/>
        <v>167580</v>
      </c>
      <c r="R139" s="294">
        <f t="shared" si="141"/>
        <v>0</v>
      </c>
      <c r="S139" s="295">
        <f t="shared" si="132"/>
        <v>1305</v>
      </c>
      <c r="T139" s="295">
        <f t="shared" si="142"/>
        <v>3420</v>
      </c>
      <c r="U139" s="296" t="str">
        <f t="shared" si="133"/>
        <v>Cybersecurity Consultant - Senior</v>
      </c>
      <c r="V139" s="295" t="str">
        <f t="shared" si="134"/>
        <v>6-9 years</v>
      </c>
      <c r="W139" s="292" t="str">
        <f t="shared" si="135"/>
        <v>Offshore</v>
      </c>
      <c r="X139" s="292" t="s">
        <v>259</v>
      </c>
      <c r="Y139" s="292" t="s">
        <v>484</v>
      </c>
      <c r="Z139" s="345" t="s">
        <v>243</v>
      </c>
      <c r="AA139" s="297">
        <f>[1]Resourcing!QD143</f>
        <v>279.06923076923101</v>
      </c>
      <c r="AB139" s="298">
        <f t="shared" si="136"/>
        <v>49</v>
      </c>
      <c r="AC139" s="299"/>
      <c r="AD139" s="299"/>
      <c r="AE139" s="299"/>
      <c r="AF139" s="299"/>
      <c r="AG139" s="299"/>
      <c r="AH139" s="299"/>
      <c r="AI139" s="299"/>
      <c r="AJ139" s="299"/>
      <c r="AK139" s="299"/>
      <c r="AL139" s="299"/>
      <c r="AM139" s="299"/>
      <c r="AN139" s="299"/>
      <c r="AO139" s="299"/>
      <c r="AP139" s="299"/>
      <c r="AQ139" s="299"/>
      <c r="AR139" s="299"/>
      <c r="AS139" s="299"/>
      <c r="AT139" s="299"/>
      <c r="AU139" s="299"/>
      <c r="AV139" s="299"/>
      <c r="AW139" s="299"/>
      <c r="AX139" s="299"/>
      <c r="AY139" s="299"/>
      <c r="AZ139" s="299"/>
      <c r="BA139" s="299"/>
      <c r="BB139" s="299"/>
      <c r="BC139" s="299"/>
      <c r="BD139" s="299"/>
      <c r="BE139" s="299"/>
      <c r="BF139" s="299"/>
      <c r="BG139" s="299"/>
      <c r="BH139" s="299"/>
      <c r="BI139" s="299"/>
      <c r="BJ139" s="299"/>
      <c r="BK139" s="299"/>
      <c r="BL139" s="299"/>
      <c r="BM139" s="299"/>
      <c r="BN139" s="299"/>
      <c r="BO139" s="299"/>
      <c r="BP139" s="299"/>
      <c r="BQ139" s="299"/>
      <c r="BR139" s="299"/>
      <c r="BS139" s="299"/>
      <c r="BT139" s="299"/>
      <c r="BU139" s="299">
        <v>45</v>
      </c>
      <c r="BV139" s="299">
        <v>45</v>
      </c>
      <c r="BW139" s="299">
        <v>45</v>
      </c>
      <c r="BX139" s="299">
        <v>45</v>
      </c>
      <c r="BY139" s="299">
        <v>45</v>
      </c>
      <c r="BZ139" s="299">
        <v>45</v>
      </c>
      <c r="CA139" s="299">
        <v>45</v>
      </c>
      <c r="CB139" s="299">
        <v>45</v>
      </c>
      <c r="CC139" s="299">
        <v>45</v>
      </c>
      <c r="CD139" s="299">
        <v>45</v>
      </c>
      <c r="CE139" s="299">
        <v>45</v>
      </c>
      <c r="CF139" s="299">
        <v>45</v>
      </c>
      <c r="CG139" s="299">
        <v>45</v>
      </c>
      <c r="CH139" s="299">
        <v>45</v>
      </c>
      <c r="CI139" s="299">
        <v>45</v>
      </c>
      <c r="CJ139" s="299">
        <v>45</v>
      </c>
      <c r="CK139" s="299">
        <v>45</v>
      </c>
      <c r="CL139" s="299">
        <v>45</v>
      </c>
      <c r="CM139" s="299">
        <v>45</v>
      </c>
      <c r="CN139" s="299">
        <v>45</v>
      </c>
      <c r="CO139" s="299">
        <v>45</v>
      </c>
      <c r="CP139" s="299">
        <v>45</v>
      </c>
      <c r="CQ139" s="299">
        <v>45</v>
      </c>
      <c r="CR139" s="299">
        <v>45</v>
      </c>
      <c r="CS139" s="299">
        <v>45</v>
      </c>
      <c r="CT139" s="299">
        <v>45</v>
      </c>
      <c r="CU139" s="299">
        <v>45</v>
      </c>
      <c r="CV139" s="299">
        <v>45</v>
      </c>
      <c r="CW139" s="299">
        <v>45</v>
      </c>
      <c r="CX139" s="299">
        <v>45</v>
      </c>
      <c r="CY139" s="299">
        <v>45</v>
      </c>
      <c r="CZ139" s="299">
        <v>45</v>
      </c>
      <c r="DA139" s="299">
        <v>45</v>
      </c>
      <c r="DB139" s="299">
        <v>45</v>
      </c>
      <c r="DC139" s="299">
        <v>45</v>
      </c>
      <c r="DD139" s="299">
        <v>45</v>
      </c>
      <c r="DE139" s="299">
        <v>45</v>
      </c>
      <c r="DF139" s="299">
        <v>45</v>
      </c>
      <c r="DG139" s="299">
        <v>45</v>
      </c>
      <c r="DH139" s="299">
        <v>45</v>
      </c>
      <c r="DI139" s="299">
        <v>45</v>
      </c>
      <c r="DJ139" s="299">
        <v>45</v>
      </c>
      <c r="DK139" s="299">
        <v>45</v>
      </c>
      <c r="DL139" s="299">
        <v>45</v>
      </c>
      <c r="DM139" s="299">
        <v>45</v>
      </c>
      <c r="DN139" s="299">
        <v>45</v>
      </c>
      <c r="DO139" s="299">
        <v>45</v>
      </c>
      <c r="DP139" s="299">
        <v>45</v>
      </c>
      <c r="DQ139" s="299">
        <v>45</v>
      </c>
      <c r="DR139" s="299"/>
      <c r="DS139" s="299"/>
      <c r="DT139" s="299">
        <v>45</v>
      </c>
      <c r="DU139" s="299">
        <v>45</v>
      </c>
      <c r="DV139" s="299">
        <v>45</v>
      </c>
      <c r="DW139" s="299">
        <v>45</v>
      </c>
      <c r="DX139" s="299">
        <v>45</v>
      </c>
      <c r="DY139" s="299">
        <v>45</v>
      </c>
      <c r="DZ139" s="299">
        <v>45</v>
      </c>
      <c r="EA139" s="299">
        <v>45</v>
      </c>
      <c r="EB139" s="299">
        <v>45</v>
      </c>
      <c r="EC139" s="299">
        <v>45</v>
      </c>
      <c r="ED139" s="299">
        <v>45</v>
      </c>
      <c r="EE139" s="299">
        <v>45</v>
      </c>
      <c r="EF139" s="299">
        <v>45</v>
      </c>
      <c r="EG139" s="299">
        <v>45</v>
      </c>
      <c r="EH139" s="299">
        <v>45</v>
      </c>
      <c r="EI139" s="299">
        <v>45</v>
      </c>
      <c r="EJ139" s="299">
        <v>45</v>
      </c>
      <c r="EK139" s="299">
        <v>45</v>
      </c>
      <c r="EL139" s="299">
        <v>45</v>
      </c>
      <c r="EM139" s="299">
        <v>45</v>
      </c>
      <c r="EN139" s="299">
        <v>45</v>
      </c>
      <c r="EO139" s="299">
        <v>45</v>
      </c>
      <c r="EP139" s="299">
        <v>45</v>
      </c>
      <c r="EQ139" s="299">
        <v>45</v>
      </c>
      <c r="ER139" s="299">
        <v>45</v>
      </c>
      <c r="ES139" s="299">
        <v>45</v>
      </c>
      <c r="ET139" s="299">
        <v>45</v>
      </c>
      <c r="EU139" s="299"/>
      <c r="EV139" s="299"/>
      <c r="EW139" s="299"/>
      <c r="EX139" s="299"/>
      <c r="EY139" s="299"/>
      <c r="EZ139" s="299"/>
      <c r="FA139" s="299"/>
      <c r="FB139" s="299"/>
      <c r="FC139" s="299"/>
      <c r="FD139" s="299"/>
      <c r="FE139" s="299"/>
      <c r="FF139" s="299"/>
      <c r="FG139" s="299"/>
      <c r="FH139" s="299"/>
      <c r="FI139" s="299"/>
      <c r="FJ139" s="299"/>
      <c r="FK139" s="299"/>
      <c r="FL139" s="299"/>
      <c r="FM139" s="299"/>
      <c r="FN139" s="299"/>
      <c r="FO139" s="299"/>
      <c r="FP139" s="299"/>
      <c r="FQ139" s="300" t="e">
        <f t="shared" ca="1" si="114"/>
        <v>#VALUE!</v>
      </c>
      <c r="FR139" s="300" t="e">
        <f t="shared" ca="1" si="137"/>
        <v>#VALUE!</v>
      </c>
      <c r="FS139" s="300" t="e">
        <f t="shared" ca="1" si="137"/>
        <v>#VALUE!</v>
      </c>
      <c r="FT139" s="300" t="e">
        <f t="shared" ca="1" si="137"/>
        <v>#VALUE!</v>
      </c>
      <c r="FU139" s="300" t="e">
        <f t="shared" ca="1" si="137"/>
        <v>#VALUE!</v>
      </c>
      <c r="FV139" s="300" t="e">
        <f t="shared" ca="1" si="137"/>
        <v>#VALUE!</v>
      </c>
      <c r="FW139" s="300" t="e">
        <f t="shared" ca="1" si="137"/>
        <v>#VALUE!</v>
      </c>
      <c r="FX139" s="300" t="e">
        <f t="shared" ca="1" si="137"/>
        <v>#VALUE!</v>
      </c>
      <c r="FY139" s="300" t="e">
        <f t="shared" ca="1" si="137"/>
        <v>#VALUE!</v>
      </c>
      <c r="FZ139" s="300" t="e">
        <f t="shared" ca="1" si="137"/>
        <v>#VALUE!</v>
      </c>
      <c r="GA139" s="301" t="e">
        <f t="shared" ca="1" si="137"/>
        <v>#VALUE!</v>
      </c>
      <c r="GB139" s="301" t="e">
        <f t="shared" ca="1" si="138"/>
        <v>#VALUE!</v>
      </c>
      <c r="GC139" s="301" t="e">
        <f t="shared" ca="1" si="138"/>
        <v>#VALUE!</v>
      </c>
      <c r="GD139" s="301" t="e">
        <f t="shared" ca="1" si="138"/>
        <v>#VALUE!</v>
      </c>
      <c r="GE139" s="301" t="e">
        <f t="shared" ca="1" si="138"/>
        <v>#VALUE!</v>
      </c>
      <c r="GF139" s="301" t="e">
        <f t="shared" ca="1" si="138"/>
        <v>#VALUE!</v>
      </c>
      <c r="GG139" s="301" t="e">
        <f t="shared" ca="1" si="138"/>
        <v>#VALUE!</v>
      </c>
      <c r="GH139" s="301" t="e">
        <f t="shared" ca="1" si="138"/>
        <v>#VALUE!</v>
      </c>
      <c r="GI139" s="301" t="e">
        <f t="shared" ca="1" si="138"/>
        <v>#VALUE!</v>
      </c>
      <c r="GJ139" s="301" t="e">
        <f t="shared" ca="1" si="138"/>
        <v>#VALUE!</v>
      </c>
      <c r="GK139" s="301" t="e">
        <f t="shared" ca="1" si="138"/>
        <v>#VALUE!</v>
      </c>
      <c r="GL139" s="301" t="e">
        <f t="shared" ca="1" si="138"/>
        <v>#VALUE!</v>
      </c>
      <c r="GM139" s="301" t="e">
        <f t="shared" ca="1" si="138"/>
        <v>#VALUE!</v>
      </c>
      <c r="GN139" s="302" t="e">
        <f t="shared" ca="1" si="138"/>
        <v>#VALUE!</v>
      </c>
      <c r="GO139" s="302" t="e">
        <f t="shared" ca="1" si="138"/>
        <v>#VALUE!</v>
      </c>
      <c r="GP139" s="301">
        <f t="shared" si="139"/>
        <v>90</v>
      </c>
      <c r="GQ139" s="301">
        <f t="shared" si="139"/>
        <v>180</v>
      </c>
      <c r="GR139" s="301">
        <f t="shared" si="139"/>
        <v>180</v>
      </c>
      <c r="GS139" s="301">
        <f t="shared" si="139"/>
        <v>180</v>
      </c>
      <c r="GT139" s="301">
        <f t="shared" si="139"/>
        <v>180</v>
      </c>
      <c r="GU139" s="303">
        <f t="shared" si="139"/>
        <v>180</v>
      </c>
      <c r="GV139" s="302">
        <f t="shared" si="139"/>
        <v>180</v>
      </c>
      <c r="GW139" s="302">
        <f t="shared" si="139"/>
        <v>135</v>
      </c>
      <c r="GX139" s="302">
        <f t="shared" si="139"/>
        <v>0</v>
      </c>
      <c r="GY139" s="302">
        <f t="shared" si="139"/>
        <v>0</v>
      </c>
      <c r="GZ139" s="302">
        <f t="shared" si="139"/>
        <v>0</v>
      </c>
      <c r="HA139" s="302">
        <f t="shared" si="139"/>
        <v>0</v>
      </c>
      <c r="HB139" s="302">
        <f t="shared" si="139"/>
        <v>0</v>
      </c>
      <c r="HC139" s="302">
        <f t="shared" si="139"/>
        <v>0</v>
      </c>
      <c r="HD139" s="302">
        <f t="shared" si="139"/>
        <v>0</v>
      </c>
      <c r="HE139" s="302">
        <f t="shared" si="139"/>
        <v>0</v>
      </c>
      <c r="HF139" s="304"/>
      <c r="HG139" s="305"/>
    </row>
    <row r="140" spans="1:215" s="306" customFormat="1" ht="15" customHeight="1">
      <c r="A140" s="344"/>
      <c r="B140" s="292" t="s">
        <v>348</v>
      </c>
      <c r="C140" s="292" t="s">
        <v>159</v>
      </c>
      <c r="D140" s="292" t="s">
        <v>159</v>
      </c>
      <c r="E140" s="292" t="s">
        <v>489</v>
      </c>
      <c r="F140" s="292" t="s">
        <v>184</v>
      </c>
      <c r="G140" s="292" t="s">
        <v>350</v>
      </c>
      <c r="H140" s="292" t="s">
        <v>473</v>
      </c>
      <c r="I140" s="292" t="s">
        <v>483</v>
      </c>
      <c r="J140" s="292" t="s">
        <v>184</v>
      </c>
      <c r="K140" s="292" t="s">
        <v>475</v>
      </c>
      <c r="L140" s="292" t="s">
        <v>476</v>
      </c>
      <c r="M140" s="292" t="s">
        <v>367</v>
      </c>
      <c r="N140" s="292" t="str">
        <f t="shared" si="129"/>
        <v>Security-Security</v>
      </c>
      <c r="O140" s="292" t="str">
        <f t="shared" si="130"/>
        <v>Cybersecurity Consultant-Intermediate-India-Technology</v>
      </c>
      <c r="P140" s="292" t="str">
        <f t="shared" si="131"/>
        <v>Security - Cybersecurity Consultant</v>
      </c>
      <c r="Q140" s="293">
        <f t="shared" si="140"/>
        <v>113400</v>
      </c>
      <c r="R140" s="294">
        <f t="shared" si="141"/>
        <v>0</v>
      </c>
      <c r="S140" s="295">
        <f t="shared" si="132"/>
        <v>1305</v>
      </c>
      <c r="T140" s="295">
        <f t="shared" si="142"/>
        <v>3240</v>
      </c>
      <c r="U140" s="296" t="str">
        <f t="shared" si="133"/>
        <v>Cybersecurity Consultant - Intermediate</v>
      </c>
      <c r="V140" s="295" t="str">
        <f t="shared" si="134"/>
        <v>3-6 years</v>
      </c>
      <c r="W140" s="292" t="str">
        <f t="shared" si="135"/>
        <v>Offshore</v>
      </c>
      <c r="X140" s="292" t="s">
        <v>259</v>
      </c>
      <c r="Y140" s="292" t="s">
        <v>484</v>
      </c>
      <c r="Z140" s="345" t="s">
        <v>239</v>
      </c>
      <c r="AA140" s="297">
        <f>[1]Resourcing!QD144</f>
        <v>156.72</v>
      </c>
      <c r="AB140" s="298">
        <f t="shared" si="136"/>
        <v>35</v>
      </c>
      <c r="AC140" s="299"/>
      <c r="AD140" s="299"/>
      <c r="AE140" s="299"/>
      <c r="AF140" s="299"/>
      <c r="AG140" s="299"/>
      <c r="AH140" s="299"/>
      <c r="AI140" s="299"/>
      <c r="AJ140" s="299"/>
      <c r="AK140" s="299"/>
      <c r="AL140" s="299"/>
      <c r="AM140" s="299"/>
      <c r="AN140" s="299"/>
      <c r="AO140" s="299"/>
      <c r="AP140" s="299"/>
      <c r="AQ140" s="299"/>
      <c r="AR140" s="299"/>
      <c r="AS140" s="299"/>
      <c r="AT140" s="299"/>
      <c r="AU140" s="299"/>
      <c r="AV140" s="299"/>
      <c r="AW140" s="299"/>
      <c r="AX140" s="299"/>
      <c r="AY140" s="299"/>
      <c r="AZ140" s="299"/>
      <c r="BA140" s="299"/>
      <c r="BB140" s="299"/>
      <c r="BC140" s="299"/>
      <c r="BD140" s="299"/>
      <c r="BE140" s="299"/>
      <c r="BF140" s="299"/>
      <c r="BG140" s="299"/>
      <c r="BH140" s="299"/>
      <c r="BI140" s="299"/>
      <c r="BJ140" s="299"/>
      <c r="BK140" s="299"/>
      <c r="BL140" s="299"/>
      <c r="BM140" s="299"/>
      <c r="BN140" s="299"/>
      <c r="BO140" s="299"/>
      <c r="BP140" s="299"/>
      <c r="BQ140" s="299"/>
      <c r="BR140" s="299"/>
      <c r="BS140" s="299"/>
      <c r="BT140" s="299"/>
      <c r="BU140" s="299"/>
      <c r="BV140" s="299"/>
      <c r="BW140" s="299"/>
      <c r="BX140" s="299"/>
      <c r="BY140" s="299">
        <v>45</v>
      </c>
      <c r="BZ140" s="299">
        <v>45</v>
      </c>
      <c r="CA140" s="299">
        <v>45</v>
      </c>
      <c r="CB140" s="299">
        <v>45</v>
      </c>
      <c r="CC140" s="299">
        <v>45</v>
      </c>
      <c r="CD140" s="299">
        <v>45</v>
      </c>
      <c r="CE140" s="299">
        <v>45</v>
      </c>
      <c r="CF140" s="299">
        <v>45</v>
      </c>
      <c r="CG140" s="299">
        <v>45</v>
      </c>
      <c r="CH140" s="299">
        <v>45</v>
      </c>
      <c r="CI140" s="299">
        <v>45</v>
      </c>
      <c r="CJ140" s="299">
        <v>45</v>
      </c>
      <c r="CK140" s="299">
        <v>45</v>
      </c>
      <c r="CL140" s="299">
        <v>45</v>
      </c>
      <c r="CM140" s="299">
        <v>45</v>
      </c>
      <c r="CN140" s="299">
        <v>45</v>
      </c>
      <c r="CO140" s="299">
        <v>45</v>
      </c>
      <c r="CP140" s="299">
        <v>45</v>
      </c>
      <c r="CQ140" s="299">
        <v>45</v>
      </c>
      <c r="CR140" s="299">
        <v>45</v>
      </c>
      <c r="CS140" s="299">
        <v>45</v>
      </c>
      <c r="CT140" s="299">
        <v>45</v>
      </c>
      <c r="CU140" s="299">
        <v>45</v>
      </c>
      <c r="CV140" s="299">
        <v>45</v>
      </c>
      <c r="CW140" s="299">
        <v>45</v>
      </c>
      <c r="CX140" s="299">
        <v>45</v>
      </c>
      <c r="CY140" s="299">
        <v>45</v>
      </c>
      <c r="CZ140" s="299">
        <v>45</v>
      </c>
      <c r="DA140" s="299">
        <v>45</v>
      </c>
      <c r="DB140" s="299">
        <v>45</v>
      </c>
      <c r="DC140" s="299">
        <v>45</v>
      </c>
      <c r="DD140" s="299">
        <v>45</v>
      </c>
      <c r="DE140" s="299">
        <v>45</v>
      </c>
      <c r="DF140" s="299">
        <v>45</v>
      </c>
      <c r="DG140" s="299">
        <v>45</v>
      </c>
      <c r="DH140" s="299">
        <v>45</v>
      </c>
      <c r="DI140" s="299">
        <v>45</v>
      </c>
      <c r="DJ140" s="299">
        <v>45</v>
      </c>
      <c r="DK140" s="299">
        <v>45</v>
      </c>
      <c r="DL140" s="299">
        <v>45</v>
      </c>
      <c r="DM140" s="299">
        <v>45</v>
      </c>
      <c r="DN140" s="299">
        <v>45</v>
      </c>
      <c r="DO140" s="299">
        <v>45</v>
      </c>
      <c r="DP140" s="299">
        <v>45</v>
      </c>
      <c r="DQ140" s="299">
        <v>45</v>
      </c>
      <c r="DR140" s="299"/>
      <c r="DS140" s="299"/>
      <c r="DT140" s="299">
        <v>45</v>
      </c>
      <c r="DU140" s="299">
        <v>45</v>
      </c>
      <c r="DV140" s="299">
        <v>45</v>
      </c>
      <c r="DW140" s="299">
        <v>45</v>
      </c>
      <c r="DX140" s="299">
        <v>45</v>
      </c>
      <c r="DY140" s="299">
        <v>45</v>
      </c>
      <c r="DZ140" s="299">
        <v>45</v>
      </c>
      <c r="EA140" s="299">
        <v>45</v>
      </c>
      <c r="EB140" s="299">
        <v>45</v>
      </c>
      <c r="EC140" s="299">
        <v>45</v>
      </c>
      <c r="ED140" s="299">
        <v>45</v>
      </c>
      <c r="EE140" s="299">
        <v>45</v>
      </c>
      <c r="EF140" s="299">
        <v>45</v>
      </c>
      <c r="EG140" s="299">
        <v>45</v>
      </c>
      <c r="EH140" s="299">
        <v>45</v>
      </c>
      <c r="EI140" s="299">
        <v>45</v>
      </c>
      <c r="EJ140" s="299">
        <v>45</v>
      </c>
      <c r="EK140" s="299">
        <v>45</v>
      </c>
      <c r="EL140" s="299">
        <v>45</v>
      </c>
      <c r="EM140" s="299">
        <v>45</v>
      </c>
      <c r="EN140" s="299">
        <v>45</v>
      </c>
      <c r="EO140" s="299">
        <v>45</v>
      </c>
      <c r="EP140" s="299">
        <v>45</v>
      </c>
      <c r="EQ140" s="299">
        <v>45</v>
      </c>
      <c r="ER140" s="299">
        <v>45</v>
      </c>
      <c r="ES140" s="299">
        <v>45</v>
      </c>
      <c r="ET140" s="299">
        <v>45</v>
      </c>
      <c r="EU140" s="299"/>
      <c r="EV140" s="299"/>
      <c r="EW140" s="299"/>
      <c r="EX140" s="299"/>
      <c r="EY140" s="299"/>
      <c r="EZ140" s="299"/>
      <c r="FA140" s="299"/>
      <c r="FB140" s="299"/>
      <c r="FC140" s="299"/>
      <c r="FD140" s="299"/>
      <c r="FE140" s="299"/>
      <c r="FF140" s="299"/>
      <c r="FG140" s="299"/>
      <c r="FH140" s="299"/>
      <c r="FI140" s="299"/>
      <c r="FJ140" s="299"/>
      <c r="FK140" s="299"/>
      <c r="FL140" s="299"/>
      <c r="FM140" s="299"/>
      <c r="FN140" s="299"/>
      <c r="FO140" s="299"/>
      <c r="FP140" s="299"/>
      <c r="FQ140" s="300" t="e">
        <f t="shared" ca="1" si="114"/>
        <v>#VALUE!</v>
      </c>
      <c r="FR140" s="300" t="e">
        <f t="shared" ca="1" si="137"/>
        <v>#VALUE!</v>
      </c>
      <c r="FS140" s="300" t="e">
        <f t="shared" ca="1" si="137"/>
        <v>#VALUE!</v>
      </c>
      <c r="FT140" s="300" t="e">
        <f t="shared" ca="1" si="137"/>
        <v>#VALUE!</v>
      </c>
      <c r="FU140" s="300" t="e">
        <f t="shared" ca="1" si="137"/>
        <v>#VALUE!</v>
      </c>
      <c r="FV140" s="300" t="e">
        <f t="shared" ca="1" si="137"/>
        <v>#VALUE!</v>
      </c>
      <c r="FW140" s="300" t="e">
        <f t="shared" ca="1" si="137"/>
        <v>#VALUE!</v>
      </c>
      <c r="FX140" s="300" t="e">
        <f t="shared" ca="1" si="137"/>
        <v>#VALUE!</v>
      </c>
      <c r="FY140" s="300" t="e">
        <f t="shared" ca="1" si="137"/>
        <v>#VALUE!</v>
      </c>
      <c r="FZ140" s="300" t="e">
        <f t="shared" ca="1" si="137"/>
        <v>#VALUE!</v>
      </c>
      <c r="GA140" s="301" t="e">
        <f t="shared" ca="1" si="137"/>
        <v>#VALUE!</v>
      </c>
      <c r="GB140" s="301" t="e">
        <f t="shared" ca="1" si="138"/>
        <v>#VALUE!</v>
      </c>
      <c r="GC140" s="301" t="e">
        <f t="shared" ca="1" si="138"/>
        <v>#VALUE!</v>
      </c>
      <c r="GD140" s="301" t="e">
        <f t="shared" ca="1" si="138"/>
        <v>#VALUE!</v>
      </c>
      <c r="GE140" s="301" t="e">
        <f t="shared" ca="1" si="138"/>
        <v>#VALUE!</v>
      </c>
      <c r="GF140" s="301" t="e">
        <f t="shared" ca="1" si="138"/>
        <v>#VALUE!</v>
      </c>
      <c r="GG140" s="301" t="e">
        <f t="shared" ca="1" si="138"/>
        <v>#VALUE!</v>
      </c>
      <c r="GH140" s="301" t="e">
        <f t="shared" ca="1" si="138"/>
        <v>#VALUE!</v>
      </c>
      <c r="GI140" s="301" t="e">
        <f t="shared" ca="1" si="138"/>
        <v>#VALUE!</v>
      </c>
      <c r="GJ140" s="301" t="e">
        <f t="shared" ca="1" si="138"/>
        <v>#VALUE!</v>
      </c>
      <c r="GK140" s="301" t="e">
        <f t="shared" ca="1" si="138"/>
        <v>#VALUE!</v>
      </c>
      <c r="GL140" s="301" t="e">
        <f t="shared" ca="1" si="138"/>
        <v>#VALUE!</v>
      </c>
      <c r="GM140" s="301" t="e">
        <f t="shared" ca="1" si="138"/>
        <v>#VALUE!</v>
      </c>
      <c r="GN140" s="302" t="e">
        <f t="shared" ca="1" si="138"/>
        <v>#VALUE!</v>
      </c>
      <c r="GO140" s="302" t="e">
        <f t="shared" ca="1" si="138"/>
        <v>#VALUE!</v>
      </c>
      <c r="GP140" s="301">
        <f t="shared" si="139"/>
        <v>90</v>
      </c>
      <c r="GQ140" s="301">
        <f t="shared" si="139"/>
        <v>180</v>
      </c>
      <c r="GR140" s="301">
        <f t="shared" si="139"/>
        <v>180</v>
      </c>
      <c r="GS140" s="301">
        <f t="shared" si="139"/>
        <v>180</v>
      </c>
      <c r="GT140" s="301">
        <f t="shared" si="139"/>
        <v>180</v>
      </c>
      <c r="GU140" s="303">
        <f t="shared" si="139"/>
        <v>180</v>
      </c>
      <c r="GV140" s="302">
        <f t="shared" si="139"/>
        <v>180</v>
      </c>
      <c r="GW140" s="302">
        <f t="shared" si="139"/>
        <v>135</v>
      </c>
      <c r="GX140" s="302">
        <f t="shared" si="139"/>
        <v>0</v>
      </c>
      <c r="GY140" s="302">
        <f t="shared" si="139"/>
        <v>0</v>
      </c>
      <c r="GZ140" s="302">
        <f t="shared" si="139"/>
        <v>0</v>
      </c>
      <c r="HA140" s="302">
        <f t="shared" si="139"/>
        <v>0</v>
      </c>
      <c r="HB140" s="302">
        <f t="shared" si="139"/>
        <v>0</v>
      </c>
      <c r="HC140" s="302">
        <f t="shared" si="139"/>
        <v>0</v>
      </c>
      <c r="HD140" s="302">
        <f t="shared" si="139"/>
        <v>0</v>
      </c>
      <c r="HE140" s="302">
        <f t="shared" si="139"/>
        <v>0</v>
      </c>
      <c r="HF140" s="304"/>
      <c r="HG140" s="305"/>
    </row>
    <row r="141" spans="1:215" s="306" customFormat="1" ht="15" customHeight="1">
      <c r="A141" s="344"/>
      <c r="B141" s="292" t="s">
        <v>348</v>
      </c>
      <c r="C141" s="292" t="s">
        <v>159</v>
      </c>
      <c r="D141" s="292" t="s">
        <v>159</v>
      </c>
      <c r="E141" s="308" t="s">
        <v>489</v>
      </c>
      <c r="F141" s="292" t="s">
        <v>186</v>
      </c>
      <c r="G141" s="292" t="s">
        <v>350</v>
      </c>
      <c r="H141" s="292" t="s">
        <v>473</v>
      </c>
      <c r="I141" s="292" t="s">
        <v>474</v>
      </c>
      <c r="J141" s="292" t="s">
        <v>186</v>
      </c>
      <c r="K141" s="292" t="s">
        <v>353</v>
      </c>
      <c r="L141" s="292" t="s">
        <v>480</v>
      </c>
      <c r="M141" s="292" t="s">
        <v>490</v>
      </c>
      <c r="N141" s="292" t="str">
        <f t="shared" si="129"/>
        <v>Security-Security</v>
      </c>
      <c r="O141" s="292" t="str">
        <f t="shared" si="130"/>
        <v>Cybersecurity Consultant-Senior-US-Technology</v>
      </c>
      <c r="P141" s="292" t="str">
        <f t="shared" si="131"/>
        <v>Security - Cybersecurity Consultant</v>
      </c>
      <c r="Q141" s="293">
        <f t="shared" si="140"/>
        <v>348705</v>
      </c>
      <c r="R141" s="294">
        <f t="shared" si="141"/>
        <v>0</v>
      </c>
      <c r="S141" s="295">
        <f t="shared" si="132"/>
        <v>1305</v>
      </c>
      <c r="T141" s="295">
        <f t="shared" si="142"/>
        <v>1845</v>
      </c>
      <c r="U141" s="296" t="str">
        <f t="shared" si="133"/>
        <v>Cybersecurity Consultant - Senior</v>
      </c>
      <c r="V141" s="295" t="str">
        <f t="shared" si="134"/>
        <v>6-9 years</v>
      </c>
      <c r="W141" s="292" t="str">
        <f t="shared" si="135"/>
        <v>Onshore</v>
      </c>
      <c r="X141" s="292" t="s">
        <v>259</v>
      </c>
      <c r="Y141" s="292" t="s">
        <v>484</v>
      </c>
      <c r="Z141" s="345" t="s">
        <v>243</v>
      </c>
      <c r="AA141" s="297">
        <f>[1]Resourcing!QD145</f>
        <v>216.25954545454499</v>
      </c>
      <c r="AB141" s="298">
        <f t="shared" si="136"/>
        <v>189</v>
      </c>
      <c r="AC141" s="299"/>
      <c r="AD141" s="299"/>
      <c r="AE141" s="299"/>
      <c r="AF141" s="299"/>
      <c r="AG141" s="299"/>
      <c r="AH141" s="299"/>
      <c r="AI141" s="299"/>
      <c r="AJ141" s="299"/>
      <c r="AK141" s="299"/>
      <c r="AL141" s="299"/>
      <c r="AM141" s="299"/>
      <c r="AN141" s="299"/>
      <c r="AO141" s="299"/>
      <c r="AP141" s="299"/>
      <c r="AQ141" s="299"/>
      <c r="AR141" s="299"/>
      <c r="AS141" s="299"/>
      <c r="AT141" s="299"/>
      <c r="AU141" s="299"/>
      <c r="AV141" s="299"/>
      <c r="AW141" s="299"/>
      <c r="AX141" s="299"/>
      <c r="AY141" s="299"/>
      <c r="AZ141" s="299"/>
      <c r="BA141" s="299"/>
      <c r="BB141" s="299"/>
      <c r="BC141" s="299"/>
      <c r="BD141" s="299"/>
      <c r="BE141" s="346"/>
      <c r="BF141" s="346"/>
      <c r="BG141" s="346"/>
      <c r="BH141" s="346"/>
      <c r="BI141" s="346"/>
      <c r="BJ141" s="346"/>
      <c r="BK141" s="346"/>
      <c r="BL141" s="346"/>
      <c r="BM141" s="346"/>
      <c r="BN141" s="346"/>
      <c r="BO141" s="346"/>
      <c r="BP141" s="346"/>
      <c r="BQ141" s="346"/>
      <c r="BR141" s="346"/>
      <c r="BS141" s="346"/>
      <c r="BT141" s="346"/>
      <c r="BU141" s="346"/>
      <c r="BV141" s="346"/>
      <c r="BW141" s="346"/>
      <c r="BX141" s="346"/>
      <c r="BY141" s="346"/>
      <c r="BZ141" s="346"/>
      <c r="CA141" s="346"/>
      <c r="CB141" s="346"/>
      <c r="CC141" s="346"/>
      <c r="CD141" s="346"/>
      <c r="CE141" s="346"/>
      <c r="CF141" s="346"/>
      <c r="CG141" s="346"/>
      <c r="CH141" s="346"/>
      <c r="CI141" s="346"/>
      <c r="CJ141" s="346"/>
      <c r="CK141" s="346"/>
      <c r="CL141" s="346"/>
      <c r="CM141" s="346"/>
      <c r="CN141" s="346"/>
      <c r="CO141" s="346"/>
      <c r="CP141" s="346"/>
      <c r="CQ141" s="346"/>
      <c r="CR141" s="346"/>
      <c r="CS141" s="346"/>
      <c r="CT141" s="346"/>
      <c r="CU141" s="346"/>
      <c r="CV141" s="346"/>
      <c r="CW141" s="346"/>
      <c r="CX141" s="346"/>
      <c r="CY141" s="346"/>
      <c r="CZ141" s="346"/>
      <c r="DA141" s="346"/>
      <c r="DB141" s="346"/>
      <c r="DC141" s="346"/>
      <c r="DD141" s="346">
        <v>45</v>
      </c>
      <c r="DE141" s="346">
        <v>45</v>
      </c>
      <c r="DF141" s="346">
        <v>45</v>
      </c>
      <c r="DG141" s="346">
        <v>45</v>
      </c>
      <c r="DH141" s="346">
        <v>45</v>
      </c>
      <c r="DI141" s="346">
        <v>45</v>
      </c>
      <c r="DJ141" s="346">
        <v>45</v>
      </c>
      <c r="DK141" s="346">
        <v>45</v>
      </c>
      <c r="DL141" s="346">
        <v>45</v>
      </c>
      <c r="DM141" s="346">
        <v>45</v>
      </c>
      <c r="DN141" s="346">
        <v>45</v>
      </c>
      <c r="DO141" s="346">
        <v>45</v>
      </c>
      <c r="DP141" s="346">
        <v>45</v>
      </c>
      <c r="DQ141" s="346">
        <v>45</v>
      </c>
      <c r="DR141" s="346"/>
      <c r="DS141" s="346"/>
      <c r="DT141" s="346">
        <v>45</v>
      </c>
      <c r="DU141" s="346">
        <v>45</v>
      </c>
      <c r="DV141" s="346">
        <v>45</v>
      </c>
      <c r="DW141" s="346">
        <v>45</v>
      </c>
      <c r="DX141" s="346">
        <v>45</v>
      </c>
      <c r="DY141" s="346">
        <v>45</v>
      </c>
      <c r="DZ141" s="346">
        <v>45</v>
      </c>
      <c r="EA141" s="346">
        <v>45</v>
      </c>
      <c r="EB141" s="346">
        <v>45</v>
      </c>
      <c r="EC141" s="346">
        <v>45</v>
      </c>
      <c r="ED141" s="346">
        <v>45</v>
      </c>
      <c r="EE141" s="346">
        <v>45</v>
      </c>
      <c r="EF141" s="346">
        <v>45</v>
      </c>
      <c r="EG141" s="346">
        <v>45</v>
      </c>
      <c r="EH141" s="346">
        <v>45</v>
      </c>
      <c r="EI141" s="346">
        <v>45</v>
      </c>
      <c r="EJ141" s="346">
        <v>45</v>
      </c>
      <c r="EK141" s="346">
        <v>45</v>
      </c>
      <c r="EL141" s="346">
        <v>45</v>
      </c>
      <c r="EM141" s="346">
        <v>45</v>
      </c>
      <c r="EN141" s="346">
        <v>45</v>
      </c>
      <c r="EO141" s="346">
        <v>45</v>
      </c>
      <c r="EP141" s="346">
        <v>45</v>
      </c>
      <c r="EQ141" s="346">
        <v>45</v>
      </c>
      <c r="ER141" s="346">
        <v>45</v>
      </c>
      <c r="ES141" s="346">
        <v>45</v>
      </c>
      <c r="ET141" s="346">
        <v>45</v>
      </c>
      <c r="EU141" s="299"/>
      <c r="EV141" s="299"/>
      <c r="EW141" s="299"/>
      <c r="EX141" s="299"/>
      <c r="EY141" s="299"/>
      <c r="EZ141" s="299"/>
      <c r="FA141" s="299"/>
      <c r="FB141" s="299"/>
      <c r="FC141" s="299"/>
      <c r="FD141" s="299"/>
      <c r="FE141" s="299"/>
      <c r="FF141" s="299"/>
      <c r="FG141" s="299"/>
      <c r="FH141" s="299"/>
      <c r="FI141" s="299"/>
      <c r="FJ141" s="299"/>
      <c r="FK141" s="299"/>
      <c r="FL141" s="299"/>
      <c r="FM141" s="299"/>
      <c r="FN141" s="299"/>
      <c r="FO141" s="299"/>
      <c r="FP141" s="299"/>
      <c r="FQ141" s="300" t="e">
        <f t="shared" ca="1" si="114"/>
        <v>#VALUE!</v>
      </c>
      <c r="FR141" s="300" t="e">
        <f t="shared" ca="1" si="137"/>
        <v>#VALUE!</v>
      </c>
      <c r="FS141" s="300" t="e">
        <f t="shared" ca="1" si="137"/>
        <v>#VALUE!</v>
      </c>
      <c r="FT141" s="300" t="e">
        <f t="shared" ca="1" si="137"/>
        <v>#VALUE!</v>
      </c>
      <c r="FU141" s="300" t="e">
        <f t="shared" ca="1" si="137"/>
        <v>#VALUE!</v>
      </c>
      <c r="FV141" s="300" t="e">
        <f t="shared" ca="1" si="137"/>
        <v>#VALUE!</v>
      </c>
      <c r="FW141" s="300" t="e">
        <f t="shared" ca="1" si="137"/>
        <v>#VALUE!</v>
      </c>
      <c r="FX141" s="300" t="e">
        <f t="shared" ca="1" si="137"/>
        <v>#VALUE!</v>
      </c>
      <c r="FY141" s="300" t="e">
        <f t="shared" ca="1" si="137"/>
        <v>#VALUE!</v>
      </c>
      <c r="FZ141" s="300" t="e">
        <f t="shared" ca="1" si="137"/>
        <v>#VALUE!</v>
      </c>
      <c r="GA141" s="301" t="e">
        <f t="shared" ca="1" si="137"/>
        <v>#VALUE!</v>
      </c>
      <c r="GB141" s="301" t="e">
        <f t="shared" ca="1" si="138"/>
        <v>#VALUE!</v>
      </c>
      <c r="GC141" s="301" t="e">
        <f t="shared" ca="1" si="138"/>
        <v>#VALUE!</v>
      </c>
      <c r="GD141" s="301" t="e">
        <f t="shared" ca="1" si="138"/>
        <v>#VALUE!</v>
      </c>
      <c r="GE141" s="301" t="e">
        <f t="shared" ca="1" si="138"/>
        <v>#VALUE!</v>
      </c>
      <c r="GF141" s="301" t="e">
        <f t="shared" ca="1" si="138"/>
        <v>#VALUE!</v>
      </c>
      <c r="GG141" s="301" t="e">
        <f t="shared" ca="1" si="138"/>
        <v>#VALUE!</v>
      </c>
      <c r="GH141" s="301" t="e">
        <f t="shared" ca="1" si="138"/>
        <v>#VALUE!</v>
      </c>
      <c r="GI141" s="301" t="e">
        <f t="shared" ca="1" si="138"/>
        <v>#VALUE!</v>
      </c>
      <c r="GJ141" s="301" t="e">
        <f t="shared" ca="1" si="138"/>
        <v>#VALUE!</v>
      </c>
      <c r="GK141" s="301" t="e">
        <f t="shared" ca="1" si="138"/>
        <v>#VALUE!</v>
      </c>
      <c r="GL141" s="301" t="e">
        <f t="shared" ca="1" si="138"/>
        <v>#VALUE!</v>
      </c>
      <c r="GM141" s="301" t="e">
        <f t="shared" ca="1" si="138"/>
        <v>#VALUE!</v>
      </c>
      <c r="GN141" s="302" t="e">
        <f t="shared" ca="1" si="138"/>
        <v>#VALUE!</v>
      </c>
      <c r="GO141" s="302" t="e">
        <f t="shared" ca="1" si="138"/>
        <v>#VALUE!</v>
      </c>
      <c r="GP141" s="301">
        <f t="shared" si="139"/>
        <v>90</v>
      </c>
      <c r="GQ141" s="301">
        <f t="shared" si="139"/>
        <v>180</v>
      </c>
      <c r="GR141" s="301">
        <f t="shared" si="139"/>
        <v>180</v>
      </c>
      <c r="GS141" s="301">
        <f t="shared" si="139"/>
        <v>180</v>
      </c>
      <c r="GT141" s="301">
        <f t="shared" si="139"/>
        <v>180</v>
      </c>
      <c r="GU141" s="303">
        <f t="shared" si="139"/>
        <v>180</v>
      </c>
      <c r="GV141" s="302">
        <f t="shared" si="139"/>
        <v>180</v>
      </c>
      <c r="GW141" s="302">
        <f t="shared" si="139"/>
        <v>135</v>
      </c>
      <c r="GX141" s="302">
        <f t="shared" si="139"/>
        <v>0</v>
      </c>
      <c r="GY141" s="302">
        <f t="shared" si="139"/>
        <v>0</v>
      </c>
      <c r="GZ141" s="302">
        <f t="shared" si="139"/>
        <v>0</v>
      </c>
      <c r="HA141" s="302">
        <f t="shared" si="139"/>
        <v>0</v>
      </c>
      <c r="HB141" s="302">
        <f t="shared" si="139"/>
        <v>0</v>
      </c>
      <c r="HC141" s="302">
        <f t="shared" si="139"/>
        <v>0</v>
      </c>
      <c r="HD141" s="302">
        <f t="shared" si="139"/>
        <v>0</v>
      </c>
      <c r="HE141" s="302">
        <f t="shared" si="139"/>
        <v>0</v>
      </c>
      <c r="HF141" s="304"/>
      <c r="HG141" s="305"/>
    </row>
    <row r="142" spans="1:215" s="306" customFormat="1" ht="15" customHeight="1">
      <c r="A142" s="344"/>
      <c r="B142" s="292" t="s">
        <v>348</v>
      </c>
      <c r="C142" s="292" t="s">
        <v>159</v>
      </c>
      <c r="D142" s="292" t="s">
        <v>159</v>
      </c>
      <c r="E142" s="292" t="s">
        <v>479</v>
      </c>
      <c r="F142" s="292" t="s">
        <v>186</v>
      </c>
      <c r="G142" s="292" t="s">
        <v>350</v>
      </c>
      <c r="H142" s="292" t="s">
        <v>473</v>
      </c>
      <c r="I142" s="292" t="s">
        <v>474</v>
      </c>
      <c r="J142" s="292" t="s">
        <v>186</v>
      </c>
      <c r="K142" s="292" t="s">
        <v>353</v>
      </c>
      <c r="L142" s="292" t="s">
        <v>480</v>
      </c>
      <c r="M142" s="292" t="s">
        <v>481</v>
      </c>
      <c r="N142" s="292" t="str">
        <f t="shared" si="129"/>
        <v>Security-Security</v>
      </c>
      <c r="O142" s="292" t="str">
        <f t="shared" si="130"/>
        <v>Cyber Security -Manager-US-Consulting</v>
      </c>
      <c r="P142" s="292" t="str">
        <f t="shared" si="131"/>
        <v xml:space="preserve">Security - Cyber Security </v>
      </c>
      <c r="Q142" s="293">
        <f t="shared" si="140"/>
        <v>126000</v>
      </c>
      <c r="R142" s="294">
        <f t="shared" si="141"/>
        <v>126000</v>
      </c>
      <c r="S142" s="295">
        <f t="shared" si="132"/>
        <v>0</v>
      </c>
      <c r="T142" s="295">
        <f t="shared" si="142"/>
        <v>400</v>
      </c>
      <c r="U142" s="296" t="str">
        <f t="shared" si="133"/>
        <v>Cyber Security  - Manager</v>
      </c>
      <c r="V142" s="295" t="str">
        <f t="shared" si="134"/>
        <v>5-7 years</v>
      </c>
      <c r="W142" s="292" t="str">
        <f t="shared" si="135"/>
        <v>Onshore</v>
      </c>
      <c r="X142" s="292" t="s">
        <v>261</v>
      </c>
      <c r="Y142" s="292" t="s">
        <v>477</v>
      </c>
      <c r="Z142" s="345" t="s">
        <v>376</v>
      </c>
      <c r="AA142" s="297">
        <f>[1]Resourcing!QD146</f>
        <v>163.68</v>
      </c>
      <c r="AB142" s="298">
        <f t="shared" si="136"/>
        <v>315</v>
      </c>
      <c r="AC142" s="299"/>
      <c r="AD142" s="299"/>
      <c r="AE142" s="299"/>
      <c r="AF142" s="299"/>
      <c r="AG142" s="299"/>
      <c r="AH142" s="299"/>
      <c r="AI142" s="299"/>
      <c r="AJ142" s="299"/>
      <c r="AK142" s="299"/>
      <c r="AL142" s="299"/>
      <c r="AM142" s="299"/>
      <c r="AN142" s="299"/>
      <c r="AO142" s="299"/>
      <c r="AP142" s="299"/>
      <c r="AQ142" s="299"/>
      <c r="AR142" s="299"/>
      <c r="AS142" s="299"/>
      <c r="AT142" s="299"/>
      <c r="AU142" s="299"/>
      <c r="AV142" s="299"/>
      <c r="AW142" s="299"/>
      <c r="AX142" s="299"/>
      <c r="AY142" s="299"/>
      <c r="AZ142" s="299"/>
      <c r="BA142" s="299"/>
      <c r="BB142" s="299"/>
      <c r="BC142" s="299"/>
      <c r="BD142" s="299"/>
      <c r="BE142" s="299">
        <v>40</v>
      </c>
      <c r="BF142" s="299">
        <v>40</v>
      </c>
      <c r="BG142" s="299">
        <v>40</v>
      </c>
      <c r="BH142" s="299">
        <v>40</v>
      </c>
      <c r="BI142" s="299">
        <v>40</v>
      </c>
      <c r="BJ142" s="299">
        <v>40</v>
      </c>
      <c r="BK142" s="299">
        <v>40</v>
      </c>
      <c r="BL142" s="299">
        <v>40</v>
      </c>
      <c r="BM142" s="299">
        <v>40</v>
      </c>
      <c r="BN142" s="299">
        <v>40</v>
      </c>
      <c r="BO142" s="299"/>
      <c r="BP142" s="299"/>
      <c r="BQ142" s="299"/>
      <c r="BR142" s="299"/>
      <c r="BS142" s="299"/>
      <c r="BT142" s="299"/>
      <c r="BU142" s="299"/>
      <c r="BV142" s="299"/>
      <c r="BW142" s="299"/>
      <c r="BX142" s="299"/>
      <c r="BY142" s="299"/>
      <c r="BZ142" s="299"/>
      <c r="CA142" s="299"/>
      <c r="CB142" s="299"/>
      <c r="CC142" s="299"/>
      <c r="CD142" s="299"/>
      <c r="CE142" s="299"/>
      <c r="CF142" s="299"/>
      <c r="CG142" s="299"/>
      <c r="CH142" s="299"/>
      <c r="CI142" s="299"/>
      <c r="CJ142" s="299"/>
      <c r="CK142" s="299"/>
      <c r="CL142" s="299"/>
      <c r="CM142" s="299"/>
      <c r="CN142" s="299"/>
      <c r="CO142" s="299"/>
      <c r="CP142" s="299"/>
      <c r="CQ142" s="299"/>
      <c r="CR142" s="299"/>
      <c r="CS142" s="299"/>
      <c r="CT142" s="299"/>
      <c r="CU142" s="299"/>
      <c r="CV142" s="299"/>
      <c r="CW142" s="299"/>
      <c r="CX142" s="299"/>
      <c r="CY142" s="299"/>
      <c r="CZ142" s="299"/>
      <c r="DA142" s="299"/>
      <c r="DB142" s="299"/>
      <c r="DC142" s="299"/>
      <c r="DD142" s="299"/>
      <c r="DE142" s="299"/>
      <c r="DF142" s="299"/>
      <c r="DG142" s="299"/>
      <c r="DH142" s="292"/>
      <c r="DI142" s="292"/>
      <c r="DJ142" s="292"/>
      <c r="DK142" s="292"/>
      <c r="DL142" s="299"/>
      <c r="DM142" s="299"/>
      <c r="DN142" s="299"/>
      <c r="DO142" s="299"/>
      <c r="DP142" s="299"/>
      <c r="DQ142" s="299"/>
      <c r="DR142" s="299"/>
      <c r="DS142" s="299"/>
      <c r="DT142" s="299"/>
      <c r="DU142" s="299"/>
      <c r="DV142" s="299"/>
      <c r="DW142" s="299"/>
      <c r="DX142" s="299"/>
      <c r="DY142" s="299"/>
      <c r="DZ142" s="299"/>
      <c r="EA142" s="299"/>
      <c r="EB142" s="299"/>
      <c r="EC142" s="299"/>
      <c r="ED142" s="299"/>
      <c r="EE142" s="299"/>
      <c r="EF142" s="299"/>
      <c r="EG142" s="299"/>
      <c r="EH142" s="299"/>
      <c r="EI142" s="299"/>
      <c r="EJ142" s="299"/>
      <c r="EK142" s="299"/>
      <c r="EL142" s="299"/>
      <c r="EM142" s="299"/>
      <c r="EN142" s="299"/>
      <c r="EO142" s="299"/>
      <c r="EP142" s="299"/>
      <c r="EQ142" s="299"/>
      <c r="ER142" s="299"/>
      <c r="ES142" s="299"/>
      <c r="ET142" s="299"/>
      <c r="EU142" s="299"/>
      <c r="EV142" s="299"/>
      <c r="EW142" s="299"/>
      <c r="EX142" s="299"/>
      <c r="EY142" s="299"/>
      <c r="EZ142" s="299"/>
      <c r="FA142" s="299"/>
      <c r="FB142" s="299"/>
      <c r="FC142" s="299"/>
      <c r="FD142" s="299"/>
      <c r="FE142" s="299"/>
      <c r="FF142" s="299"/>
      <c r="FG142" s="299"/>
      <c r="FH142" s="299"/>
      <c r="FI142" s="299"/>
      <c r="FJ142" s="299"/>
      <c r="FK142" s="299"/>
      <c r="FL142" s="299"/>
      <c r="FM142" s="299"/>
      <c r="FN142" s="299"/>
      <c r="FO142" s="299"/>
      <c r="FP142" s="299"/>
      <c r="FQ142" s="300" t="e">
        <f t="shared" ref="FQ142:FQ173" ca="1" si="143">SUMIF($AC$11:$FP$11,FQ$12,$AC142:$FP142)</f>
        <v>#VALUE!</v>
      </c>
      <c r="FR142" s="300" t="e">
        <f t="shared" ca="1" si="137"/>
        <v>#VALUE!</v>
      </c>
      <c r="FS142" s="300" t="e">
        <f t="shared" ca="1" si="137"/>
        <v>#VALUE!</v>
      </c>
      <c r="FT142" s="300" t="e">
        <f t="shared" ca="1" si="137"/>
        <v>#VALUE!</v>
      </c>
      <c r="FU142" s="300" t="e">
        <f t="shared" ca="1" si="137"/>
        <v>#VALUE!</v>
      </c>
      <c r="FV142" s="300" t="e">
        <f t="shared" ca="1" si="137"/>
        <v>#VALUE!</v>
      </c>
      <c r="FW142" s="300" t="e">
        <f t="shared" ca="1" si="137"/>
        <v>#VALUE!</v>
      </c>
      <c r="FX142" s="300" t="e">
        <f t="shared" ca="1" si="137"/>
        <v>#VALUE!</v>
      </c>
      <c r="FY142" s="300" t="e">
        <f t="shared" ca="1" si="137"/>
        <v>#VALUE!</v>
      </c>
      <c r="FZ142" s="300" t="e">
        <f t="shared" ca="1" si="137"/>
        <v>#VALUE!</v>
      </c>
      <c r="GA142" s="301" t="e">
        <f t="shared" ca="1" si="137"/>
        <v>#VALUE!</v>
      </c>
      <c r="GB142" s="301" t="e">
        <f t="shared" ca="1" si="138"/>
        <v>#VALUE!</v>
      </c>
      <c r="GC142" s="301" t="e">
        <f t="shared" ca="1" si="138"/>
        <v>#VALUE!</v>
      </c>
      <c r="GD142" s="301" t="e">
        <f t="shared" ca="1" si="138"/>
        <v>#VALUE!</v>
      </c>
      <c r="GE142" s="301" t="e">
        <f t="shared" ca="1" si="138"/>
        <v>#VALUE!</v>
      </c>
      <c r="GF142" s="301" t="e">
        <f t="shared" ca="1" si="138"/>
        <v>#VALUE!</v>
      </c>
      <c r="GG142" s="301" t="e">
        <f t="shared" ca="1" si="138"/>
        <v>#VALUE!</v>
      </c>
      <c r="GH142" s="301" t="e">
        <f t="shared" ca="1" si="138"/>
        <v>#VALUE!</v>
      </c>
      <c r="GI142" s="301" t="e">
        <f t="shared" ca="1" si="138"/>
        <v>#VALUE!</v>
      </c>
      <c r="GJ142" s="301" t="e">
        <f t="shared" ca="1" si="138"/>
        <v>#VALUE!</v>
      </c>
      <c r="GK142" s="301" t="e">
        <f t="shared" ca="1" si="138"/>
        <v>#VALUE!</v>
      </c>
      <c r="GL142" s="301" t="e">
        <f t="shared" ca="1" si="138"/>
        <v>#VALUE!</v>
      </c>
      <c r="GM142" s="301" t="e">
        <f t="shared" ca="1" si="138"/>
        <v>#VALUE!</v>
      </c>
      <c r="GN142" s="302" t="e">
        <f t="shared" ca="1" si="138"/>
        <v>#VALUE!</v>
      </c>
      <c r="GO142" s="302" t="e">
        <f t="shared" ca="1" si="138"/>
        <v>#VALUE!</v>
      </c>
      <c r="GP142" s="301">
        <f t="shared" si="139"/>
        <v>0</v>
      </c>
      <c r="GQ142" s="301">
        <f t="shared" si="139"/>
        <v>0</v>
      </c>
      <c r="GR142" s="301">
        <f t="shared" si="139"/>
        <v>0</v>
      </c>
      <c r="GS142" s="301">
        <f t="shared" si="139"/>
        <v>0</v>
      </c>
      <c r="GT142" s="301">
        <f t="shared" si="139"/>
        <v>0</v>
      </c>
      <c r="GU142" s="303">
        <f t="shared" si="139"/>
        <v>0</v>
      </c>
      <c r="GV142" s="302">
        <f t="shared" si="139"/>
        <v>0</v>
      </c>
      <c r="GW142" s="302">
        <f t="shared" si="139"/>
        <v>0</v>
      </c>
      <c r="GX142" s="302">
        <f t="shared" si="139"/>
        <v>0</v>
      </c>
      <c r="GY142" s="302">
        <f t="shared" si="139"/>
        <v>0</v>
      </c>
      <c r="GZ142" s="302">
        <f t="shared" si="139"/>
        <v>0</v>
      </c>
      <c r="HA142" s="302">
        <f t="shared" si="139"/>
        <v>0</v>
      </c>
      <c r="HB142" s="302">
        <f t="shared" si="139"/>
        <v>0</v>
      </c>
      <c r="HC142" s="302">
        <f t="shared" si="139"/>
        <v>0</v>
      </c>
      <c r="HD142" s="302">
        <f t="shared" si="139"/>
        <v>0</v>
      </c>
      <c r="HE142" s="302">
        <f t="shared" si="139"/>
        <v>0</v>
      </c>
      <c r="HF142" s="304"/>
      <c r="HG142" s="305"/>
    </row>
    <row r="143" spans="1:215" s="306" customFormat="1" ht="15" customHeight="1">
      <c r="A143" s="291"/>
      <c r="B143" s="292"/>
      <c r="C143" s="292"/>
      <c r="D143" s="292"/>
      <c r="E143" s="292"/>
      <c r="F143" s="292"/>
      <c r="G143" s="292"/>
      <c r="H143" s="292"/>
      <c r="I143" s="292"/>
      <c r="J143" s="292"/>
      <c r="K143" s="292"/>
      <c r="L143" s="292"/>
      <c r="M143" s="292"/>
      <c r="N143" s="292"/>
      <c r="O143" s="292"/>
      <c r="P143" s="292"/>
      <c r="Q143" s="293">
        <f t="shared" si="140"/>
        <v>0</v>
      </c>
      <c r="R143" s="294">
        <f t="shared" si="141"/>
        <v>0</v>
      </c>
      <c r="S143" s="295"/>
      <c r="T143" s="295">
        <f t="shared" si="142"/>
        <v>0</v>
      </c>
      <c r="U143" s="296">
        <f>V143*AB143</f>
        <v>0</v>
      </c>
      <c r="V143" s="295">
        <f>SUM(GP143:HN143)</f>
        <v>0</v>
      </c>
      <c r="W143" s="292" t="str">
        <f>_xlfn.CONCAT(Y143,"-",Z143,"-",F143,"-",X143)</f>
        <v>---</v>
      </c>
      <c r="X143" s="292"/>
      <c r="Y143" s="292"/>
      <c r="Z143" s="345"/>
      <c r="AA143" s="297">
        <f>[1]Resourcing!QD147</f>
        <v>139.911666666667</v>
      </c>
      <c r="AB143" s="298"/>
      <c r="AC143" s="299"/>
      <c r="AD143" s="299"/>
      <c r="AE143" s="299"/>
      <c r="AF143" s="299"/>
      <c r="AG143" s="299"/>
      <c r="AH143" s="299"/>
      <c r="AI143" s="299"/>
      <c r="AJ143" s="299"/>
      <c r="AK143" s="299"/>
      <c r="AL143" s="299"/>
      <c r="AM143" s="299"/>
      <c r="AN143" s="299"/>
      <c r="AO143" s="299"/>
      <c r="AP143" s="299"/>
      <c r="AQ143" s="299"/>
      <c r="AR143" s="299"/>
      <c r="AS143" s="299"/>
      <c r="AT143" s="299"/>
      <c r="AU143" s="299"/>
      <c r="AV143" s="299"/>
      <c r="AW143" s="299"/>
      <c r="AX143" s="299"/>
      <c r="AY143" s="299"/>
      <c r="AZ143" s="299"/>
      <c r="BA143" s="299"/>
      <c r="BB143" s="299"/>
      <c r="BC143" s="299"/>
      <c r="BD143" s="299"/>
      <c r="BE143" s="299"/>
      <c r="BF143" s="299"/>
      <c r="BG143" s="299"/>
      <c r="BH143" s="299"/>
      <c r="BI143" s="299"/>
      <c r="BJ143" s="299"/>
      <c r="BK143" s="299"/>
      <c r="BL143" s="299"/>
      <c r="BM143" s="299"/>
      <c r="BN143" s="299"/>
      <c r="BO143" s="299"/>
      <c r="BP143" s="299"/>
      <c r="BQ143" s="299"/>
      <c r="BR143" s="299"/>
      <c r="BS143" s="299"/>
      <c r="BT143" s="299"/>
      <c r="BU143" s="299"/>
      <c r="BV143" s="299"/>
      <c r="BW143" s="299"/>
      <c r="BX143" s="299"/>
      <c r="BY143" s="299"/>
      <c r="BZ143" s="299"/>
      <c r="CA143" s="299"/>
      <c r="CB143" s="299"/>
      <c r="CC143" s="299"/>
      <c r="CD143" s="299"/>
      <c r="CE143" s="299"/>
      <c r="CF143" s="299"/>
      <c r="CG143" s="299"/>
      <c r="CH143" s="299"/>
      <c r="CI143" s="299"/>
      <c r="CJ143" s="299"/>
      <c r="CK143" s="299"/>
      <c r="CL143" s="299"/>
      <c r="CM143" s="299"/>
      <c r="CN143" s="299"/>
      <c r="CO143" s="299"/>
      <c r="CP143" s="299"/>
      <c r="CQ143" s="299"/>
      <c r="CR143" s="299"/>
      <c r="CS143" s="299"/>
      <c r="CT143" s="299"/>
      <c r="CU143" s="299"/>
      <c r="CV143" s="299"/>
      <c r="CW143" s="299"/>
      <c r="CX143" s="299"/>
      <c r="CY143" s="299"/>
      <c r="CZ143" s="299"/>
      <c r="DA143" s="299"/>
      <c r="DB143" s="299"/>
      <c r="DC143" s="299"/>
      <c r="DD143" s="299"/>
      <c r="DE143" s="299"/>
      <c r="DF143" s="299"/>
      <c r="DG143" s="299"/>
      <c r="DH143" s="292"/>
      <c r="DI143" s="292"/>
      <c r="DJ143" s="292"/>
      <c r="DK143" s="292"/>
      <c r="DL143" s="299"/>
      <c r="DM143" s="299"/>
      <c r="DN143" s="299"/>
      <c r="DO143" s="299"/>
      <c r="DP143" s="299"/>
      <c r="DQ143" s="299"/>
      <c r="DR143" s="299"/>
      <c r="DS143" s="299"/>
      <c r="DT143" s="299"/>
      <c r="DU143" s="299"/>
      <c r="DV143" s="299"/>
      <c r="DW143" s="299"/>
      <c r="DX143" s="299"/>
      <c r="DY143" s="299"/>
      <c r="DZ143" s="299"/>
      <c r="EA143" s="299"/>
      <c r="EB143" s="299"/>
      <c r="EC143" s="299"/>
      <c r="ED143" s="299"/>
      <c r="EE143" s="299"/>
      <c r="EF143" s="299"/>
      <c r="EG143" s="299"/>
      <c r="EH143" s="299"/>
      <c r="EI143" s="299"/>
      <c r="EJ143" s="299"/>
      <c r="EK143" s="299"/>
      <c r="EL143" s="299"/>
      <c r="EM143" s="299"/>
      <c r="EN143" s="299"/>
      <c r="EO143" s="299"/>
      <c r="EP143" s="299"/>
      <c r="EQ143" s="299"/>
      <c r="ER143" s="299"/>
      <c r="ES143" s="299"/>
      <c r="ET143" s="299"/>
      <c r="EU143" s="299"/>
      <c r="EV143" s="299"/>
      <c r="EW143" s="299"/>
      <c r="EX143" s="299"/>
      <c r="EY143" s="299"/>
      <c r="EZ143" s="299"/>
      <c r="FA143" s="299"/>
      <c r="FB143" s="299"/>
      <c r="FC143" s="299"/>
      <c r="FD143" s="299"/>
      <c r="FE143" s="299"/>
      <c r="FF143" s="299"/>
      <c r="FG143" s="299"/>
      <c r="FH143" s="299"/>
      <c r="FI143" s="299"/>
      <c r="FJ143" s="299"/>
      <c r="FK143" s="299"/>
      <c r="FL143" s="299"/>
      <c r="FM143" s="299"/>
      <c r="FN143" s="299"/>
      <c r="FO143" s="299"/>
      <c r="FP143" s="299"/>
      <c r="FQ143" s="300" t="e">
        <f t="shared" ca="1" si="143"/>
        <v>#VALUE!</v>
      </c>
      <c r="FR143" s="300" t="e">
        <f t="shared" ref="FR143:GA152" ca="1" si="144">SUMIF($AC$11:$FP$11,FR$12,$AC143:$FP143)</f>
        <v>#VALUE!</v>
      </c>
      <c r="FS143" s="300" t="e">
        <f t="shared" ca="1" si="144"/>
        <v>#VALUE!</v>
      </c>
      <c r="FT143" s="300" t="e">
        <f t="shared" ca="1" si="144"/>
        <v>#VALUE!</v>
      </c>
      <c r="FU143" s="300" t="e">
        <f t="shared" ca="1" si="144"/>
        <v>#VALUE!</v>
      </c>
      <c r="FV143" s="300" t="e">
        <f t="shared" ca="1" si="144"/>
        <v>#VALUE!</v>
      </c>
      <c r="FW143" s="300" t="e">
        <f t="shared" ca="1" si="144"/>
        <v>#VALUE!</v>
      </c>
      <c r="FX143" s="300" t="e">
        <f t="shared" ca="1" si="144"/>
        <v>#VALUE!</v>
      </c>
      <c r="FY143" s="300" t="e">
        <f t="shared" ca="1" si="144"/>
        <v>#VALUE!</v>
      </c>
      <c r="FZ143" s="300" t="e">
        <f t="shared" ca="1" si="144"/>
        <v>#VALUE!</v>
      </c>
      <c r="GA143" s="301" t="e">
        <f t="shared" ca="1" si="144"/>
        <v>#VALUE!</v>
      </c>
      <c r="GB143" s="301" t="e">
        <f t="shared" ref="GB143:GO152" ca="1" si="145">SUMIF($AC$11:$FP$11,GB$12,$AC143:$FP143)</f>
        <v>#VALUE!</v>
      </c>
      <c r="GC143" s="301" t="e">
        <f t="shared" ca="1" si="145"/>
        <v>#VALUE!</v>
      </c>
      <c r="GD143" s="301" t="e">
        <f t="shared" ca="1" si="145"/>
        <v>#VALUE!</v>
      </c>
      <c r="GE143" s="301" t="e">
        <f t="shared" ca="1" si="145"/>
        <v>#VALUE!</v>
      </c>
      <c r="GF143" s="301" t="e">
        <f t="shared" ca="1" si="145"/>
        <v>#VALUE!</v>
      </c>
      <c r="GG143" s="301" t="e">
        <f t="shared" ca="1" si="145"/>
        <v>#VALUE!</v>
      </c>
      <c r="GH143" s="301" t="e">
        <f t="shared" ca="1" si="145"/>
        <v>#VALUE!</v>
      </c>
      <c r="GI143" s="301" t="e">
        <f t="shared" ca="1" si="145"/>
        <v>#VALUE!</v>
      </c>
      <c r="GJ143" s="301" t="e">
        <f t="shared" ca="1" si="145"/>
        <v>#VALUE!</v>
      </c>
      <c r="GK143" s="301" t="e">
        <f t="shared" ca="1" si="145"/>
        <v>#VALUE!</v>
      </c>
      <c r="GL143" s="301" t="e">
        <f t="shared" ca="1" si="145"/>
        <v>#VALUE!</v>
      </c>
      <c r="GM143" s="301" t="e">
        <f t="shared" ca="1" si="145"/>
        <v>#VALUE!</v>
      </c>
      <c r="GN143" s="302" t="e">
        <f t="shared" ca="1" si="145"/>
        <v>#VALUE!</v>
      </c>
      <c r="GO143" s="302" t="e">
        <f t="shared" ca="1" si="145"/>
        <v>#VALUE!</v>
      </c>
      <c r="GP143" s="301">
        <f t="shared" si="139"/>
        <v>0</v>
      </c>
      <c r="GQ143" s="301">
        <f t="shared" si="139"/>
        <v>0</v>
      </c>
      <c r="GR143" s="301">
        <f t="shared" si="139"/>
        <v>0</v>
      </c>
      <c r="GS143" s="301">
        <f t="shared" si="139"/>
        <v>0</v>
      </c>
      <c r="GT143" s="301">
        <f t="shared" si="139"/>
        <v>0</v>
      </c>
      <c r="GU143" s="303">
        <f t="shared" si="139"/>
        <v>0</v>
      </c>
      <c r="GV143" s="302">
        <f t="shared" si="139"/>
        <v>0</v>
      </c>
      <c r="GW143" s="302">
        <f t="shared" si="139"/>
        <v>0</v>
      </c>
      <c r="GX143" s="302">
        <f t="shared" si="139"/>
        <v>0</v>
      </c>
      <c r="GY143" s="302">
        <f t="shared" si="139"/>
        <v>0</v>
      </c>
      <c r="GZ143" s="302">
        <f t="shared" si="139"/>
        <v>0</v>
      </c>
      <c r="HA143" s="302">
        <f t="shared" si="139"/>
        <v>0</v>
      </c>
      <c r="HB143" s="302">
        <f t="shared" si="139"/>
        <v>0</v>
      </c>
      <c r="HC143" s="302">
        <f t="shared" si="139"/>
        <v>0</v>
      </c>
      <c r="HD143" s="302">
        <f t="shared" si="139"/>
        <v>0</v>
      </c>
      <c r="HE143" s="302">
        <f t="shared" si="139"/>
        <v>0</v>
      </c>
      <c r="HF143" s="304"/>
      <c r="HG143" s="305"/>
    </row>
    <row r="144" spans="1:215" s="306" customFormat="1" ht="15" customHeight="1">
      <c r="A144" s="291"/>
      <c r="B144" s="292" t="s">
        <v>348</v>
      </c>
      <c r="C144" s="292" t="s">
        <v>117</v>
      </c>
      <c r="D144" s="292" t="s">
        <v>117</v>
      </c>
      <c r="E144" s="292" t="s">
        <v>491</v>
      </c>
      <c r="F144" s="292" t="s">
        <v>186</v>
      </c>
      <c r="G144" s="292" t="s">
        <v>350</v>
      </c>
      <c r="H144" s="292" t="s">
        <v>492</v>
      </c>
      <c r="I144" s="292" t="s">
        <v>493</v>
      </c>
      <c r="J144" s="292" t="s">
        <v>186</v>
      </c>
      <c r="K144" s="292" t="s">
        <v>475</v>
      </c>
      <c r="L144" s="292" t="s">
        <v>494</v>
      </c>
      <c r="M144" s="292" t="s">
        <v>355</v>
      </c>
      <c r="N144" s="292" t="str">
        <f t="shared" ref="N144:N169" si="146">_xlfn.CONCAT(C144,"-",D144)</f>
        <v>OCM-OCM</v>
      </c>
      <c r="O144" s="292" t="str">
        <f t="shared" ref="O144:O169" si="147">_xlfn.CONCAT(Y144,"-",Z144,"-",F144,"-",X144)</f>
        <v>Human Capital-Managing Director-US-Consulting</v>
      </c>
      <c r="P144" s="292" t="str">
        <f t="shared" ref="P144:P169" si="148">_xlfn.CONCAT(C144," - ",Y144)</f>
        <v>OCM - Human Capital</v>
      </c>
      <c r="Q144" s="293">
        <f t="shared" si="140"/>
        <v>42944</v>
      </c>
      <c r="R144" s="294">
        <f t="shared" si="141"/>
        <v>3904</v>
      </c>
      <c r="S144" s="295">
        <f t="shared" ref="S144:S169" si="149">SUM(GP144:HN144)</f>
        <v>29</v>
      </c>
      <c r="T144" s="295">
        <f t="shared" si="142"/>
        <v>88</v>
      </c>
      <c r="U144" s="296" t="str">
        <f t="shared" ref="U144:U169" si="150">_xlfn.CONCAT(Y144," - ",Z144)</f>
        <v>Human Capital - Managing Director</v>
      </c>
      <c r="V144" s="295" t="str">
        <f t="shared" ref="V144:V169" si="151">VLOOKUP(O144,$B$187:$H$848,4,0)</f>
        <v>10-15 years</v>
      </c>
      <c r="W144" s="292" t="str">
        <f t="shared" ref="W144:W169" si="152">IF(F144="US", "Onshore",IF(F144="India","Offshore", "Nearshore"))</f>
        <v>Onshore</v>
      </c>
      <c r="X144" s="292" t="s">
        <v>261</v>
      </c>
      <c r="Y144" s="292" t="s">
        <v>492</v>
      </c>
      <c r="Z144" s="292" t="s">
        <v>357</v>
      </c>
      <c r="AA144" s="297">
        <f>[1]Resourcing!QD148</f>
        <v>247.498536585366</v>
      </c>
      <c r="AB144" s="298">
        <f t="shared" ref="AB144:AB169" si="153">IFERROR(VLOOKUP(O144,$B$187:$S$848,6,FALSE()),"combination not found")</f>
        <v>488</v>
      </c>
      <c r="AC144" s="299"/>
      <c r="AD144" s="299"/>
      <c r="AE144" s="299"/>
      <c r="AF144" s="299"/>
      <c r="AG144" s="299"/>
      <c r="AH144" s="299"/>
      <c r="AI144" s="299"/>
      <c r="AJ144" s="299"/>
      <c r="AK144" s="299"/>
      <c r="AL144" s="299"/>
      <c r="AM144" s="299"/>
      <c r="AN144" s="299"/>
      <c r="AO144" s="299"/>
      <c r="AP144" s="299"/>
      <c r="AQ144" s="299"/>
      <c r="AR144" s="299"/>
      <c r="AS144" s="299"/>
      <c r="AT144" s="299"/>
      <c r="AU144" s="299"/>
      <c r="AV144" s="299"/>
      <c r="AW144" s="299"/>
      <c r="AX144" s="299"/>
      <c r="AY144" s="299"/>
      <c r="AZ144" s="299"/>
      <c r="BA144" s="299"/>
      <c r="BB144" s="299"/>
      <c r="BC144" s="299"/>
      <c r="BD144" s="299"/>
      <c r="BE144" s="299"/>
      <c r="BF144" s="299"/>
      <c r="BG144" s="299">
        <v>1</v>
      </c>
      <c r="BH144" s="299">
        <v>1</v>
      </c>
      <c r="BI144" s="299">
        <v>1</v>
      </c>
      <c r="BJ144" s="299">
        <v>1</v>
      </c>
      <c r="BK144" s="299">
        <v>1</v>
      </c>
      <c r="BL144" s="299">
        <v>1</v>
      </c>
      <c r="BM144" s="299">
        <v>1</v>
      </c>
      <c r="BN144" s="299">
        <v>1</v>
      </c>
      <c r="BO144" s="299">
        <v>1</v>
      </c>
      <c r="BP144" s="299">
        <v>1</v>
      </c>
      <c r="BQ144" s="299">
        <v>1</v>
      </c>
      <c r="BR144" s="299"/>
      <c r="BS144" s="299"/>
      <c r="BT144" s="299">
        <v>1</v>
      </c>
      <c r="BU144" s="299">
        <v>1</v>
      </c>
      <c r="BV144" s="299">
        <v>1</v>
      </c>
      <c r="BW144" s="299">
        <v>1</v>
      </c>
      <c r="BX144" s="299">
        <v>1</v>
      </c>
      <c r="BY144" s="299">
        <v>1</v>
      </c>
      <c r="BZ144" s="299">
        <v>1</v>
      </c>
      <c r="CA144" s="299">
        <v>1</v>
      </c>
      <c r="CB144" s="299">
        <v>1</v>
      </c>
      <c r="CC144" s="299">
        <v>1</v>
      </c>
      <c r="CD144" s="299">
        <v>1</v>
      </c>
      <c r="CE144" s="299">
        <v>1</v>
      </c>
      <c r="CF144" s="299">
        <v>1</v>
      </c>
      <c r="CG144" s="299">
        <v>1</v>
      </c>
      <c r="CH144" s="299">
        <v>1</v>
      </c>
      <c r="CI144" s="299">
        <v>1</v>
      </c>
      <c r="CJ144" s="299">
        <v>1</v>
      </c>
      <c r="CK144" s="299">
        <v>1</v>
      </c>
      <c r="CL144" s="299">
        <v>1</v>
      </c>
      <c r="CM144" s="299">
        <v>1</v>
      </c>
      <c r="CN144" s="299">
        <v>1</v>
      </c>
      <c r="CO144" s="299">
        <v>1</v>
      </c>
      <c r="CP144" s="299">
        <v>1</v>
      </c>
      <c r="CQ144" s="299">
        <v>1</v>
      </c>
      <c r="CR144" s="299">
        <v>1</v>
      </c>
      <c r="CS144" s="299">
        <v>1</v>
      </c>
      <c r="CT144" s="299">
        <v>1</v>
      </c>
      <c r="CU144" s="299">
        <v>1</v>
      </c>
      <c r="CV144" s="299">
        <v>1</v>
      </c>
      <c r="CW144" s="299">
        <v>1</v>
      </c>
      <c r="CX144" s="299">
        <v>1</v>
      </c>
      <c r="CY144" s="299">
        <v>1</v>
      </c>
      <c r="CZ144" s="299">
        <v>1</v>
      </c>
      <c r="DA144" s="299">
        <v>1</v>
      </c>
      <c r="DB144" s="299">
        <v>1</v>
      </c>
      <c r="DC144" s="299">
        <v>1</v>
      </c>
      <c r="DD144" s="299">
        <v>1</v>
      </c>
      <c r="DE144" s="299">
        <v>1</v>
      </c>
      <c r="DF144" s="299">
        <v>1</v>
      </c>
      <c r="DG144" s="299">
        <v>1</v>
      </c>
      <c r="DH144" s="299">
        <v>1</v>
      </c>
      <c r="DI144" s="299">
        <v>1</v>
      </c>
      <c r="DJ144" s="299">
        <v>1</v>
      </c>
      <c r="DK144" s="299">
        <v>1</v>
      </c>
      <c r="DL144" s="299">
        <v>1</v>
      </c>
      <c r="DM144" s="299">
        <v>1</v>
      </c>
      <c r="DN144" s="299">
        <v>1</v>
      </c>
      <c r="DO144" s="299">
        <v>1</v>
      </c>
      <c r="DP144" s="299">
        <v>1</v>
      </c>
      <c r="DQ144" s="299">
        <v>1</v>
      </c>
      <c r="DR144" s="299"/>
      <c r="DS144" s="299"/>
      <c r="DT144" s="299">
        <v>1</v>
      </c>
      <c r="DU144" s="299">
        <v>1</v>
      </c>
      <c r="DV144" s="299">
        <v>1</v>
      </c>
      <c r="DW144" s="299">
        <v>1</v>
      </c>
      <c r="DX144" s="299">
        <v>1</v>
      </c>
      <c r="DY144" s="299">
        <v>1</v>
      </c>
      <c r="DZ144" s="299">
        <v>1</v>
      </c>
      <c r="EA144" s="299">
        <v>1</v>
      </c>
      <c r="EB144" s="299">
        <v>1</v>
      </c>
      <c r="EC144" s="299">
        <v>1</v>
      </c>
      <c r="ED144" s="299">
        <v>1</v>
      </c>
      <c r="EE144" s="299">
        <v>1</v>
      </c>
      <c r="EF144" s="299">
        <v>1</v>
      </c>
      <c r="EG144" s="299">
        <v>1</v>
      </c>
      <c r="EH144" s="299">
        <v>1</v>
      </c>
      <c r="EI144" s="299">
        <v>1</v>
      </c>
      <c r="EJ144" s="299">
        <v>1</v>
      </c>
      <c r="EK144" s="299">
        <v>1</v>
      </c>
      <c r="EL144" s="299">
        <v>1</v>
      </c>
      <c r="EM144" s="299">
        <v>1</v>
      </c>
      <c r="EN144" s="299">
        <v>1</v>
      </c>
      <c r="EO144" s="299">
        <v>1</v>
      </c>
      <c r="EP144" s="299">
        <v>1</v>
      </c>
      <c r="EQ144" s="299">
        <v>1</v>
      </c>
      <c r="ER144" s="299">
        <v>1</v>
      </c>
      <c r="ES144" s="299">
        <v>1</v>
      </c>
      <c r="ET144" s="299">
        <v>1</v>
      </c>
      <c r="EU144" s="299"/>
      <c r="EV144" s="299"/>
      <c r="EW144" s="299"/>
      <c r="EX144" s="299"/>
      <c r="EY144" s="299"/>
      <c r="EZ144" s="299"/>
      <c r="FA144" s="299"/>
      <c r="FB144" s="299"/>
      <c r="FC144" s="299"/>
      <c r="FD144" s="299"/>
      <c r="FE144" s="299"/>
      <c r="FF144" s="299"/>
      <c r="FG144" s="299"/>
      <c r="FH144" s="299"/>
      <c r="FI144" s="299"/>
      <c r="FJ144" s="299"/>
      <c r="FK144" s="299"/>
      <c r="FL144" s="299"/>
      <c r="FM144" s="299"/>
      <c r="FN144" s="299"/>
      <c r="FO144" s="299"/>
      <c r="FP144" s="299"/>
      <c r="FQ144" s="300" t="e">
        <f t="shared" ca="1" si="143"/>
        <v>#VALUE!</v>
      </c>
      <c r="FR144" s="300" t="e">
        <f t="shared" ca="1" si="144"/>
        <v>#VALUE!</v>
      </c>
      <c r="FS144" s="300" t="e">
        <f t="shared" ca="1" si="144"/>
        <v>#VALUE!</v>
      </c>
      <c r="FT144" s="300" t="e">
        <f t="shared" ca="1" si="144"/>
        <v>#VALUE!</v>
      </c>
      <c r="FU144" s="300" t="e">
        <f t="shared" ca="1" si="144"/>
        <v>#VALUE!</v>
      </c>
      <c r="FV144" s="300" t="e">
        <f t="shared" ca="1" si="144"/>
        <v>#VALUE!</v>
      </c>
      <c r="FW144" s="300" t="e">
        <f t="shared" ca="1" si="144"/>
        <v>#VALUE!</v>
      </c>
      <c r="FX144" s="300" t="e">
        <f t="shared" ca="1" si="144"/>
        <v>#VALUE!</v>
      </c>
      <c r="FY144" s="300" t="e">
        <f t="shared" ca="1" si="144"/>
        <v>#VALUE!</v>
      </c>
      <c r="FZ144" s="300" t="e">
        <f t="shared" ca="1" si="144"/>
        <v>#VALUE!</v>
      </c>
      <c r="GA144" s="301" t="e">
        <f t="shared" ca="1" si="144"/>
        <v>#VALUE!</v>
      </c>
      <c r="GB144" s="301" t="e">
        <f t="shared" ca="1" si="145"/>
        <v>#VALUE!</v>
      </c>
      <c r="GC144" s="301" t="e">
        <f t="shared" ca="1" si="145"/>
        <v>#VALUE!</v>
      </c>
      <c r="GD144" s="301" t="e">
        <f t="shared" ca="1" si="145"/>
        <v>#VALUE!</v>
      </c>
      <c r="GE144" s="301" t="e">
        <f t="shared" ca="1" si="145"/>
        <v>#VALUE!</v>
      </c>
      <c r="GF144" s="301" t="e">
        <f t="shared" ca="1" si="145"/>
        <v>#VALUE!</v>
      </c>
      <c r="GG144" s="301" t="e">
        <f t="shared" ca="1" si="145"/>
        <v>#VALUE!</v>
      </c>
      <c r="GH144" s="301" t="e">
        <f t="shared" ca="1" si="145"/>
        <v>#VALUE!</v>
      </c>
      <c r="GI144" s="301" t="e">
        <f t="shared" ca="1" si="145"/>
        <v>#VALUE!</v>
      </c>
      <c r="GJ144" s="301" t="e">
        <f t="shared" ca="1" si="145"/>
        <v>#VALUE!</v>
      </c>
      <c r="GK144" s="301" t="e">
        <f t="shared" ca="1" si="145"/>
        <v>#VALUE!</v>
      </c>
      <c r="GL144" s="301" t="e">
        <f t="shared" ca="1" si="145"/>
        <v>#VALUE!</v>
      </c>
      <c r="GM144" s="301" t="e">
        <f t="shared" ca="1" si="145"/>
        <v>#VALUE!</v>
      </c>
      <c r="GN144" s="302" t="e">
        <f t="shared" ca="1" si="145"/>
        <v>#VALUE!</v>
      </c>
      <c r="GO144" s="302" t="e">
        <f t="shared" ca="1" si="145"/>
        <v>#VALUE!</v>
      </c>
      <c r="GP144" s="301">
        <f t="shared" si="139"/>
        <v>2</v>
      </c>
      <c r="GQ144" s="301">
        <f t="shared" si="139"/>
        <v>4</v>
      </c>
      <c r="GR144" s="301">
        <f t="shared" si="139"/>
        <v>4</v>
      </c>
      <c r="GS144" s="301">
        <f t="shared" si="139"/>
        <v>4</v>
      </c>
      <c r="GT144" s="301">
        <f t="shared" si="139"/>
        <v>4</v>
      </c>
      <c r="GU144" s="303">
        <f t="shared" si="139"/>
        <v>4</v>
      </c>
      <c r="GV144" s="302">
        <f t="shared" si="139"/>
        <v>4</v>
      </c>
      <c r="GW144" s="302">
        <f t="shared" si="139"/>
        <v>3</v>
      </c>
      <c r="GX144" s="302">
        <f t="shared" si="139"/>
        <v>0</v>
      </c>
      <c r="GY144" s="302">
        <f t="shared" si="139"/>
        <v>0</v>
      </c>
      <c r="GZ144" s="302">
        <f t="shared" si="139"/>
        <v>0</v>
      </c>
      <c r="HA144" s="302">
        <f t="shared" si="139"/>
        <v>0</v>
      </c>
      <c r="HB144" s="302">
        <f t="shared" si="139"/>
        <v>0</v>
      </c>
      <c r="HC144" s="302">
        <f t="shared" si="139"/>
        <v>0</v>
      </c>
      <c r="HD144" s="302">
        <f t="shared" si="139"/>
        <v>0</v>
      </c>
      <c r="HE144" s="302">
        <f t="shared" si="139"/>
        <v>0</v>
      </c>
      <c r="HF144" s="304"/>
      <c r="HG144" s="305"/>
    </row>
    <row r="145" spans="1:215" s="306" customFormat="1" ht="15" customHeight="1">
      <c r="A145" s="291"/>
      <c r="B145" s="292" t="s">
        <v>348</v>
      </c>
      <c r="C145" s="292" t="s">
        <v>117</v>
      </c>
      <c r="D145" s="292" t="s">
        <v>117</v>
      </c>
      <c r="E145" s="292" t="s">
        <v>495</v>
      </c>
      <c r="F145" s="292" t="s">
        <v>186</v>
      </c>
      <c r="G145" s="292" t="s">
        <v>350</v>
      </c>
      <c r="H145" s="292" t="s">
        <v>492</v>
      </c>
      <c r="I145" s="292" t="s">
        <v>493</v>
      </c>
      <c r="J145" s="292" t="s">
        <v>186</v>
      </c>
      <c r="K145" s="292" t="s">
        <v>475</v>
      </c>
      <c r="L145" s="292" t="s">
        <v>494</v>
      </c>
      <c r="M145" s="292" t="s">
        <v>360</v>
      </c>
      <c r="N145" s="292" t="str">
        <f t="shared" si="146"/>
        <v>OCM-OCM</v>
      </c>
      <c r="O145" s="292" t="str">
        <f t="shared" si="147"/>
        <v>Human Capital-Senior Manager-US-Consulting</v>
      </c>
      <c r="P145" s="292" t="str">
        <f t="shared" si="148"/>
        <v>OCM - Human Capital</v>
      </c>
      <c r="Q145" s="293">
        <f t="shared" si="140"/>
        <v>422906</v>
      </c>
      <c r="R145" s="294">
        <f t="shared" si="141"/>
        <v>32720</v>
      </c>
      <c r="S145" s="295">
        <f t="shared" si="149"/>
        <v>0</v>
      </c>
      <c r="T145" s="295">
        <f t="shared" si="142"/>
        <v>1034</v>
      </c>
      <c r="U145" s="296" t="str">
        <f t="shared" si="150"/>
        <v>Human Capital - Senior Manager</v>
      </c>
      <c r="V145" s="295" t="str">
        <f t="shared" si="151"/>
        <v>7-10 years</v>
      </c>
      <c r="W145" s="292" t="str">
        <f t="shared" si="152"/>
        <v>Onshore</v>
      </c>
      <c r="X145" s="292" t="s">
        <v>261</v>
      </c>
      <c r="Y145" s="292" t="s">
        <v>492</v>
      </c>
      <c r="Z145" s="345" t="s">
        <v>361</v>
      </c>
      <c r="AA145" s="297">
        <f>[1]Resourcing!QD149</f>
        <v>278</v>
      </c>
      <c r="AB145" s="298">
        <f t="shared" si="153"/>
        <v>409</v>
      </c>
      <c r="AC145" s="299"/>
      <c r="AD145" s="299"/>
      <c r="AE145" s="299"/>
      <c r="AF145" s="299"/>
      <c r="AG145" s="299"/>
      <c r="AH145" s="299"/>
      <c r="AI145" s="299"/>
      <c r="AJ145" s="299"/>
      <c r="AK145" s="299"/>
      <c r="AL145" s="299"/>
      <c r="AM145" s="299"/>
      <c r="AN145" s="299"/>
      <c r="AO145" s="299"/>
      <c r="AP145" s="299"/>
      <c r="AQ145" s="299"/>
      <c r="AR145" s="299"/>
      <c r="AS145" s="299"/>
      <c r="AT145" s="299"/>
      <c r="AU145" s="299"/>
      <c r="AV145" s="299"/>
      <c r="AW145" s="299"/>
      <c r="AX145" s="299"/>
      <c r="AY145" s="299"/>
      <c r="AZ145" s="299"/>
      <c r="BA145" s="299"/>
      <c r="BB145" s="299"/>
      <c r="BC145" s="299"/>
      <c r="BD145" s="299"/>
      <c r="BE145" s="299"/>
      <c r="BF145" s="299"/>
      <c r="BG145" s="299">
        <v>10</v>
      </c>
      <c r="BH145" s="299">
        <v>10</v>
      </c>
      <c r="BI145" s="299">
        <v>10</v>
      </c>
      <c r="BJ145" s="299">
        <v>10</v>
      </c>
      <c r="BK145" s="299">
        <v>10</v>
      </c>
      <c r="BL145" s="299">
        <v>10</v>
      </c>
      <c r="BM145" s="299">
        <v>10</v>
      </c>
      <c r="BN145" s="299">
        <v>10</v>
      </c>
      <c r="BO145" s="299">
        <v>10</v>
      </c>
      <c r="BP145" s="299">
        <v>10</v>
      </c>
      <c r="BQ145" s="299">
        <v>10</v>
      </c>
      <c r="BR145" s="299"/>
      <c r="BS145" s="299"/>
      <c r="BT145" s="299">
        <v>12</v>
      </c>
      <c r="BU145" s="299">
        <v>12</v>
      </c>
      <c r="BV145" s="299">
        <v>12</v>
      </c>
      <c r="BW145" s="299">
        <v>12</v>
      </c>
      <c r="BX145" s="299">
        <v>12</v>
      </c>
      <c r="BY145" s="299">
        <v>12</v>
      </c>
      <c r="BZ145" s="299">
        <v>12</v>
      </c>
      <c r="CA145" s="299">
        <v>12</v>
      </c>
      <c r="CB145" s="299">
        <v>12</v>
      </c>
      <c r="CC145" s="299">
        <v>12</v>
      </c>
      <c r="CD145" s="299">
        <v>12</v>
      </c>
      <c r="CE145" s="299">
        <v>12</v>
      </c>
      <c r="CF145" s="299">
        <v>12</v>
      </c>
      <c r="CG145" s="299">
        <v>12</v>
      </c>
      <c r="CH145" s="299">
        <v>12</v>
      </c>
      <c r="CI145" s="299">
        <v>12</v>
      </c>
      <c r="CJ145" s="299">
        <v>12</v>
      </c>
      <c r="CK145" s="299">
        <v>12</v>
      </c>
      <c r="CL145" s="299">
        <v>12</v>
      </c>
      <c r="CM145" s="299">
        <v>12</v>
      </c>
      <c r="CN145" s="299">
        <v>12</v>
      </c>
      <c r="CO145" s="299">
        <v>12</v>
      </c>
      <c r="CP145" s="299">
        <v>12</v>
      </c>
      <c r="CQ145" s="299">
        <v>12</v>
      </c>
      <c r="CR145" s="299">
        <v>12</v>
      </c>
      <c r="CS145" s="299">
        <v>12</v>
      </c>
      <c r="CT145" s="299">
        <v>12</v>
      </c>
      <c r="CU145" s="299">
        <v>12</v>
      </c>
      <c r="CV145" s="299">
        <v>12</v>
      </c>
      <c r="CW145" s="299">
        <v>12</v>
      </c>
      <c r="CX145" s="299">
        <v>12</v>
      </c>
      <c r="CY145" s="299">
        <v>12</v>
      </c>
      <c r="CZ145" s="299">
        <v>12</v>
      </c>
      <c r="DA145" s="299">
        <v>12</v>
      </c>
      <c r="DB145" s="299">
        <v>12</v>
      </c>
      <c r="DC145" s="299">
        <v>12</v>
      </c>
      <c r="DD145" s="299">
        <v>12</v>
      </c>
      <c r="DE145" s="299">
        <v>12</v>
      </c>
      <c r="DF145" s="299">
        <v>12</v>
      </c>
      <c r="DG145" s="299">
        <v>12</v>
      </c>
      <c r="DH145" s="299">
        <v>12</v>
      </c>
      <c r="DI145" s="299">
        <v>12</v>
      </c>
      <c r="DJ145" s="299">
        <v>12</v>
      </c>
      <c r="DK145" s="299">
        <v>12</v>
      </c>
      <c r="DL145" s="299">
        <v>12</v>
      </c>
      <c r="DM145" s="299">
        <v>12</v>
      </c>
      <c r="DN145" s="299">
        <v>12</v>
      </c>
      <c r="DO145" s="299">
        <v>12</v>
      </c>
      <c r="DP145" s="299">
        <v>12</v>
      </c>
      <c r="DQ145" s="299">
        <v>12</v>
      </c>
      <c r="DR145" s="299"/>
      <c r="DS145" s="299"/>
      <c r="DT145" s="299">
        <v>12</v>
      </c>
      <c r="DU145" s="299">
        <v>12</v>
      </c>
      <c r="DV145" s="299">
        <v>12</v>
      </c>
      <c r="DW145" s="299">
        <v>12</v>
      </c>
      <c r="DX145" s="299">
        <v>12</v>
      </c>
      <c r="DY145" s="299">
        <v>12</v>
      </c>
      <c r="DZ145" s="299">
        <v>12</v>
      </c>
      <c r="EA145" s="299">
        <v>12</v>
      </c>
      <c r="EB145" s="299">
        <v>12</v>
      </c>
      <c r="EC145" s="299">
        <v>12</v>
      </c>
      <c r="ED145" s="299">
        <v>12</v>
      </c>
      <c r="EE145" s="299">
        <v>12</v>
      </c>
      <c r="EF145" s="299">
        <v>12</v>
      </c>
      <c r="EG145" s="299">
        <v>12</v>
      </c>
      <c r="EH145" s="299">
        <v>12</v>
      </c>
      <c r="EI145" s="299">
        <v>12</v>
      </c>
      <c r="EJ145" s="299">
        <v>12</v>
      </c>
      <c r="EK145" s="299">
        <v>12</v>
      </c>
      <c r="EL145" s="299">
        <v>12</v>
      </c>
      <c r="EM145" s="299">
        <v>12</v>
      </c>
      <c r="EN145" s="299">
        <v>12</v>
      </c>
      <c r="EO145" s="299">
        <v>12</v>
      </c>
      <c r="EP145" s="299">
        <v>12</v>
      </c>
      <c r="EQ145" s="299">
        <v>12</v>
      </c>
      <c r="ER145" s="299">
        <v>12</v>
      </c>
      <c r="ES145" s="299">
        <v>12</v>
      </c>
      <c r="ET145" s="299">
        <v>12</v>
      </c>
      <c r="EU145" s="299"/>
      <c r="EV145" s="299"/>
      <c r="EW145" s="299"/>
      <c r="EX145" s="299"/>
      <c r="EY145" s="299"/>
      <c r="EZ145" s="299"/>
      <c r="FA145" s="299"/>
      <c r="FB145" s="299"/>
      <c r="FC145" s="299"/>
      <c r="FD145" s="299"/>
      <c r="FE145" s="299"/>
      <c r="FF145" s="299"/>
      <c r="FG145" s="299"/>
      <c r="FH145" s="299"/>
      <c r="FI145" s="299"/>
      <c r="FJ145" s="299"/>
      <c r="FK145" s="299"/>
      <c r="FL145" s="299"/>
      <c r="FM145" s="299"/>
      <c r="FN145" s="299"/>
      <c r="FO145" s="299"/>
      <c r="FP145" s="299"/>
      <c r="FQ145" s="300" t="e">
        <f t="shared" ca="1" si="143"/>
        <v>#VALUE!</v>
      </c>
      <c r="FR145" s="300" t="e">
        <f t="shared" ca="1" si="144"/>
        <v>#VALUE!</v>
      </c>
      <c r="FS145" s="300" t="e">
        <f t="shared" ca="1" si="144"/>
        <v>#VALUE!</v>
      </c>
      <c r="FT145" s="300" t="e">
        <f t="shared" ca="1" si="144"/>
        <v>#VALUE!</v>
      </c>
      <c r="FU145" s="300" t="e">
        <f t="shared" ca="1" si="144"/>
        <v>#VALUE!</v>
      </c>
      <c r="FV145" s="300" t="e">
        <f t="shared" ca="1" si="144"/>
        <v>#VALUE!</v>
      </c>
      <c r="FW145" s="300" t="e">
        <f t="shared" ca="1" si="144"/>
        <v>#VALUE!</v>
      </c>
      <c r="FX145" s="300" t="e">
        <f t="shared" ca="1" si="144"/>
        <v>#VALUE!</v>
      </c>
      <c r="FY145" s="300" t="e">
        <f t="shared" ca="1" si="144"/>
        <v>#VALUE!</v>
      </c>
      <c r="FZ145" s="300" t="e">
        <f t="shared" ca="1" si="144"/>
        <v>#VALUE!</v>
      </c>
      <c r="GA145" s="301" t="e">
        <f t="shared" ca="1" si="144"/>
        <v>#VALUE!</v>
      </c>
      <c r="GB145" s="301" t="e">
        <f t="shared" ca="1" si="145"/>
        <v>#VALUE!</v>
      </c>
      <c r="GC145" s="301" t="e">
        <f t="shared" ca="1" si="145"/>
        <v>#VALUE!</v>
      </c>
      <c r="GD145" s="301" t="e">
        <f t="shared" ca="1" si="145"/>
        <v>#VALUE!</v>
      </c>
      <c r="GE145" s="301" t="e">
        <f t="shared" ca="1" si="145"/>
        <v>#VALUE!</v>
      </c>
      <c r="GF145" s="301" t="e">
        <f t="shared" ca="1" si="145"/>
        <v>#VALUE!</v>
      </c>
      <c r="GG145" s="301" t="e">
        <f t="shared" ca="1" si="145"/>
        <v>#VALUE!</v>
      </c>
      <c r="GH145" s="301" t="e">
        <f t="shared" ca="1" si="145"/>
        <v>#VALUE!</v>
      </c>
      <c r="GI145" s="301" t="e">
        <f t="shared" ca="1" si="145"/>
        <v>#VALUE!</v>
      </c>
      <c r="GJ145" s="301" t="e">
        <f t="shared" ca="1" si="145"/>
        <v>#VALUE!</v>
      </c>
      <c r="GK145" s="301" t="e">
        <f t="shared" ca="1" si="145"/>
        <v>#VALUE!</v>
      </c>
      <c r="GL145" s="301" t="e">
        <f t="shared" ca="1" si="145"/>
        <v>#VALUE!</v>
      </c>
      <c r="GM145" s="301" t="e">
        <f t="shared" ca="1" si="145"/>
        <v>#VALUE!</v>
      </c>
      <c r="GN145" s="302" t="e">
        <f t="shared" ca="1" si="145"/>
        <v>#VALUE!</v>
      </c>
      <c r="GO145" s="302" t="e">
        <f t="shared" ca="1" si="145"/>
        <v>#VALUE!</v>
      </c>
      <c r="GP145" s="301"/>
      <c r="GQ145" s="301"/>
      <c r="GR145" s="301"/>
      <c r="GS145" s="301"/>
      <c r="GT145" s="301"/>
      <c r="GU145" s="303"/>
      <c r="GV145" s="302"/>
      <c r="GW145" s="302"/>
      <c r="GX145" s="302"/>
      <c r="GY145" s="302"/>
      <c r="GZ145" s="302"/>
      <c r="HA145" s="302"/>
      <c r="HB145" s="302"/>
      <c r="HC145" s="302"/>
      <c r="HD145" s="302"/>
      <c r="HE145" s="302"/>
      <c r="HF145" s="304"/>
      <c r="HG145" s="305"/>
    </row>
    <row r="146" spans="1:215" s="306" customFormat="1" ht="15" customHeight="1">
      <c r="A146" s="291"/>
      <c r="B146" s="292" t="s">
        <v>348</v>
      </c>
      <c r="C146" s="292" t="s">
        <v>117</v>
      </c>
      <c r="D146" s="292" t="s">
        <v>117</v>
      </c>
      <c r="E146" s="292" t="s">
        <v>496</v>
      </c>
      <c r="F146" s="292" t="s">
        <v>186</v>
      </c>
      <c r="G146" s="292" t="s">
        <v>350</v>
      </c>
      <c r="H146" s="292" t="s">
        <v>492</v>
      </c>
      <c r="I146" s="292" t="s">
        <v>493</v>
      </c>
      <c r="J146" s="292" t="s">
        <v>186</v>
      </c>
      <c r="K146" s="292" t="s">
        <v>475</v>
      </c>
      <c r="L146" s="292" t="s">
        <v>494</v>
      </c>
      <c r="M146" s="292" t="s">
        <v>371</v>
      </c>
      <c r="N146" s="292" t="str">
        <f t="shared" si="146"/>
        <v>OCM-OCM</v>
      </c>
      <c r="O146" s="292" t="str">
        <f t="shared" si="147"/>
        <v>Human Capital-Manager-US-Consulting</v>
      </c>
      <c r="P146" s="292" t="str">
        <f t="shared" si="148"/>
        <v>OCM - Human Capital</v>
      </c>
      <c r="Q146" s="293">
        <f t="shared" si="140"/>
        <v>1327040</v>
      </c>
      <c r="R146" s="294">
        <f t="shared" si="141"/>
        <v>120640</v>
      </c>
      <c r="S146" s="295" t="e">
        <f t="shared" ca="1" si="149"/>
        <v>#VALUE!</v>
      </c>
      <c r="T146" s="295">
        <f t="shared" si="142"/>
        <v>3520</v>
      </c>
      <c r="U146" s="296" t="str">
        <f t="shared" si="150"/>
        <v>Human Capital - Manager</v>
      </c>
      <c r="V146" s="295" t="str">
        <f t="shared" si="151"/>
        <v>5-7 years</v>
      </c>
      <c r="W146" s="292" t="str">
        <f t="shared" si="152"/>
        <v>Onshore</v>
      </c>
      <c r="X146" s="292" t="s">
        <v>261</v>
      </c>
      <c r="Y146" s="292" t="s">
        <v>492</v>
      </c>
      <c r="Z146" s="345" t="s">
        <v>376</v>
      </c>
      <c r="AA146" s="297">
        <f>[1]Resourcing!QD150</f>
        <v>0</v>
      </c>
      <c r="AB146" s="298">
        <f t="shared" si="153"/>
        <v>377</v>
      </c>
      <c r="AC146" s="299"/>
      <c r="AD146" s="299"/>
      <c r="AE146" s="299"/>
      <c r="AF146" s="299"/>
      <c r="AG146" s="299"/>
      <c r="AH146" s="299"/>
      <c r="AI146" s="299"/>
      <c r="AJ146" s="299"/>
      <c r="AK146" s="299"/>
      <c r="AL146" s="299"/>
      <c r="AM146" s="299"/>
      <c r="AN146" s="299"/>
      <c r="AO146" s="299"/>
      <c r="AP146" s="299"/>
      <c r="AQ146" s="299"/>
      <c r="AR146" s="299"/>
      <c r="AS146" s="299"/>
      <c r="AT146" s="299"/>
      <c r="AU146" s="299"/>
      <c r="AV146" s="299"/>
      <c r="AW146" s="299"/>
      <c r="AX146" s="299"/>
      <c r="AY146" s="299"/>
      <c r="AZ146" s="299"/>
      <c r="BA146" s="299"/>
      <c r="BB146" s="299"/>
      <c r="BC146" s="299"/>
      <c r="BD146" s="299"/>
      <c r="BE146" s="299"/>
      <c r="BF146" s="299"/>
      <c r="BG146" s="299">
        <v>40</v>
      </c>
      <c r="BH146" s="299">
        <v>40</v>
      </c>
      <c r="BI146" s="299">
        <v>40</v>
      </c>
      <c r="BJ146" s="299">
        <v>40</v>
      </c>
      <c r="BK146" s="299">
        <v>40</v>
      </c>
      <c r="BL146" s="299">
        <v>40</v>
      </c>
      <c r="BM146" s="299">
        <v>40</v>
      </c>
      <c r="BN146" s="299">
        <v>40</v>
      </c>
      <c r="BO146" s="299">
        <v>40</v>
      </c>
      <c r="BP146" s="299">
        <v>40</v>
      </c>
      <c r="BQ146" s="299">
        <v>40</v>
      </c>
      <c r="BR146" s="299"/>
      <c r="BS146" s="299"/>
      <c r="BT146" s="299">
        <v>40</v>
      </c>
      <c r="BU146" s="299">
        <v>40</v>
      </c>
      <c r="BV146" s="299">
        <v>40</v>
      </c>
      <c r="BW146" s="299">
        <v>40</v>
      </c>
      <c r="BX146" s="299">
        <v>40</v>
      </c>
      <c r="BY146" s="299">
        <v>40</v>
      </c>
      <c r="BZ146" s="299">
        <v>40</v>
      </c>
      <c r="CA146" s="299">
        <v>40</v>
      </c>
      <c r="CB146" s="299">
        <v>40</v>
      </c>
      <c r="CC146" s="299">
        <v>40</v>
      </c>
      <c r="CD146" s="299">
        <v>40</v>
      </c>
      <c r="CE146" s="299">
        <v>40</v>
      </c>
      <c r="CF146" s="299">
        <v>40</v>
      </c>
      <c r="CG146" s="299">
        <v>40</v>
      </c>
      <c r="CH146" s="299">
        <v>40</v>
      </c>
      <c r="CI146" s="299">
        <v>40</v>
      </c>
      <c r="CJ146" s="299">
        <v>40</v>
      </c>
      <c r="CK146" s="299">
        <v>40</v>
      </c>
      <c r="CL146" s="299">
        <v>40</v>
      </c>
      <c r="CM146" s="299">
        <v>40</v>
      </c>
      <c r="CN146" s="299">
        <v>40</v>
      </c>
      <c r="CO146" s="299">
        <v>40</v>
      </c>
      <c r="CP146" s="299">
        <v>40</v>
      </c>
      <c r="CQ146" s="299">
        <v>40</v>
      </c>
      <c r="CR146" s="299">
        <v>40</v>
      </c>
      <c r="CS146" s="299">
        <v>40</v>
      </c>
      <c r="CT146" s="299">
        <v>40</v>
      </c>
      <c r="CU146" s="299">
        <v>40</v>
      </c>
      <c r="CV146" s="299">
        <v>40</v>
      </c>
      <c r="CW146" s="299">
        <v>40</v>
      </c>
      <c r="CX146" s="299">
        <v>40</v>
      </c>
      <c r="CY146" s="299">
        <v>40</v>
      </c>
      <c r="CZ146" s="299">
        <v>40</v>
      </c>
      <c r="DA146" s="299">
        <v>40</v>
      </c>
      <c r="DB146" s="299">
        <v>40</v>
      </c>
      <c r="DC146" s="299">
        <v>40</v>
      </c>
      <c r="DD146" s="299">
        <v>40</v>
      </c>
      <c r="DE146" s="299">
        <v>40</v>
      </c>
      <c r="DF146" s="299">
        <v>40</v>
      </c>
      <c r="DG146" s="299">
        <v>40</v>
      </c>
      <c r="DH146" s="299">
        <v>40</v>
      </c>
      <c r="DI146" s="299">
        <v>40</v>
      </c>
      <c r="DJ146" s="299">
        <v>40</v>
      </c>
      <c r="DK146" s="299">
        <v>40</v>
      </c>
      <c r="DL146" s="299">
        <v>40</v>
      </c>
      <c r="DM146" s="299">
        <v>40</v>
      </c>
      <c r="DN146" s="299">
        <v>40</v>
      </c>
      <c r="DO146" s="299">
        <v>40</v>
      </c>
      <c r="DP146" s="299">
        <v>40</v>
      </c>
      <c r="DQ146" s="299">
        <v>40</v>
      </c>
      <c r="DR146" s="299"/>
      <c r="DS146" s="299"/>
      <c r="DT146" s="299">
        <v>40</v>
      </c>
      <c r="DU146" s="299">
        <v>40</v>
      </c>
      <c r="DV146" s="299">
        <v>40</v>
      </c>
      <c r="DW146" s="299">
        <v>40</v>
      </c>
      <c r="DX146" s="299">
        <v>40</v>
      </c>
      <c r="DY146" s="299">
        <v>40</v>
      </c>
      <c r="DZ146" s="299">
        <v>40</v>
      </c>
      <c r="EA146" s="299">
        <v>40</v>
      </c>
      <c r="EB146" s="299">
        <v>40</v>
      </c>
      <c r="EC146" s="299">
        <v>40</v>
      </c>
      <c r="ED146" s="299">
        <v>40</v>
      </c>
      <c r="EE146" s="299">
        <v>40</v>
      </c>
      <c r="EF146" s="299">
        <v>40</v>
      </c>
      <c r="EG146" s="299">
        <v>40</v>
      </c>
      <c r="EH146" s="299">
        <v>40</v>
      </c>
      <c r="EI146" s="299">
        <v>40</v>
      </c>
      <c r="EJ146" s="299">
        <v>40</v>
      </c>
      <c r="EK146" s="299">
        <v>40</v>
      </c>
      <c r="EL146" s="299">
        <v>40</v>
      </c>
      <c r="EM146" s="299">
        <v>40</v>
      </c>
      <c r="EN146" s="299">
        <v>40</v>
      </c>
      <c r="EO146" s="299">
        <v>40</v>
      </c>
      <c r="EP146" s="299">
        <v>40</v>
      </c>
      <c r="EQ146" s="299">
        <v>40</v>
      </c>
      <c r="ER146" s="299">
        <v>40</v>
      </c>
      <c r="ES146" s="299">
        <v>40</v>
      </c>
      <c r="ET146" s="299">
        <v>40</v>
      </c>
      <c r="EU146" s="299"/>
      <c r="EV146" s="299"/>
      <c r="EW146" s="299"/>
      <c r="EX146" s="299"/>
      <c r="EY146" s="299"/>
      <c r="EZ146" s="299"/>
      <c r="FA146" s="299"/>
      <c r="FB146" s="299"/>
      <c r="FC146" s="299"/>
      <c r="FD146" s="299"/>
      <c r="FE146" s="299"/>
      <c r="FF146" s="299"/>
      <c r="FG146" s="299"/>
      <c r="FH146" s="299"/>
      <c r="FI146" s="299"/>
      <c r="FJ146" s="299"/>
      <c r="FK146" s="299"/>
      <c r="FL146" s="299"/>
      <c r="FM146" s="299"/>
      <c r="FN146" s="299"/>
      <c r="FO146" s="299"/>
      <c r="FP146" s="299"/>
      <c r="FQ146" s="300" t="e">
        <f t="shared" ca="1" si="143"/>
        <v>#VALUE!</v>
      </c>
      <c r="FR146" s="300" t="e">
        <f t="shared" ca="1" si="144"/>
        <v>#VALUE!</v>
      </c>
      <c r="FS146" s="300" t="e">
        <f t="shared" ca="1" si="144"/>
        <v>#VALUE!</v>
      </c>
      <c r="FT146" s="300" t="e">
        <f t="shared" ca="1" si="144"/>
        <v>#VALUE!</v>
      </c>
      <c r="FU146" s="300" t="e">
        <f t="shared" ca="1" si="144"/>
        <v>#VALUE!</v>
      </c>
      <c r="FV146" s="300" t="e">
        <f t="shared" ca="1" si="144"/>
        <v>#VALUE!</v>
      </c>
      <c r="FW146" s="300" t="e">
        <f t="shared" ca="1" si="144"/>
        <v>#VALUE!</v>
      </c>
      <c r="FX146" s="300" t="e">
        <f t="shared" ca="1" si="144"/>
        <v>#VALUE!</v>
      </c>
      <c r="FY146" s="300" t="e">
        <f t="shared" ca="1" si="144"/>
        <v>#VALUE!</v>
      </c>
      <c r="FZ146" s="300" t="e">
        <f t="shared" ca="1" si="144"/>
        <v>#VALUE!</v>
      </c>
      <c r="GA146" s="301" t="e">
        <f t="shared" ca="1" si="144"/>
        <v>#VALUE!</v>
      </c>
      <c r="GB146" s="301" t="e">
        <f t="shared" ca="1" si="145"/>
        <v>#VALUE!</v>
      </c>
      <c r="GC146" s="301" t="e">
        <f t="shared" ca="1" si="145"/>
        <v>#VALUE!</v>
      </c>
      <c r="GD146" s="301" t="e">
        <f t="shared" ca="1" si="145"/>
        <v>#VALUE!</v>
      </c>
      <c r="GE146" s="301" t="e">
        <f t="shared" ca="1" si="145"/>
        <v>#VALUE!</v>
      </c>
      <c r="GF146" s="301" t="e">
        <f t="shared" ca="1" si="145"/>
        <v>#VALUE!</v>
      </c>
      <c r="GG146" s="301" t="e">
        <f t="shared" ca="1" si="145"/>
        <v>#VALUE!</v>
      </c>
      <c r="GH146" s="301" t="e">
        <f t="shared" ca="1" si="145"/>
        <v>#VALUE!</v>
      </c>
      <c r="GI146" s="301" t="e">
        <f t="shared" ca="1" si="145"/>
        <v>#VALUE!</v>
      </c>
      <c r="GJ146" s="301" t="e">
        <f t="shared" ca="1" si="145"/>
        <v>#VALUE!</v>
      </c>
      <c r="GK146" s="301" t="e">
        <f t="shared" ca="1" si="145"/>
        <v>#VALUE!</v>
      </c>
      <c r="GL146" s="301" t="e">
        <f t="shared" ca="1" si="145"/>
        <v>#VALUE!</v>
      </c>
      <c r="GM146" s="301" t="e">
        <f t="shared" ca="1" si="145"/>
        <v>#VALUE!</v>
      </c>
      <c r="GN146" s="302" t="e">
        <f t="shared" ca="1" si="145"/>
        <v>#VALUE!</v>
      </c>
      <c r="GO146" s="302" t="e">
        <f t="shared" ca="1" si="145"/>
        <v>#VALUE!</v>
      </c>
      <c r="GP146" s="301">
        <f t="shared" ref="GP146:HE155" si="154">SUMIF($AB$8:$FO$8,GP$9,$AB146:$FO146)</f>
        <v>80</v>
      </c>
      <c r="GQ146" s="301">
        <f t="shared" si="154"/>
        <v>160</v>
      </c>
      <c r="GR146" s="301">
        <f t="shared" si="154"/>
        <v>160</v>
      </c>
      <c r="GS146" s="301">
        <f t="shared" si="154"/>
        <v>160</v>
      </c>
      <c r="GT146" s="301">
        <f t="shared" si="154"/>
        <v>160</v>
      </c>
      <c r="GU146" s="303">
        <f t="shared" si="154"/>
        <v>160</v>
      </c>
      <c r="GV146" s="302">
        <f t="shared" si="154"/>
        <v>160</v>
      </c>
      <c r="GW146" s="302">
        <f t="shared" si="154"/>
        <v>120</v>
      </c>
      <c r="GX146" s="302">
        <f t="shared" si="154"/>
        <v>0</v>
      </c>
      <c r="GY146" s="302">
        <f t="shared" si="154"/>
        <v>0</v>
      </c>
      <c r="GZ146" s="302">
        <f t="shared" si="154"/>
        <v>0</v>
      </c>
      <c r="HA146" s="302">
        <f t="shared" si="154"/>
        <v>0</v>
      </c>
      <c r="HB146" s="302">
        <f t="shared" si="154"/>
        <v>0</v>
      </c>
      <c r="HC146" s="302">
        <f t="shared" si="154"/>
        <v>0</v>
      </c>
      <c r="HD146" s="302">
        <f t="shared" si="154"/>
        <v>0</v>
      </c>
      <c r="HE146" s="302">
        <f t="shared" si="154"/>
        <v>0</v>
      </c>
      <c r="HF146" s="304" t="e">
        <f ca="1">SUM(FQ146:HE146)</f>
        <v>#VALUE!</v>
      </c>
      <c r="HG146" s="305"/>
    </row>
    <row r="147" spans="1:215" s="306" customFormat="1" ht="15" customHeight="1">
      <c r="A147" s="291"/>
      <c r="B147" s="292" t="s">
        <v>348</v>
      </c>
      <c r="C147" s="292" t="s">
        <v>117</v>
      </c>
      <c r="D147" s="292" t="s">
        <v>227</v>
      </c>
      <c r="E147" s="292" t="s">
        <v>497</v>
      </c>
      <c r="F147" s="292" t="s">
        <v>186</v>
      </c>
      <c r="G147" s="292" t="s">
        <v>350</v>
      </c>
      <c r="H147" s="292" t="s">
        <v>492</v>
      </c>
      <c r="I147" s="292" t="s">
        <v>493</v>
      </c>
      <c r="J147" s="292" t="s">
        <v>186</v>
      </c>
      <c r="K147" s="292" t="s">
        <v>475</v>
      </c>
      <c r="L147" s="292" t="s">
        <v>494</v>
      </c>
      <c r="M147" s="292" t="s">
        <v>374</v>
      </c>
      <c r="N147" s="292" t="str">
        <f t="shared" si="146"/>
        <v>OCM-Training</v>
      </c>
      <c r="O147" s="292" t="str">
        <f t="shared" si="147"/>
        <v>Human Capital-Senior Consultant-US-Consulting</v>
      </c>
      <c r="P147" s="292" t="str">
        <f t="shared" si="148"/>
        <v>OCM - Human Capital</v>
      </c>
      <c r="Q147" s="293">
        <f t="shared" si="140"/>
        <v>396090</v>
      </c>
      <c r="R147" s="294">
        <f t="shared" si="141"/>
        <v>0</v>
      </c>
      <c r="S147" s="295" t="e">
        <f t="shared" ca="1" si="149"/>
        <v>#VALUE!</v>
      </c>
      <c r="T147" s="295">
        <f t="shared" si="142"/>
        <v>1215</v>
      </c>
      <c r="U147" s="296" t="str">
        <f t="shared" si="150"/>
        <v>Human Capital - Senior Consultant</v>
      </c>
      <c r="V147" s="295" t="str">
        <f t="shared" si="151"/>
        <v>3-5 years</v>
      </c>
      <c r="W147" s="292" t="str">
        <f t="shared" si="152"/>
        <v>Onshore</v>
      </c>
      <c r="X147" s="292" t="s">
        <v>261</v>
      </c>
      <c r="Y147" s="292" t="s">
        <v>492</v>
      </c>
      <c r="Z147" s="345" t="s">
        <v>364</v>
      </c>
      <c r="AA147" s="297">
        <f>[1]Resourcing!QD151</f>
        <v>403.692045454545</v>
      </c>
      <c r="AB147" s="298">
        <f t="shared" si="153"/>
        <v>326</v>
      </c>
      <c r="AC147" s="299"/>
      <c r="AD147" s="299"/>
      <c r="AE147" s="299"/>
      <c r="AF147" s="299"/>
      <c r="AG147" s="299"/>
      <c r="AH147" s="299"/>
      <c r="AI147" s="299"/>
      <c r="AJ147" s="299"/>
      <c r="AK147" s="299"/>
      <c r="AL147" s="299"/>
      <c r="AM147" s="299"/>
      <c r="AN147" s="299"/>
      <c r="AO147" s="299"/>
      <c r="AP147" s="299"/>
      <c r="AQ147" s="299"/>
      <c r="AR147" s="299"/>
      <c r="AS147" s="299"/>
      <c r="AT147" s="299"/>
      <c r="AU147" s="299"/>
      <c r="AV147" s="299"/>
      <c r="AW147" s="299"/>
      <c r="AX147" s="299"/>
      <c r="AY147" s="299"/>
      <c r="AZ147" s="299"/>
      <c r="BA147" s="299"/>
      <c r="BB147" s="299"/>
      <c r="BC147" s="299"/>
      <c r="BD147" s="299"/>
      <c r="BE147" s="299"/>
      <c r="BF147" s="299"/>
      <c r="BG147" s="299"/>
      <c r="BH147" s="299"/>
      <c r="BI147" s="299"/>
      <c r="BJ147" s="299"/>
      <c r="BK147" s="299"/>
      <c r="BL147" s="299"/>
      <c r="BM147" s="299"/>
      <c r="BN147" s="299"/>
      <c r="BO147" s="299"/>
      <c r="BP147" s="299"/>
      <c r="BQ147" s="299"/>
      <c r="BR147" s="299"/>
      <c r="BS147" s="299"/>
      <c r="BT147" s="299"/>
      <c r="BU147" s="299"/>
      <c r="BV147" s="299"/>
      <c r="BW147" s="299"/>
      <c r="BX147" s="299"/>
      <c r="BY147" s="299"/>
      <c r="BZ147" s="299"/>
      <c r="CA147" s="299"/>
      <c r="CB147" s="299"/>
      <c r="CC147" s="299"/>
      <c r="CD147" s="299"/>
      <c r="CE147" s="299"/>
      <c r="CF147" s="299"/>
      <c r="CG147" s="299"/>
      <c r="CH147" s="299"/>
      <c r="CI147" s="299"/>
      <c r="CJ147" s="299"/>
      <c r="CK147" s="299">
        <v>45</v>
      </c>
      <c r="CL147" s="299">
        <v>45</v>
      </c>
      <c r="CM147" s="299">
        <v>45</v>
      </c>
      <c r="CN147" s="299">
        <v>45</v>
      </c>
      <c r="CO147" s="299">
        <v>45</v>
      </c>
      <c r="CP147" s="299">
        <v>45</v>
      </c>
      <c r="CQ147" s="299">
        <v>45</v>
      </c>
      <c r="CR147" s="299">
        <v>45</v>
      </c>
      <c r="CS147" s="299">
        <v>45</v>
      </c>
      <c r="CT147" s="299">
        <v>45</v>
      </c>
      <c r="CU147" s="299">
        <v>45</v>
      </c>
      <c r="CV147" s="299">
        <v>45</v>
      </c>
      <c r="CW147" s="299"/>
      <c r="CX147" s="299"/>
      <c r="CY147" s="299"/>
      <c r="CZ147" s="299"/>
      <c r="DA147" s="299"/>
      <c r="DB147" s="299"/>
      <c r="DC147" s="299"/>
      <c r="DD147" s="299"/>
      <c r="DE147" s="299"/>
      <c r="DF147" s="299"/>
      <c r="DG147" s="299"/>
      <c r="DH147" s="299"/>
      <c r="DI147" s="299"/>
      <c r="DJ147" s="299"/>
      <c r="DK147" s="299"/>
      <c r="DL147" s="299">
        <v>45</v>
      </c>
      <c r="DM147" s="299">
        <v>45</v>
      </c>
      <c r="DN147" s="299">
        <v>45</v>
      </c>
      <c r="DO147" s="299">
        <v>45</v>
      </c>
      <c r="DP147" s="299">
        <v>45</v>
      </c>
      <c r="DQ147" s="299">
        <v>45</v>
      </c>
      <c r="DR147" s="299"/>
      <c r="DS147" s="299"/>
      <c r="DT147" s="299">
        <v>45</v>
      </c>
      <c r="DU147" s="299">
        <v>45</v>
      </c>
      <c r="DV147" s="299">
        <v>45</v>
      </c>
      <c r="DW147" s="299">
        <v>45</v>
      </c>
      <c r="DX147" s="299">
        <v>45</v>
      </c>
      <c r="DY147" s="299">
        <v>45</v>
      </c>
      <c r="DZ147" s="299">
        <v>45</v>
      </c>
      <c r="EA147" s="299">
        <v>45</v>
      </c>
      <c r="EB147" s="299">
        <v>45</v>
      </c>
      <c r="EC147" s="299"/>
      <c r="ED147" s="299"/>
      <c r="EE147" s="299"/>
      <c r="EF147" s="299"/>
      <c r="EG147" s="299"/>
      <c r="EH147" s="299"/>
      <c r="EI147" s="299"/>
      <c r="EJ147" s="299"/>
      <c r="EK147" s="299"/>
      <c r="EL147" s="299"/>
      <c r="EM147" s="299"/>
      <c r="EN147" s="299"/>
      <c r="EO147" s="299"/>
      <c r="EP147" s="299"/>
      <c r="EQ147" s="299"/>
      <c r="ER147" s="299"/>
      <c r="ES147" s="299"/>
      <c r="ET147" s="299"/>
      <c r="EU147" s="299"/>
      <c r="EV147" s="299"/>
      <c r="EW147" s="299"/>
      <c r="EX147" s="299"/>
      <c r="EY147" s="299"/>
      <c r="EZ147" s="299"/>
      <c r="FA147" s="299"/>
      <c r="FB147" s="299"/>
      <c r="FC147" s="299"/>
      <c r="FD147" s="299"/>
      <c r="FE147" s="299"/>
      <c r="FF147" s="299"/>
      <c r="FG147" s="299"/>
      <c r="FH147" s="299"/>
      <c r="FI147" s="299"/>
      <c r="FJ147" s="299"/>
      <c r="FK147" s="299"/>
      <c r="FL147" s="299"/>
      <c r="FM147" s="299"/>
      <c r="FN147" s="299"/>
      <c r="FO147" s="299"/>
      <c r="FP147" s="299"/>
      <c r="FQ147" s="300" t="e">
        <f t="shared" ca="1" si="143"/>
        <v>#VALUE!</v>
      </c>
      <c r="FR147" s="300" t="e">
        <f t="shared" ca="1" si="144"/>
        <v>#VALUE!</v>
      </c>
      <c r="FS147" s="300" t="e">
        <f t="shared" ca="1" si="144"/>
        <v>#VALUE!</v>
      </c>
      <c r="FT147" s="300" t="e">
        <f t="shared" ca="1" si="144"/>
        <v>#VALUE!</v>
      </c>
      <c r="FU147" s="300" t="e">
        <f t="shared" ca="1" si="144"/>
        <v>#VALUE!</v>
      </c>
      <c r="FV147" s="300" t="e">
        <f t="shared" ca="1" si="144"/>
        <v>#VALUE!</v>
      </c>
      <c r="FW147" s="300" t="e">
        <f t="shared" ca="1" si="144"/>
        <v>#VALUE!</v>
      </c>
      <c r="FX147" s="300" t="e">
        <f t="shared" ca="1" si="144"/>
        <v>#VALUE!</v>
      </c>
      <c r="FY147" s="300" t="e">
        <f t="shared" ca="1" si="144"/>
        <v>#VALUE!</v>
      </c>
      <c r="FZ147" s="300" t="e">
        <f t="shared" ca="1" si="144"/>
        <v>#VALUE!</v>
      </c>
      <c r="GA147" s="301" t="e">
        <f t="shared" ca="1" si="144"/>
        <v>#VALUE!</v>
      </c>
      <c r="GB147" s="301" t="e">
        <f t="shared" ca="1" si="145"/>
        <v>#VALUE!</v>
      </c>
      <c r="GC147" s="301" t="e">
        <f t="shared" ca="1" si="145"/>
        <v>#VALUE!</v>
      </c>
      <c r="GD147" s="301" t="e">
        <f t="shared" ca="1" si="145"/>
        <v>#VALUE!</v>
      </c>
      <c r="GE147" s="301" t="e">
        <f t="shared" ca="1" si="145"/>
        <v>#VALUE!</v>
      </c>
      <c r="GF147" s="301" t="e">
        <f t="shared" ca="1" si="145"/>
        <v>#VALUE!</v>
      </c>
      <c r="GG147" s="301" t="e">
        <f t="shared" ca="1" si="145"/>
        <v>#VALUE!</v>
      </c>
      <c r="GH147" s="301" t="e">
        <f t="shared" ca="1" si="145"/>
        <v>#VALUE!</v>
      </c>
      <c r="GI147" s="301" t="e">
        <f t="shared" ca="1" si="145"/>
        <v>#VALUE!</v>
      </c>
      <c r="GJ147" s="301" t="e">
        <f t="shared" ca="1" si="145"/>
        <v>#VALUE!</v>
      </c>
      <c r="GK147" s="301" t="e">
        <f t="shared" ca="1" si="145"/>
        <v>#VALUE!</v>
      </c>
      <c r="GL147" s="301" t="e">
        <f t="shared" ca="1" si="145"/>
        <v>#VALUE!</v>
      </c>
      <c r="GM147" s="301" t="e">
        <f t="shared" ca="1" si="145"/>
        <v>#VALUE!</v>
      </c>
      <c r="GN147" s="302" t="e">
        <f t="shared" ca="1" si="145"/>
        <v>#VALUE!</v>
      </c>
      <c r="GO147" s="302" t="e">
        <f t="shared" ca="1" si="145"/>
        <v>#VALUE!</v>
      </c>
      <c r="GP147" s="301">
        <f t="shared" si="154"/>
        <v>90</v>
      </c>
      <c r="GQ147" s="301">
        <f t="shared" si="154"/>
        <v>180</v>
      </c>
      <c r="GR147" s="301">
        <f t="shared" si="154"/>
        <v>180</v>
      </c>
      <c r="GS147" s="301">
        <f t="shared" si="154"/>
        <v>45</v>
      </c>
      <c r="GT147" s="301">
        <f t="shared" si="154"/>
        <v>0</v>
      </c>
      <c r="GU147" s="303">
        <f t="shared" si="154"/>
        <v>0</v>
      </c>
      <c r="GV147" s="302">
        <f t="shared" si="154"/>
        <v>0</v>
      </c>
      <c r="GW147" s="302">
        <f t="shared" si="154"/>
        <v>0</v>
      </c>
      <c r="GX147" s="302">
        <f t="shared" si="154"/>
        <v>0</v>
      </c>
      <c r="GY147" s="302">
        <f t="shared" si="154"/>
        <v>0</v>
      </c>
      <c r="GZ147" s="302">
        <f t="shared" si="154"/>
        <v>0</v>
      </c>
      <c r="HA147" s="302">
        <f t="shared" si="154"/>
        <v>0</v>
      </c>
      <c r="HB147" s="302">
        <f t="shared" si="154"/>
        <v>0</v>
      </c>
      <c r="HC147" s="302">
        <f t="shared" si="154"/>
        <v>0</v>
      </c>
      <c r="HD147" s="302">
        <f t="shared" si="154"/>
        <v>0</v>
      </c>
      <c r="HE147" s="302">
        <f t="shared" si="154"/>
        <v>0</v>
      </c>
      <c r="HF147" s="304" t="e">
        <f ca="1">SUM(FQ147:HE147)</f>
        <v>#VALUE!</v>
      </c>
      <c r="HG147" s="305"/>
    </row>
    <row r="148" spans="1:215" s="306" customFormat="1" ht="15" customHeight="1">
      <c r="A148" s="291"/>
      <c r="B148" s="292" t="s">
        <v>348</v>
      </c>
      <c r="C148" s="292" t="s">
        <v>117</v>
      </c>
      <c r="D148" s="292" t="s">
        <v>117</v>
      </c>
      <c r="E148" s="292" t="s">
        <v>498</v>
      </c>
      <c r="F148" s="292" t="s">
        <v>186</v>
      </c>
      <c r="G148" s="292" t="s">
        <v>350</v>
      </c>
      <c r="H148" s="292" t="s">
        <v>492</v>
      </c>
      <c r="I148" s="292" t="s">
        <v>493</v>
      </c>
      <c r="J148" s="292" t="s">
        <v>186</v>
      </c>
      <c r="K148" s="292" t="s">
        <v>475</v>
      </c>
      <c r="L148" s="292" t="s">
        <v>494</v>
      </c>
      <c r="M148" s="292" t="s">
        <v>374</v>
      </c>
      <c r="N148" s="292" t="str">
        <f t="shared" si="146"/>
        <v>OCM-OCM</v>
      </c>
      <c r="O148" s="292" t="str">
        <f t="shared" si="147"/>
        <v>Human Capital-Senior Consultant-US-Consulting</v>
      </c>
      <c r="P148" s="292" t="str">
        <f t="shared" si="148"/>
        <v>OCM - Human Capital</v>
      </c>
      <c r="Q148" s="293">
        <f t="shared" si="140"/>
        <v>792180</v>
      </c>
      <c r="R148" s="294">
        <f t="shared" si="141"/>
        <v>0</v>
      </c>
      <c r="S148" s="295">
        <f t="shared" si="149"/>
        <v>855</v>
      </c>
      <c r="T148" s="295">
        <f t="shared" si="142"/>
        <v>2430</v>
      </c>
      <c r="U148" s="296" t="str">
        <f t="shared" si="150"/>
        <v>Human Capital - Senior Consultant</v>
      </c>
      <c r="V148" s="295" t="str">
        <f t="shared" si="151"/>
        <v>3-5 years</v>
      </c>
      <c r="W148" s="292" t="str">
        <f t="shared" si="152"/>
        <v>Onshore</v>
      </c>
      <c r="X148" s="292" t="s">
        <v>261</v>
      </c>
      <c r="Y148" s="292" t="s">
        <v>492</v>
      </c>
      <c r="Z148" s="345" t="s">
        <v>364</v>
      </c>
      <c r="AA148" s="297">
        <f>[1]Resourcing!QD152</f>
        <v>381.97292069632499</v>
      </c>
      <c r="AB148" s="298">
        <f t="shared" si="153"/>
        <v>326</v>
      </c>
      <c r="AC148" s="299"/>
      <c r="AD148" s="299"/>
      <c r="AE148" s="299"/>
      <c r="AF148" s="299"/>
      <c r="AG148" s="299"/>
      <c r="AH148" s="299"/>
      <c r="AI148" s="299"/>
      <c r="AJ148" s="299"/>
      <c r="AK148" s="299"/>
      <c r="AL148" s="299"/>
      <c r="AM148" s="299"/>
      <c r="AN148" s="299"/>
      <c r="AO148" s="299"/>
      <c r="AP148" s="299"/>
      <c r="AQ148" s="299"/>
      <c r="AR148" s="299"/>
      <c r="AS148" s="299"/>
      <c r="AT148" s="299"/>
      <c r="AU148" s="299"/>
      <c r="AV148" s="299"/>
      <c r="AW148" s="299"/>
      <c r="AX148" s="299"/>
      <c r="AY148" s="299"/>
      <c r="AZ148" s="299"/>
      <c r="BA148" s="299"/>
      <c r="BB148" s="299"/>
      <c r="BC148" s="299"/>
      <c r="BD148" s="299"/>
      <c r="BE148" s="299"/>
      <c r="BF148" s="299"/>
      <c r="BG148" s="299"/>
      <c r="BH148" s="299"/>
      <c r="BI148" s="299"/>
      <c r="BJ148" s="299"/>
      <c r="BK148" s="299"/>
      <c r="BL148" s="299"/>
      <c r="BM148" s="299"/>
      <c r="BN148" s="299"/>
      <c r="BO148" s="299"/>
      <c r="BP148" s="299"/>
      <c r="BQ148" s="299"/>
      <c r="BR148" s="299"/>
      <c r="BS148" s="299"/>
      <c r="BT148" s="299"/>
      <c r="BU148" s="299"/>
      <c r="BV148" s="299"/>
      <c r="BW148" s="299"/>
      <c r="BX148" s="299"/>
      <c r="BY148" s="299"/>
      <c r="BZ148" s="299"/>
      <c r="CA148" s="299"/>
      <c r="CB148" s="299"/>
      <c r="CC148" s="299"/>
      <c r="CD148" s="299"/>
      <c r="CE148" s="299"/>
      <c r="CF148" s="299"/>
      <c r="CG148" s="299">
        <v>45</v>
      </c>
      <c r="CH148" s="299">
        <v>45</v>
      </c>
      <c r="CI148" s="299">
        <v>45</v>
      </c>
      <c r="CJ148" s="299">
        <v>45</v>
      </c>
      <c r="CK148" s="299">
        <v>45</v>
      </c>
      <c r="CL148" s="299">
        <v>45</v>
      </c>
      <c r="CM148" s="299">
        <v>45</v>
      </c>
      <c r="CN148" s="299">
        <v>45</v>
      </c>
      <c r="CO148" s="299">
        <v>45</v>
      </c>
      <c r="CP148" s="299">
        <v>45</v>
      </c>
      <c r="CQ148" s="299">
        <v>45</v>
      </c>
      <c r="CR148" s="299">
        <v>45</v>
      </c>
      <c r="CS148" s="299">
        <v>45</v>
      </c>
      <c r="CT148" s="299">
        <v>45</v>
      </c>
      <c r="CU148" s="299">
        <v>45</v>
      </c>
      <c r="CV148" s="299">
        <v>45</v>
      </c>
      <c r="CW148" s="299">
        <v>45</v>
      </c>
      <c r="CX148" s="299">
        <v>45</v>
      </c>
      <c r="CY148" s="299">
        <v>45</v>
      </c>
      <c r="CZ148" s="299">
        <v>45</v>
      </c>
      <c r="DA148" s="299">
        <v>45</v>
      </c>
      <c r="DB148" s="299">
        <v>45</v>
      </c>
      <c r="DC148" s="299">
        <v>45</v>
      </c>
      <c r="DD148" s="299">
        <v>45</v>
      </c>
      <c r="DE148" s="299">
        <v>45</v>
      </c>
      <c r="DF148" s="299">
        <v>45</v>
      </c>
      <c r="DG148" s="299">
        <v>45</v>
      </c>
      <c r="DH148" s="299">
        <v>45</v>
      </c>
      <c r="DI148" s="299">
        <v>45</v>
      </c>
      <c r="DJ148" s="299">
        <v>45</v>
      </c>
      <c r="DK148" s="299">
        <v>45</v>
      </c>
      <c r="DL148" s="299">
        <v>45</v>
      </c>
      <c r="DM148" s="299">
        <v>45</v>
      </c>
      <c r="DN148" s="299">
        <v>45</v>
      </c>
      <c r="DO148" s="299">
        <v>45</v>
      </c>
      <c r="DP148" s="299">
        <v>45</v>
      </c>
      <c r="DQ148" s="299">
        <v>45</v>
      </c>
      <c r="DR148" s="299"/>
      <c r="DS148" s="299"/>
      <c r="DT148" s="299">
        <v>45</v>
      </c>
      <c r="DU148" s="299">
        <v>45</v>
      </c>
      <c r="DV148" s="299">
        <v>45</v>
      </c>
      <c r="DW148" s="299">
        <v>45</v>
      </c>
      <c r="DX148" s="299">
        <v>45</v>
      </c>
      <c r="DY148" s="299">
        <v>45</v>
      </c>
      <c r="DZ148" s="299">
        <v>45</v>
      </c>
      <c r="EA148" s="299">
        <v>45</v>
      </c>
      <c r="EB148" s="299">
        <v>45</v>
      </c>
      <c r="EC148" s="299">
        <v>45</v>
      </c>
      <c r="ED148" s="299">
        <v>45</v>
      </c>
      <c r="EE148" s="299">
        <v>45</v>
      </c>
      <c r="EF148" s="299">
        <v>45</v>
      </c>
      <c r="EG148" s="299">
        <v>45</v>
      </c>
      <c r="EH148" s="299">
        <v>45</v>
      </c>
      <c r="EI148" s="299">
        <v>45</v>
      </c>
      <c r="EJ148" s="299">
        <v>45</v>
      </c>
      <c r="EK148" s="299"/>
      <c r="EL148" s="299"/>
      <c r="EM148" s="299"/>
      <c r="EN148" s="299"/>
      <c r="EO148" s="299"/>
      <c r="EP148" s="299"/>
      <c r="EQ148" s="299"/>
      <c r="ER148" s="299"/>
      <c r="ES148" s="299"/>
      <c r="ET148" s="299"/>
      <c r="EU148" s="299"/>
      <c r="EV148" s="299"/>
      <c r="EW148" s="299"/>
      <c r="EX148" s="299"/>
      <c r="EY148" s="299"/>
      <c r="EZ148" s="299"/>
      <c r="FA148" s="299"/>
      <c r="FB148" s="299"/>
      <c r="FC148" s="299"/>
      <c r="FD148" s="299"/>
      <c r="FE148" s="299"/>
      <c r="FF148" s="299"/>
      <c r="FG148" s="299"/>
      <c r="FH148" s="299"/>
      <c r="FI148" s="299"/>
      <c r="FJ148" s="299"/>
      <c r="FK148" s="299"/>
      <c r="FL148" s="299"/>
      <c r="FM148" s="299"/>
      <c r="FN148" s="299"/>
      <c r="FO148" s="299"/>
      <c r="FP148" s="299"/>
      <c r="FQ148" s="300" t="e">
        <f t="shared" ca="1" si="143"/>
        <v>#VALUE!</v>
      </c>
      <c r="FR148" s="300" t="e">
        <f t="shared" ca="1" si="144"/>
        <v>#VALUE!</v>
      </c>
      <c r="FS148" s="300" t="e">
        <f t="shared" ca="1" si="144"/>
        <v>#VALUE!</v>
      </c>
      <c r="FT148" s="300" t="e">
        <f t="shared" ca="1" si="144"/>
        <v>#VALUE!</v>
      </c>
      <c r="FU148" s="300" t="e">
        <f t="shared" ca="1" si="144"/>
        <v>#VALUE!</v>
      </c>
      <c r="FV148" s="300" t="e">
        <f t="shared" ca="1" si="144"/>
        <v>#VALUE!</v>
      </c>
      <c r="FW148" s="300" t="e">
        <f t="shared" ca="1" si="144"/>
        <v>#VALUE!</v>
      </c>
      <c r="FX148" s="300" t="e">
        <f t="shared" ca="1" si="144"/>
        <v>#VALUE!</v>
      </c>
      <c r="FY148" s="300" t="e">
        <f t="shared" ca="1" si="144"/>
        <v>#VALUE!</v>
      </c>
      <c r="FZ148" s="300" t="e">
        <f t="shared" ca="1" si="144"/>
        <v>#VALUE!</v>
      </c>
      <c r="GA148" s="301" t="e">
        <f t="shared" ca="1" si="144"/>
        <v>#VALUE!</v>
      </c>
      <c r="GB148" s="301" t="e">
        <f t="shared" ca="1" si="145"/>
        <v>#VALUE!</v>
      </c>
      <c r="GC148" s="301" t="e">
        <f t="shared" ca="1" si="145"/>
        <v>#VALUE!</v>
      </c>
      <c r="GD148" s="301" t="e">
        <f t="shared" ca="1" si="145"/>
        <v>#VALUE!</v>
      </c>
      <c r="GE148" s="301" t="e">
        <f t="shared" ca="1" si="145"/>
        <v>#VALUE!</v>
      </c>
      <c r="GF148" s="301" t="e">
        <f t="shared" ca="1" si="145"/>
        <v>#VALUE!</v>
      </c>
      <c r="GG148" s="301" t="e">
        <f t="shared" ca="1" si="145"/>
        <v>#VALUE!</v>
      </c>
      <c r="GH148" s="301" t="e">
        <f t="shared" ca="1" si="145"/>
        <v>#VALUE!</v>
      </c>
      <c r="GI148" s="301" t="e">
        <f t="shared" ca="1" si="145"/>
        <v>#VALUE!</v>
      </c>
      <c r="GJ148" s="301" t="e">
        <f t="shared" ca="1" si="145"/>
        <v>#VALUE!</v>
      </c>
      <c r="GK148" s="301" t="e">
        <f t="shared" ca="1" si="145"/>
        <v>#VALUE!</v>
      </c>
      <c r="GL148" s="301" t="e">
        <f t="shared" ca="1" si="145"/>
        <v>#VALUE!</v>
      </c>
      <c r="GM148" s="301" t="e">
        <f t="shared" ca="1" si="145"/>
        <v>#VALUE!</v>
      </c>
      <c r="GN148" s="302" t="e">
        <f t="shared" ca="1" si="145"/>
        <v>#VALUE!</v>
      </c>
      <c r="GO148" s="302" t="e">
        <f t="shared" ca="1" si="145"/>
        <v>#VALUE!</v>
      </c>
      <c r="GP148" s="301">
        <f t="shared" si="154"/>
        <v>90</v>
      </c>
      <c r="GQ148" s="301">
        <f t="shared" si="154"/>
        <v>180</v>
      </c>
      <c r="GR148" s="301">
        <f t="shared" si="154"/>
        <v>180</v>
      </c>
      <c r="GS148" s="301">
        <f t="shared" si="154"/>
        <v>180</v>
      </c>
      <c r="GT148" s="301">
        <f t="shared" si="154"/>
        <v>180</v>
      </c>
      <c r="GU148" s="303">
        <f t="shared" si="154"/>
        <v>45</v>
      </c>
      <c r="GV148" s="302">
        <f t="shared" si="154"/>
        <v>0</v>
      </c>
      <c r="GW148" s="302">
        <f t="shared" si="154"/>
        <v>0</v>
      </c>
      <c r="GX148" s="302">
        <f t="shared" si="154"/>
        <v>0</v>
      </c>
      <c r="GY148" s="302">
        <f t="shared" si="154"/>
        <v>0</v>
      </c>
      <c r="GZ148" s="302">
        <f t="shared" si="154"/>
        <v>0</v>
      </c>
      <c r="HA148" s="302">
        <f t="shared" si="154"/>
        <v>0</v>
      </c>
      <c r="HB148" s="302">
        <f t="shared" si="154"/>
        <v>0</v>
      </c>
      <c r="HC148" s="302">
        <f t="shared" si="154"/>
        <v>0</v>
      </c>
      <c r="HD148" s="302">
        <f t="shared" si="154"/>
        <v>0</v>
      </c>
      <c r="HE148" s="302">
        <f t="shared" si="154"/>
        <v>0</v>
      </c>
      <c r="HF148" s="304"/>
      <c r="HG148" s="305"/>
    </row>
    <row r="149" spans="1:215" s="306" customFormat="1" ht="15" customHeight="1">
      <c r="A149" s="291"/>
      <c r="B149" s="292" t="s">
        <v>348</v>
      </c>
      <c r="C149" s="292" t="s">
        <v>117</v>
      </c>
      <c r="D149" s="292" t="s">
        <v>117</v>
      </c>
      <c r="E149" s="292" t="s">
        <v>499</v>
      </c>
      <c r="F149" s="292" t="s">
        <v>185</v>
      </c>
      <c r="G149" s="292" t="s">
        <v>350</v>
      </c>
      <c r="H149" s="292" t="s">
        <v>492</v>
      </c>
      <c r="I149" s="292" t="s">
        <v>493</v>
      </c>
      <c r="J149" s="292" t="s">
        <v>185</v>
      </c>
      <c r="K149" s="292" t="s">
        <v>475</v>
      </c>
      <c r="L149" s="292" t="s">
        <v>500</v>
      </c>
      <c r="M149" s="292" t="s">
        <v>371</v>
      </c>
      <c r="N149" s="292" t="str">
        <f t="shared" si="146"/>
        <v>OCM-OCM</v>
      </c>
      <c r="O149" s="292" t="str">
        <f t="shared" si="147"/>
        <v>Human Capital-Manager-Mexico-Consulting</v>
      </c>
      <c r="P149" s="292" t="str">
        <f t="shared" si="148"/>
        <v>OCM - Human Capital</v>
      </c>
      <c r="Q149" s="293">
        <f t="shared" si="140"/>
        <v>41748</v>
      </c>
      <c r="R149" s="294">
        <f t="shared" si="141"/>
        <v>1704</v>
      </c>
      <c r="S149" s="295">
        <f t="shared" si="149"/>
        <v>126</v>
      </c>
      <c r="T149" s="295">
        <f t="shared" si="142"/>
        <v>294</v>
      </c>
      <c r="U149" s="296" t="str">
        <f t="shared" si="150"/>
        <v>Human Capital - Manager</v>
      </c>
      <c r="V149" s="295" t="str">
        <f t="shared" si="151"/>
        <v>9-12 years</v>
      </c>
      <c r="W149" s="292" t="str">
        <f t="shared" si="152"/>
        <v>Nearshore</v>
      </c>
      <c r="X149" s="292" t="s">
        <v>261</v>
      </c>
      <c r="Y149" s="292" t="s">
        <v>492</v>
      </c>
      <c r="Z149" s="345" t="s">
        <v>376</v>
      </c>
      <c r="AA149" s="297">
        <f>[1]Resourcing!QD153</f>
        <v>359.59227272727298</v>
      </c>
      <c r="AB149" s="298">
        <f t="shared" si="153"/>
        <v>142</v>
      </c>
      <c r="AC149" s="347"/>
      <c r="AD149" s="347"/>
      <c r="AE149" s="347"/>
      <c r="AF149" s="347"/>
      <c r="AG149" s="347"/>
      <c r="AH149" s="347"/>
      <c r="AI149" s="347"/>
      <c r="AJ149" s="347"/>
      <c r="AK149" s="347"/>
      <c r="AL149" s="347"/>
      <c r="AM149" s="347"/>
      <c r="AN149" s="347"/>
      <c r="AO149" s="347"/>
      <c r="AP149" s="347"/>
      <c r="AQ149" s="347"/>
      <c r="AR149" s="347"/>
      <c r="AS149" s="347"/>
      <c r="AT149" s="347"/>
      <c r="AU149" s="347"/>
      <c r="AV149" s="347"/>
      <c r="AW149" s="347"/>
      <c r="AX149" s="347"/>
      <c r="AY149" s="347"/>
      <c r="AZ149" s="347"/>
      <c r="BA149" s="347"/>
      <c r="BB149" s="347"/>
      <c r="BC149" s="347"/>
      <c r="BD149" s="347"/>
      <c r="BE149" s="347"/>
      <c r="BF149" s="347"/>
      <c r="BG149" s="347"/>
      <c r="BH149" s="347"/>
      <c r="BI149" s="347">
        <v>2</v>
      </c>
      <c r="BJ149" s="347">
        <v>2</v>
      </c>
      <c r="BK149" s="347">
        <v>2</v>
      </c>
      <c r="BL149" s="347">
        <v>2</v>
      </c>
      <c r="BM149" s="347">
        <v>2</v>
      </c>
      <c r="BN149" s="347">
        <v>2</v>
      </c>
      <c r="BO149" s="347">
        <v>2</v>
      </c>
      <c r="BP149" s="347">
        <v>2</v>
      </c>
      <c r="BQ149" s="347">
        <v>2</v>
      </c>
      <c r="BR149" s="347"/>
      <c r="BS149" s="347"/>
      <c r="BT149" s="347">
        <v>2</v>
      </c>
      <c r="BU149" s="347">
        <v>2</v>
      </c>
      <c r="BV149" s="347">
        <v>2</v>
      </c>
      <c r="BW149" s="347">
        <v>2</v>
      </c>
      <c r="BX149" s="347">
        <v>2</v>
      </c>
      <c r="BY149" s="347">
        <v>2</v>
      </c>
      <c r="BZ149" s="347">
        <v>2</v>
      </c>
      <c r="CA149" s="347">
        <v>2</v>
      </c>
      <c r="CB149" s="347">
        <v>2</v>
      </c>
      <c r="CC149" s="347">
        <v>2</v>
      </c>
      <c r="CD149" s="347">
        <v>2</v>
      </c>
      <c r="CE149" s="347">
        <v>2</v>
      </c>
      <c r="CF149" s="347">
        <v>2</v>
      </c>
      <c r="CG149" s="347">
        <v>2</v>
      </c>
      <c r="CH149" s="347">
        <v>2</v>
      </c>
      <c r="CI149" s="347">
        <v>2</v>
      </c>
      <c r="CJ149" s="347">
        <v>2</v>
      </c>
      <c r="CK149" s="347">
        <v>2</v>
      </c>
      <c r="CL149" s="347">
        <v>2</v>
      </c>
      <c r="CM149" s="347">
        <v>2</v>
      </c>
      <c r="CN149" s="347">
        <v>2</v>
      </c>
      <c r="CO149" s="347">
        <v>2</v>
      </c>
      <c r="CP149" s="347">
        <v>2</v>
      </c>
      <c r="CQ149" s="347">
        <v>2</v>
      </c>
      <c r="CR149" s="347">
        <v>2</v>
      </c>
      <c r="CS149" s="347">
        <v>2</v>
      </c>
      <c r="CT149" s="347">
        <v>2</v>
      </c>
      <c r="CU149" s="347">
        <v>2</v>
      </c>
      <c r="CV149" s="347">
        <v>2</v>
      </c>
      <c r="CW149" s="347">
        <v>2</v>
      </c>
      <c r="CX149" s="347">
        <v>5</v>
      </c>
      <c r="CY149" s="347">
        <v>5</v>
      </c>
      <c r="CZ149" s="347">
        <v>5</v>
      </c>
      <c r="DA149" s="347">
        <v>5</v>
      </c>
      <c r="DB149" s="347">
        <v>5</v>
      </c>
      <c r="DC149" s="347">
        <v>5</v>
      </c>
      <c r="DD149" s="347">
        <v>5</v>
      </c>
      <c r="DE149" s="347">
        <v>5</v>
      </c>
      <c r="DF149" s="347">
        <v>5</v>
      </c>
      <c r="DG149" s="347">
        <v>5</v>
      </c>
      <c r="DH149" s="347">
        <v>5</v>
      </c>
      <c r="DI149" s="347">
        <v>5</v>
      </c>
      <c r="DJ149" s="347">
        <v>5</v>
      </c>
      <c r="DK149" s="347">
        <v>5</v>
      </c>
      <c r="DL149" s="347">
        <v>5</v>
      </c>
      <c r="DM149" s="347">
        <v>5</v>
      </c>
      <c r="DN149" s="347">
        <v>5</v>
      </c>
      <c r="DO149" s="347">
        <v>5</v>
      </c>
      <c r="DP149" s="347">
        <v>5</v>
      </c>
      <c r="DQ149" s="347">
        <v>5</v>
      </c>
      <c r="DR149" s="347"/>
      <c r="DS149" s="347"/>
      <c r="DT149" s="347">
        <v>5</v>
      </c>
      <c r="DU149" s="347">
        <v>5</v>
      </c>
      <c r="DV149" s="347">
        <v>5</v>
      </c>
      <c r="DW149" s="347">
        <v>5</v>
      </c>
      <c r="DX149" s="347">
        <v>5</v>
      </c>
      <c r="DY149" s="347">
        <v>5</v>
      </c>
      <c r="DZ149" s="347">
        <v>5</v>
      </c>
      <c r="EA149" s="347">
        <v>5</v>
      </c>
      <c r="EB149" s="347">
        <v>5</v>
      </c>
      <c r="EC149" s="347">
        <v>5</v>
      </c>
      <c r="ED149" s="347">
        <v>5</v>
      </c>
      <c r="EE149" s="347">
        <v>5</v>
      </c>
      <c r="EF149" s="347">
        <v>5</v>
      </c>
      <c r="EG149" s="347">
        <v>5</v>
      </c>
      <c r="EH149" s="347">
        <v>5</v>
      </c>
      <c r="EI149" s="347">
        <v>5</v>
      </c>
      <c r="EJ149" s="347">
        <v>5</v>
      </c>
      <c r="EK149" s="347">
        <v>5</v>
      </c>
      <c r="EL149" s="347">
        <v>5</v>
      </c>
      <c r="EM149" s="347">
        <v>5</v>
      </c>
      <c r="EN149" s="347">
        <v>5</v>
      </c>
      <c r="EO149" s="347">
        <v>5</v>
      </c>
      <c r="EP149" s="347">
        <v>2</v>
      </c>
      <c r="EQ149" s="347">
        <v>2</v>
      </c>
      <c r="ER149" s="347">
        <v>2</v>
      </c>
      <c r="ES149" s="347"/>
      <c r="ET149" s="347"/>
      <c r="EU149" s="347"/>
      <c r="EV149" s="347"/>
      <c r="EW149" s="347"/>
      <c r="EX149" s="347"/>
      <c r="EY149" s="347"/>
      <c r="EZ149" s="347"/>
      <c r="FA149" s="347"/>
      <c r="FB149" s="347"/>
      <c r="FC149" s="347"/>
      <c r="FD149" s="347"/>
      <c r="FE149" s="347"/>
      <c r="FF149" s="347"/>
      <c r="FG149" s="347"/>
      <c r="FH149" s="347"/>
      <c r="FI149" s="347"/>
      <c r="FJ149" s="347"/>
      <c r="FK149" s="347"/>
      <c r="FL149" s="347"/>
      <c r="FM149" s="347"/>
      <c r="FN149" s="347"/>
      <c r="FO149" s="347"/>
      <c r="FP149" s="347"/>
      <c r="FQ149" s="300" t="e">
        <f t="shared" ca="1" si="143"/>
        <v>#VALUE!</v>
      </c>
      <c r="FR149" s="300" t="e">
        <f t="shared" ca="1" si="144"/>
        <v>#VALUE!</v>
      </c>
      <c r="FS149" s="300" t="e">
        <f t="shared" ca="1" si="144"/>
        <v>#VALUE!</v>
      </c>
      <c r="FT149" s="300" t="e">
        <f t="shared" ca="1" si="144"/>
        <v>#VALUE!</v>
      </c>
      <c r="FU149" s="300" t="e">
        <f t="shared" ca="1" si="144"/>
        <v>#VALUE!</v>
      </c>
      <c r="FV149" s="300" t="e">
        <f t="shared" ca="1" si="144"/>
        <v>#VALUE!</v>
      </c>
      <c r="FW149" s="300" t="e">
        <f t="shared" ca="1" si="144"/>
        <v>#VALUE!</v>
      </c>
      <c r="FX149" s="300" t="e">
        <f t="shared" ca="1" si="144"/>
        <v>#VALUE!</v>
      </c>
      <c r="FY149" s="300" t="e">
        <f t="shared" ca="1" si="144"/>
        <v>#VALUE!</v>
      </c>
      <c r="FZ149" s="300" t="e">
        <f t="shared" ca="1" si="144"/>
        <v>#VALUE!</v>
      </c>
      <c r="GA149" s="301" t="e">
        <f t="shared" ca="1" si="144"/>
        <v>#VALUE!</v>
      </c>
      <c r="GB149" s="301" t="e">
        <f t="shared" ca="1" si="145"/>
        <v>#VALUE!</v>
      </c>
      <c r="GC149" s="301" t="e">
        <f t="shared" ca="1" si="145"/>
        <v>#VALUE!</v>
      </c>
      <c r="GD149" s="301" t="e">
        <f t="shared" ca="1" si="145"/>
        <v>#VALUE!</v>
      </c>
      <c r="GE149" s="301" t="e">
        <f t="shared" ca="1" si="145"/>
        <v>#VALUE!</v>
      </c>
      <c r="GF149" s="301" t="e">
        <f t="shared" ca="1" si="145"/>
        <v>#VALUE!</v>
      </c>
      <c r="GG149" s="301" t="e">
        <f t="shared" ca="1" si="145"/>
        <v>#VALUE!</v>
      </c>
      <c r="GH149" s="301" t="e">
        <f t="shared" ca="1" si="145"/>
        <v>#VALUE!</v>
      </c>
      <c r="GI149" s="301" t="e">
        <f t="shared" ca="1" si="145"/>
        <v>#VALUE!</v>
      </c>
      <c r="GJ149" s="301" t="e">
        <f t="shared" ca="1" si="145"/>
        <v>#VALUE!</v>
      </c>
      <c r="GK149" s="301" t="e">
        <f t="shared" ca="1" si="145"/>
        <v>#VALUE!</v>
      </c>
      <c r="GL149" s="301" t="e">
        <f t="shared" ca="1" si="145"/>
        <v>#VALUE!</v>
      </c>
      <c r="GM149" s="301" t="e">
        <f t="shared" ca="1" si="145"/>
        <v>#VALUE!</v>
      </c>
      <c r="GN149" s="302" t="e">
        <f t="shared" ca="1" si="145"/>
        <v>#VALUE!</v>
      </c>
      <c r="GO149" s="302" t="e">
        <f t="shared" ca="1" si="145"/>
        <v>#VALUE!</v>
      </c>
      <c r="GP149" s="301">
        <f t="shared" si="154"/>
        <v>10</v>
      </c>
      <c r="GQ149" s="301">
        <f t="shared" si="154"/>
        <v>20</v>
      </c>
      <c r="GR149" s="301">
        <f t="shared" si="154"/>
        <v>20</v>
      </c>
      <c r="GS149" s="301">
        <f t="shared" si="154"/>
        <v>20</v>
      </c>
      <c r="GT149" s="301">
        <f t="shared" si="154"/>
        <v>20</v>
      </c>
      <c r="GU149" s="303">
        <f t="shared" si="154"/>
        <v>20</v>
      </c>
      <c r="GV149" s="302">
        <f t="shared" si="154"/>
        <v>14</v>
      </c>
      <c r="GW149" s="302">
        <f t="shared" si="154"/>
        <v>2</v>
      </c>
      <c r="GX149" s="302">
        <f t="shared" si="154"/>
        <v>0</v>
      </c>
      <c r="GY149" s="302">
        <f t="shared" si="154"/>
        <v>0</v>
      </c>
      <c r="GZ149" s="302">
        <f t="shared" si="154"/>
        <v>0</v>
      </c>
      <c r="HA149" s="302">
        <f t="shared" si="154"/>
        <v>0</v>
      </c>
      <c r="HB149" s="302">
        <f t="shared" si="154"/>
        <v>0</v>
      </c>
      <c r="HC149" s="302">
        <f t="shared" si="154"/>
        <v>0</v>
      </c>
      <c r="HD149" s="302">
        <f t="shared" si="154"/>
        <v>0</v>
      </c>
      <c r="HE149" s="302">
        <f t="shared" si="154"/>
        <v>0</v>
      </c>
      <c r="HF149" s="304"/>
      <c r="HG149" s="305"/>
    </row>
    <row r="150" spans="1:215" s="306" customFormat="1" ht="15" customHeight="1">
      <c r="A150" s="291"/>
      <c r="B150" s="292" t="s">
        <v>348</v>
      </c>
      <c r="C150" s="292" t="s">
        <v>117</v>
      </c>
      <c r="D150" s="292" t="s">
        <v>117</v>
      </c>
      <c r="E150" s="292" t="s">
        <v>501</v>
      </c>
      <c r="F150" s="292" t="s">
        <v>185</v>
      </c>
      <c r="G150" s="292" t="s">
        <v>350</v>
      </c>
      <c r="H150" s="292" t="s">
        <v>492</v>
      </c>
      <c r="I150" s="292" t="s">
        <v>493</v>
      </c>
      <c r="J150" s="292" t="s">
        <v>185</v>
      </c>
      <c r="K150" s="292" t="s">
        <v>475</v>
      </c>
      <c r="L150" s="292" t="s">
        <v>502</v>
      </c>
      <c r="M150" s="292" t="s">
        <v>374</v>
      </c>
      <c r="N150" s="292" t="str">
        <f t="shared" si="146"/>
        <v>OCM-OCM</v>
      </c>
      <c r="O150" s="292" t="str">
        <f t="shared" si="147"/>
        <v>Human Capital-Senior Consultant-Mexico-Consulting</v>
      </c>
      <c r="P150" s="292" t="str">
        <f t="shared" si="148"/>
        <v>OCM - Human Capital</v>
      </c>
      <c r="Q150" s="293">
        <f t="shared" si="140"/>
        <v>302535</v>
      </c>
      <c r="R150" s="294">
        <f t="shared" si="141"/>
        <v>22410</v>
      </c>
      <c r="S150" s="295">
        <f t="shared" si="149"/>
        <v>1080</v>
      </c>
      <c r="T150" s="295">
        <f t="shared" si="142"/>
        <v>3645</v>
      </c>
      <c r="U150" s="296" t="str">
        <f t="shared" si="150"/>
        <v>Human Capital - Senior Consultant</v>
      </c>
      <c r="V150" s="295" t="str">
        <f t="shared" si="151"/>
        <v>6-9 years</v>
      </c>
      <c r="W150" s="292" t="str">
        <f t="shared" si="152"/>
        <v>Nearshore</v>
      </c>
      <c r="X150" s="292" t="s">
        <v>261</v>
      </c>
      <c r="Y150" s="292" t="s">
        <v>492</v>
      </c>
      <c r="Z150" s="345" t="s">
        <v>364</v>
      </c>
      <c r="AA150" s="297">
        <f>[1]Resourcing!QD154</f>
        <v>325.89444444444399</v>
      </c>
      <c r="AB150" s="298">
        <f t="shared" si="153"/>
        <v>83</v>
      </c>
      <c r="AC150" s="347"/>
      <c r="AD150" s="347"/>
      <c r="AE150" s="347"/>
      <c r="AF150" s="347"/>
      <c r="AG150" s="347"/>
      <c r="AH150" s="347"/>
      <c r="AI150" s="347"/>
      <c r="AJ150" s="347"/>
      <c r="AK150" s="347"/>
      <c r="AL150" s="347"/>
      <c r="AM150" s="347"/>
      <c r="AN150" s="347"/>
      <c r="AO150" s="347"/>
      <c r="AP150" s="347"/>
      <c r="AQ150" s="347"/>
      <c r="AR150" s="347"/>
      <c r="AS150" s="347"/>
      <c r="AT150" s="347"/>
      <c r="AU150" s="347"/>
      <c r="AV150" s="347"/>
      <c r="AW150" s="347"/>
      <c r="AX150" s="347"/>
      <c r="AY150" s="347"/>
      <c r="AZ150" s="347"/>
      <c r="BA150" s="347"/>
      <c r="BB150" s="347"/>
      <c r="BC150" s="347"/>
      <c r="BD150" s="347"/>
      <c r="BE150" s="347"/>
      <c r="BF150" s="347"/>
      <c r="BG150" s="347"/>
      <c r="BH150" s="347"/>
      <c r="BI150" s="347">
        <v>45</v>
      </c>
      <c r="BJ150" s="347">
        <v>45</v>
      </c>
      <c r="BK150" s="347">
        <v>45</v>
      </c>
      <c r="BL150" s="347">
        <v>45</v>
      </c>
      <c r="BM150" s="347">
        <v>45</v>
      </c>
      <c r="BN150" s="347">
        <v>45</v>
      </c>
      <c r="BO150" s="347">
        <v>45</v>
      </c>
      <c r="BP150" s="347">
        <v>45</v>
      </c>
      <c r="BQ150" s="347">
        <v>45</v>
      </c>
      <c r="BR150" s="347"/>
      <c r="BS150" s="347"/>
      <c r="BT150" s="347">
        <v>45</v>
      </c>
      <c r="BU150" s="347">
        <v>45</v>
      </c>
      <c r="BV150" s="347">
        <v>45</v>
      </c>
      <c r="BW150" s="347">
        <v>45</v>
      </c>
      <c r="BX150" s="347">
        <v>45</v>
      </c>
      <c r="BY150" s="347">
        <v>45</v>
      </c>
      <c r="BZ150" s="347">
        <v>45</v>
      </c>
      <c r="CA150" s="347">
        <v>45</v>
      </c>
      <c r="CB150" s="347">
        <v>45</v>
      </c>
      <c r="CC150" s="347">
        <v>45</v>
      </c>
      <c r="CD150" s="347">
        <v>45</v>
      </c>
      <c r="CE150" s="347">
        <v>45</v>
      </c>
      <c r="CF150" s="347">
        <v>45</v>
      </c>
      <c r="CG150" s="347">
        <v>45</v>
      </c>
      <c r="CH150" s="347">
        <v>45</v>
      </c>
      <c r="CI150" s="347">
        <v>45</v>
      </c>
      <c r="CJ150" s="347">
        <v>45</v>
      </c>
      <c r="CK150" s="347">
        <v>45</v>
      </c>
      <c r="CL150" s="347">
        <v>45</v>
      </c>
      <c r="CM150" s="347">
        <v>45</v>
      </c>
      <c r="CN150" s="347">
        <v>45</v>
      </c>
      <c r="CO150" s="347">
        <v>45</v>
      </c>
      <c r="CP150" s="347">
        <v>45</v>
      </c>
      <c r="CQ150" s="347">
        <v>45</v>
      </c>
      <c r="CR150" s="347">
        <v>45</v>
      </c>
      <c r="CS150" s="347">
        <v>45</v>
      </c>
      <c r="CT150" s="347">
        <v>45</v>
      </c>
      <c r="CU150" s="347">
        <v>45</v>
      </c>
      <c r="CV150" s="347">
        <v>45</v>
      </c>
      <c r="CW150" s="347">
        <v>45</v>
      </c>
      <c r="CX150" s="347">
        <v>45</v>
      </c>
      <c r="CY150" s="347">
        <v>45</v>
      </c>
      <c r="CZ150" s="347">
        <v>45</v>
      </c>
      <c r="DA150" s="347">
        <v>45</v>
      </c>
      <c r="DB150" s="347">
        <v>45</v>
      </c>
      <c r="DC150" s="347">
        <v>45</v>
      </c>
      <c r="DD150" s="347">
        <v>45</v>
      </c>
      <c r="DE150" s="347">
        <v>45</v>
      </c>
      <c r="DF150" s="347">
        <v>45</v>
      </c>
      <c r="DG150" s="347">
        <v>45</v>
      </c>
      <c r="DH150" s="347">
        <v>45</v>
      </c>
      <c r="DI150" s="347">
        <v>45</v>
      </c>
      <c r="DJ150" s="347">
        <v>45</v>
      </c>
      <c r="DK150" s="347">
        <v>45</v>
      </c>
      <c r="DL150" s="347">
        <v>45</v>
      </c>
      <c r="DM150" s="347">
        <v>45</v>
      </c>
      <c r="DN150" s="347">
        <v>45</v>
      </c>
      <c r="DO150" s="347">
        <v>45</v>
      </c>
      <c r="DP150" s="347">
        <v>45</v>
      </c>
      <c r="DQ150" s="347">
        <v>45</v>
      </c>
      <c r="DR150" s="347"/>
      <c r="DS150" s="347"/>
      <c r="DT150" s="347">
        <v>45</v>
      </c>
      <c r="DU150" s="347">
        <v>45</v>
      </c>
      <c r="DV150" s="347">
        <v>45</v>
      </c>
      <c r="DW150" s="347">
        <v>45</v>
      </c>
      <c r="DX150" s="347">
        <v>45</v>
      </c>
      <c r="DY150" s="347">
        <v>45</v>
      </c>
      <c r="DZ150" s="347">
        <v>45</v>
      </c>
      <c r="EA150" s="347">
        <v>45</v>
      </c>
      <c r="EB150" s="347">
        <v>45</v>
      </c>
      <c r="EC150" s="347">
        <v>45</v>
      </c>
      <c r="ED150" s="347">
        <v>45</v>
      </c>
      <c r="EE150" s="347">
        <v>45</v>
      </c>
      <c r="EF150" s="347">
        <v>45</v>
      </c>
      <c r="EG150" s="347">
        <v>45</v>
      </c>
      <c r="EH150" s="347">
        <v>45</v>
      </c>
      <c r="EI150" s="347">
        <v>45</v>
      </c>
      <c r="EJ150" s="347">
        <v>45</v>
      </c>
      <c r="EK150" s="347">
        <v>45</v>
      </c>
      <c r="EL150" s="347">
        <v>45</v>
      </c>
      <c r="EM150" s="347">
        <v>45</v>
      </c>
      <c r="EN150" s="347">
        <v>45</v>
      </c>
      <c r="EO150" s="347">
        <v>45</v>
      </c>
      <c r="EP150" s="347"/>
      <c r="EQ150" s="347"/>
      <c r="ER150" s="347"/>
      <c r="ES150" s="347"/>
      <c r="ET150" s="347"/>
      <c r="EU150" s="347"/>
      <c r="EV150" s="347"/>
      <c r="EW150" s="347"/>
      <c r="EX150" s="347"/>
      <c r="EY150" s="347"/>
      <c r="EZ150" s="347"/>
      <c r="FA150" s="347"/>
      <c r="FB150" s="347"/>
      <c r="FC150" s="347"/>
      <c r="FD150" s="347"/>
      <c r="FE150" s="347"/>
      <c r="FF150" s="347"/>
      <c r="FG150" s="347"/>
      <c r="FH150" s="347"/>
      <c r="FI150" s="347"/>
      <c r="FJ150" s="347"/>
      <c r="FK150" s="347"/>
      <c r="FL150" s="347"/>
      <c r="FM150" s="347"/>
      <c r="FN150" s="347"/>
      <c r="FO150" s="347"/>
      <c r="FP150" s="347"/>
      <c r="FQ150" s="300" t="e">
        <f t="shared" ca="1" si="143"/>
        <v>#VALUE!</v>
      </c>
      <c r="FR150" s="300" t="e">
        <f t="shared" ca="1" si="144"/>
        <v>#VALUE!</v>
      </c>
      <c r="FS150" s="300" t="e">
        <f t="shared" ca="1" si="144"/>
        <v>#VALUE!</v>
      </c>
      <c r="FT150" s="300" t="e">
        <f t="shared" ca="1" si="144"/>
        <v>#VALUE!</v>
      </c>
      <c r="FU150" s="300" t="e">
        <f t="shared" ca="1" si="144"/>
        <v>#VALUE!</v>
      </c>
      <c r="FV150" s="300" t="e">
        <f t="shared" ca="1" si="144"/>
        <v>#VALUE!</v>
      </c>
      <c r="FW150" s="300" t="e">
        <f t="shared" ca="1" si="144"/>
        <v>#VALUE!</v>
      </c>
      <c r="FX150" s="300" t="e">
        <f t="shared" ca="1" si="144"/>
        <v>#VALUE!</v>
      </c>
      <c r="FY150" s="300" t="e">
        <f t="shared" ca="1" si="144"/>
        <v>#VALUE!</v>
      </c>
      <c r="FZ150" s="300" t="e">
        <f t="shared" ca="1" si="144"/>
        <v>#VALUE!</v>
      </c>
      <c r="GA150" s="301" t="e">
        <f t="shared" ca="1" si="144"/>
        <v>#VALUE!</v>
      </c>
      <c r="GB150" s="301" t="e">
        <f t="shared" ca="1" si="145"/>
        <v>#VALUE!</v>
      </c>
      <c r="GC150" s="301" t="e">
        <f t="shared" ca="1" si="145"/>
        <v>#VALUE!</v>
      </c>
      <c r="GD150" s="301" t="e">
        <f t="shared" ca="1" si="145"/>
        <v>#VALUE!</v>
      </c>
      <c r="GE150" s="301" t="e">
        <f t="shared" ca="1" si="145"/>
        <v>#VALUE!</v>
      </c>
      <c r="GF150" s="301" t="e">
        <f t="shared" ca="1" si="145"/>
        <v>#VALUE!</v>
      </c>
      <c r="GG150" s="301" t="e">
        <f t="shared" ca="1" si="145"/>
        <v>#VALUE!</v>
      </c>
      <c r="GH150" s="301" t="e">
        <f t="shared" ca="1" si="145"/>
        <v>#VALUE!</v>
      </c>
      <c r="GI150" s="301" t="e">
        <f t="shared" ca="1" si="145"/>
        <v>#VALUE!</v>
      </c>
      <c r="GJ150" s="301" t="e">
        <f t="shared" ca="1" si="145"/>
        <v>#VALUE!</v>
      </c>
      <c r="GK150" s="301" t="e">
        <f t="shared" ca="1" si="145"/>
        <v>#VALUE!</v>
      </c>
      <c r="GL150" s="301" t="e">
        <f t="shared" ca="1" si="145"/>
        <v>#VALUE!</v>
      </c>
      <c r="GM150" s="301" t="e">
        <f t="shared" ca="1" si="145"/>
        <v>#VALUE!</v>
      </c>
      <c r="GN150" s="302" t="e">
        <f t="shared" ca="1" si="145"/>
        <v>#VALUE!</v>
      </c>
      <c r="GO150" s="302" t="e">
        <f t="shared" ca="1" si="145"/>
        <v>#VALUE!</v>
      </c>
      <c r="GP150" s="301">
        <f t="shared" si="154"/>
        <v>90</v>
      </c>
      <c r="GQ150" s="301">
        <f t="shared" si="154"/>
        <v>180</v>
      </c>
      <c r="GR150" s="301">
        <f t="shared" si="154"/>
        <v>180</v>
      </c>
      <c r="GS150" s="301">
        <f t="shared" si="154"/>
        <v>180</v>
      </c>
      <c r="GT150" s="301">
        <f t="shared" si="154"/>
        <v>180</v>
      </c>
      <c r="GU150" s="303">
        <f t="shared" si="154"/>
        <v>180</v>
      </c>
      <c r="GV150" s="302">
        <f t="shared" si="154"/>
        <v>90</v>
      </c>
      <c r="GW150" s="302">
        <f t="shared" si="154"/>
        <v>0</v>
      </c>
      <c r="GX150" s="302">
        <f t="shared" si="154"/>
        <v>0</v>
      </c>
      <c r="GY150" s="302">
        <f t="shared" si="154"/>
        <v>0</v>
      </c>
      <c r="GZ150" s="302">
        <f t="shared" si="154"/>
        <v>0</v>
      </c>
      <c r="HA150" s="302">
        <f t="shared" si="154"/>
        <v>0</v>
      </c>
      <c r="HB150" s="302">
        <f t="shared" si="154"/>
        <v>0</v>
      </c>
      <c r="HC150" s="302">
        <f t="shared" si="154"/>
        <v>0</v>
      </c>
      <c r="HD150" s="302">
        <f t="shared" si="154"/>
        <v>0</v>
      </c>
      <c r="HE150" s="302">
        <f t="shared" si="154"/>
        <v>0</v>
      </c>
      <c r="HF150" s="304"/>
      <c r="HG150" s="305"/>
    </row>
    <row r="151" spans="1:215" s="355" customFormat="1" ht="15" customHeight="1">
      <c r="A151" s="348"/>
      <c r="B151" s="292" t="s">
        <v>348</v>
      </c>
      <c r="C151" s="292" t="s">
        <v>117</v>
      </c>
      <c r="D151" s="292" t="s">
        <v>117</v>
      </c>
      <c r="E151" s="292" t="s">
        <v>503</v>
      </c>
      <c r="F151" s="292" t="s">
        <v>185</v>
      </c>
      <c r="G151" s="292" t="s">
        <v>350</v>
      </c>
      <c r="H151" s="292" t="s">
        <v>492</v>
      </c>
      <c r="I151" s="292" t="s">
        <v>493</v>
      </c>
      <c r="J151" s="292" t="s">
        <v>185</v>
      </c>
      <c r="K151" s="292" t="s">
        <v>475</v>
      </c>
      <c r="L151" s="292" t="s">
        <v>502</v>
      </c>
      <c r="M151" s="292" t="s">
        <v>374</v>
      </c>
      <c r="N151" s="292" t="str">
        <f t="shared" si="146"/>
        <v>OCM-OCM</v>
      </c>
      <c r="O151" s="292" t="str">
        <f t="shared" si="147"/>
        <v>Human Capital-Senior Consultant-Mexico-Consulting</v>
      </c>
      <c r="P151" s="292" t="str">
        <f t="shared" si="148"/>
        <v>OCM - Human Capital</v>
      </c>
      <c r="Q151" s="293">
        <f t="shared" si="140"/>
        <v>168075</v>
      </c>
      <c r="R151" s="294">
        <f t="shared" si="141"/>
        <v>0</v>
      </c>
      <c r="S151" s="295">
        <f t="shared" si="149"/>
        <v>1215</v>
      </c>
      <c r="T151" s="295">
        <f t="shared" si="142"/>
        <v>2025</v>
      </c>
      <c r="U151" s="296" t="str">
        <f t="shared" si="150"/>
        <v>Human Capital - Senior Consultant</v>
      </c>
      <c r="V151" s="295" t="str">
        <f t="shared" si="151"/>
        <v>6-9 years</v>
      </c>
      <c r="W151" s="292" t="str">
        <f t="shared" si="152"/>
        <v>Nearshore</v>
      </c>
      <c r="X151" s="292" t="s">
        <v>261</v>
      </c>
      <c r="Y151" s="292" t="s">
        <v>492</v>
      </c>
      <c r="Z151" s="349" t="s">
        <v>364</v>
      </c>
      <c r="AA151" s="297">
        <f>[1]Resourcing!QD155</f>
        <v>325.89444444444399</v>
      </c>
      <c r="AB151" s="298">
        <f t="shared" si="153"/>
        <v>83</v>
      </c>
      <c r="AC151" s="347"/>
      <c r="AD151" s="347"/>
      <c r="AE151" s="347"/>
      <c r="AF151" s="347"/>
      <c r="AG151" s="347"/>
      <c r="AH151" s="347"/>
      <c r="AI151" s="347"/>
      <c r="AJ151" s="347"/>
      <c r="AK151" s="347"/>
      <c r="AL151" s="347"/>
      <c r="AM151" s="347"/>
      <c r="AN151" s="347"/>
      <c r="AO151" s="347"/>
      <c r="AP151" s="347"/>
      <c r="AQ151" s="347"/>
      <c r="AR151" s="347"/>
      <c r="AS151" s="347"/>
      <c r="AT151" s="347"/>
      <c r="AU151" s="347"/>
      <c r="AV151" s="347"/>
      <c r="AW151" s="347"/>
      <c r="AX151" s="347"/>
      <c r="AY151" s="347"/>
      <c r="AZ151" s="347"/>
      <c r="BA151" s="347"/>
      <c r="BB151" s="347"/>
      <c r="BC151" s="347"/>
      <c r="BD151" s="347"/>
      <c r="BE151" s="347"/>
      <c r="BF151" s="347"/>
      <c r="BG151" s="347"/>
      <c r="BH151" s="347"/>
      <c r="BI151" s="347"/>
      <c r="BJ151" s="347"/>
      <c r="BK151" s="347"/>
      <c r="BL151" s="347"/>
      <c r="BM151" s="347"/>
      <c r="BN151" s="347"/>
      <c r="BO151" s="347"/>
      <c r="BP151" s="347"/>
      <c r="BQ151" s="347"/>
      <c r="BR151" s="347"/>
      <c r="BS151" s="347"/>
      <c r="BT151" s="347"/>
      <c r="BU151" s="347"/>
      <c r="BV151" s="347"/>
      <c r="BW151" s="347"/>
      <c r="BX151" s="347"/>
      <c r="BY151" s="347"/>
      <c r="BZ151" s="347"/>
      <c r="CA151" s="347"/>
      <c r="CB151" s="347"/>
      <c r="CC151" s="347"/>
      <c r="CD151" s="347"/>
      <c r="CE151" s="347"/>
      <c r="CF151" s="347"/>
      <c r="CG151" s="347"/>
      <c r="CH151" s="347"/>
      <c r="CI151" s="347"/>
      <c r="CJ151" s="347"/>
      <c r="CK151" s="347"/>
      <c r="CL151" s="347"/>
      <c r="CM151" s="347"/>
      <c r="CN151" s="347"/>
      <c r="CO151" s="347"/>
      <c r="CP151" s="347"/>
      <c r="CQ151" s="347"/>
      <c r="CR151" s="347"/>
      <c r="CS151" s="347"/>
      <c r="CT151" s="347"/>
      <c r="CU151" s="347"/>
      <c r="CV151" s="347"/>
      <c r="CW151" s="347"/>
      <c r="CX151" s="347">
        <v>45</v>
      </c>
      <c r="CY151" s="347">
        <v>45</v>
      </c>
      <c r="CZ151" s="347">
        <v>45</v>
      </c>
      <c r="DA151" s="347">
        <v>45</v>
      </c>
      <c r="DB151" s="347">
        <v>45</v>
      </c>
      <c r="DC151" s="350">
        <v>45</v>
      </c>
      <c r="DD151" s="350">
        <v>45</v>
      </c>
      <c r="DE151" s="350">
        <v>45</v>
      </c>
      <c r="DF151" s="350">
        <v>45</v>
      </c>
      <c r="DG151" s="350">
        <v>45</v>
      </c>
      <c r="DH151" s="350">
        <v>45</v>
      </c>
      <c r="DI151" s="350">
        <v>45</v>
      </c>
      <c r="DJ151" s="350">
        <v>45</v>
      </c>
      <c r="DK151" s="350">
        <v>45</v>
      </c>
      <c r="DL151" s="350">
        <v>45</v>
      </c>
      <c r="DM151" s="350">
        <v>45</v>
      </c>
      <c r="DN151" s="350">
        <v>45</v>
      </c>
      <c r="DO151" s="350">
        <v>45</v>
      </c>
      <c r="DP151" s="350">
        <v>45</v>
      </c>
      <c r="DQ151" s="347">
        <v>45</v>
      </c>
      <c r="DR151" s="347"/>
      <c r="DS151" s="347"/>
      <c r="DT151" s="347">
        <v>45</v>
      </c>
      <c r="DU151" s="347">
        <v>45</v>
      </c>
      <c r="DV151" s="347">
        <v>45</v>
      </c>
      <c r="DW151" s="347">
        <v>45</v>
      </c>
      <c r="DX151" s="347">
        <v>45</v>
      </c>
      <c r="DY151" s="347">
        <v>45</v>
      </c>
      <c r="DZ151" s="347">
        <v>45</v>
      </c>
      <c r="EA151" s="347">
        <v>45</v>
      </c>
      <c r="EB151" s="347">
        <v>45</v>
      </c>
      <c r="EC151" s="347">
        <v>45</v>
      </c>
      <c r="ED151" s="347">
        <v>45</v>
      </c>
      <c r="EE151" s="347">
        <v>45</v>
      </c>
      <c r="EF151" s="347">
        <v>45</v>
      </c>
      <c r="EG151" s="347">
        <v>45</v>
      </c>
      <c r="EH151" s="347">
        <v>45</v>
      </c>
      <c r="EI151" s="347">
        <v>45</v>
      </c>
      <c r="EJ151" s="347">
        <v>45</v>
      </c>
      <c r="EK151" s="347">
        <v>45</v>
      </c>
      <c r="EL151" s="347">
        <v>45</v>
      </c>
      <c r="EM151" s="347">
        <v>45</v>
      </c>
      <c r="EN151" s="347">
        <v>45</v>
      </c>
      <c r="EO151" s="347">
        <v>45</v>
      </c>
      <c r="EP151" s="347">
        <v>45</v>
      </c>
      <c r="EQ151" s="347">
        <v>45</v>
      </c>
      <c r="ER151" s="347">
        <v>45</v>
      </c>
      <c r="ES151" s="347"/>
      <c r="ET151" s="347"/>
      <c r="EU151" s="347"/>
      <c r="EV151" s="347"/>
      <c r="EW151" s="347"/>
      <c r="EX151" s="347"/>
      <c r="EY151" s="347"/>
      <c r="EZ151" s="347"/>
      <c r="FA151" s="347"/>
      <c r="FB151" s="347"/>
      <c r="FC151" s="347"/>
      <c r="FD151" s="347"/>
      <c r="FE151" s="347"/>
      <c r="FF151" s="347"/>
      <c r="FG151" s="347"/>
      <c r="FH151" s="347"/>
      <c r="FI151" s="347"/>
      <c r="FJ151" s="347"/>
      <c r="FK151" s="347"/>
      <c r="FL151" s="347"/>
      <c r="FM151" s="347"/>
      <c r="FN151" s="347"/>
      <c r="FO151" s="347"/>
      <c r="FP151" s="347"/>
      <c r="FQ151" s="300" t="e">
        <f t="shared" ca="1" si="143"/>
        <v>#VALUE!</v>
      </c>
      <c r="FR151" s="300" t="e">
        <f t="shared" ca="1" si="144"/>
        <v>#VALUE!</v>
      </c>
      <c r="FS151" s="300" t="e">
        <f t="shared" ca="1" si="144"/>
        <v>#VALUE!</v>
      </c>
      <c r="FT151" s="300" t="e">
        <f t="shared" ca="1" si="144"/>
        <v>#VALUE!</v>
      </c>
      <c r="FU151" s="300" t="e">
        <f t="shared" ca="1" si="144"/>
        <v>#VALUE!</v>
      </c>
      <c r="FV151" s="300" t="e">
        <f t="shared" ca="1" si="144"/>
        <v>#VALUE!</v>
      </c>
      <c r="FW151" s="300" t="e">
        <f t="shared" ca="1" si="144"/>
        <v>#VALUE!</v>
      </c>
      <c r="FX151" s="300" t="e">
        <f t="shared" ca="1" si="144"/>
        <v>#VALUE!</v>
      </c>
      <c r="FY151" s="300" t="e">
        <f t="shared" ca="1" si="144"/>
        <v>#VALUE!</v>
      </c>
      <c r="FZ151" s="300" t="e">
        <f t="shared" ca="1" si="144"/>
        <v>#VALUE!</v>
      </c>
      <c r="GA151" s="301" t="e">
        <f t="shared" ca="1" si="144"/>
        <v>#VALUE!</v>
      </c>
      <c r="GB151" s="301" t="e">
        <f t="shared" ca="1" si="145"/>
        <v>#VALUE!</v>
      </c>
      <c r="GC151" s="301" t="e">
        <f t="shared" ca="1" si="145"/>
        <v>#VALUE!</v>
      </c>
      <c r="GD151" s="301" t="e">
        <f t="shared" ca="1" si="145"/>
        <v>#VALUE!</v>
      </c>
      <c r="GE151" s="301" t="e">
        <f t="shared" ca="1" si="145"/>
        <v>#VALUE!</v>
      </c>
      <c r="GF151" s="301" t="e">
        <f t="shared" ca="1" si="145"/>
        <v>#VALUE!</v>
      </c>
      <c r="GG151" s="301" t="e">
        <f t="shared" ca="1" si="145"/>
        <v>#VALUE!</v>
      </c>
      <c r="GH151" s="301" t="e">
        <f t="shared" ca="1" si="145"/>
        <v>#VALUE!</v>
      </c>
      <c r="GI151" s="301" t="e">
        <f t="shared" ca="1" si="145"/>
        <v>#VALUE!</v>
      </c>
      <c r="GJ151" s="301" t="e">
        <f t="shared" ca="1" si="145"/>
        <v>#VALUE!</v>
      </c>
      <c r="GK151" s="301" t="e">
        <f t="shared" ca="1" si="145"/>
        <v>#VALUE!</v>
      </c>
      <c r="GL151" s="301" t="e">
        <f t="shared" ca="1" si="145"/>
        <v>#VALUE!</v>
      </c>
      <c r="GM151" s="301" t="e">
        <f t="shared" ca="1" si="145"/>
        <v>#VALUE!</v>
      </c>
      <c r="GN151" s="302" t="e">
        <f t="shared" ca="1" si="145"/>
        <v>#VALUE!</v>
      </c>
      <c r="GO151" s="302" t="e">
        <f t="shared" ca="1" si="145"/>
        <v>#VALUE!</v>
      </c>
      <c r="GP151" s="351">
        <f t="shared" si="154"/>
        <v>90</v>
      </c>
      <c r="GQ151" s="351">
        <f t="shared" si="154"/>
        <v>180</v>
      </c>
      <c r="GR151" s="351">
        <f t="shared" si="154"/>
        <v>180</v>
      </c>
      <c r="GS151" s="351">
        <f t="shared" si="154"/>
        <v>180</v>
      </c>
      <c r="GT151" s="351">
        <f t="shared" si="154"/>
        <v>180</v>
      </c>
      <c r="GU151" s="352">
        <f t="shared" si="154"/>
        <v>180</v>
      </c>
      <c r="GV151" s="351">
        <f t="shared" si="154"/>
        <v>180</v>
      </c>
      <c r="GW151" s="351">
        <f t="shared" si="154"/>
        <v>45</v>
      </c>
      <c r="GX151" s="351">
        <f t="shared" si="154"/>
        <v>0</v>
      </c>
      <c r="GY151" s="351">
        <f t="shared" si="154"/>
        <v>0</v>
      </c>
      <c r="GZ151" s="351">
        <f t="shared" si="154"/>
        <v>0</v>
      </c>
      <c r="HA151" s="351">
        <f t="shared" si="154"/>
        <v>0</v>
      </c>
      <c r="HB151" s="351">
        <f t="shared" si="154"/>
        <v>0</v>
      </c>
      <c r="HC151" s="351">
        <f t="shared" si="154"/>
        <v>0</v>
      </c>
      <c r="HD151" s="351">
        <f t="shared" si="154"/>
        <v>0</v>
      </c>
      <c r="HE151" s="351">
        <f t="shared" si="154"/>
        <v>0</v>
      </c>
      <c r="HF151" s="353"/>
      <c r="HG151" s="354"/>
    </row>
    <row r="152" spans="1:215" s="355" customFormat="1" ht="15" customHeight="1">
      <c r="A152" s="348"/>
      <c r="B152" s="292" t="s">
        <v>348</v>
      </c>
      <c r="C152" s="292" t="s">
        <v>117</v>
      </c>
      <c r="D152" s="292" t="s">
        <v>117</v>
      </c>
      <c r="E152" s="292" t="s">
        <v>504</v>
      </c>
      <c r="F152" s="292" t="s">
        <v>186</v>
      </c>
      <c r="G152" s="292" t="s">
        <v>350</v>
      </c>
      <c r="H152" s="292" t="s">
        <v>492</v>
      </c>
      <c r="I152" s="292" t="s">
        <v>493</v>
      </c>
      <c r="J152" s="292" t="s">
        <v>186</v>
      </c>
      <c r="K152" s="292" t="s">
        <v>475</v>
      </c>
      <c r="L152" s="292" t="s">
        <v>494</v>
      </c>
      <c r="M152" s="292" t="s">
        <v>360</v>
      </c>
      <c r="N152" s="292" t="str">
        <f t="shared" si="146"/>
        <v>OCM-OCM</v>
      </c>
      <c r="O152" s="292" t="str">
        <f t="shared" si="147"/>
        <v>Human Capital-Senior Manager-US-Consulting</v>
      </c>
      <c r="P152" s="292" t="str">
        <f t="shared" si="148"/>
        <v>OCM - Human Capital</v>
      </c>
      <c r="Q152" s="293">
        <f t="shared" si="140"/>
        <v>5726</v>
      </c>
      <c r="R152" s="294">
        <f t="shared" si="141"/>
        <v>0</v>
      </c>
      <c r="S152" s="295">
        <f t="shared" si="149"/>
        <v>0</v>
      </c>
      <c r="T152" s="295">
        <f t="shared" si="142"/>
        <v>14</v>
      </c>
      <c r="U152" s="296" t="str">
        <f t="shared" si="150"/>
        <v>Human Capital - Senior Manager</v>
      </c>
      <c r="V152" s="295" t="str">
        <f t="shared" si="151"/>
        <v>7-10 years</v>
      </c>
      <c r="W152" s="292" t="str">
        <f t="shared" si="152"/>
        <v>Onshore</v>
      </c>
      <c r="X152" s="292" t="s">
        <v>261</v>
      </c>
      <c r="Y152" s="292" t="s">
        <v>492</v>
      </c>
      <c r="Z152" s="349" t="s">
        <v>361</v>
      </c>
      <c r="AA152" s="297">
        <f>[1]Resourcing!QD156</f>
        <v>140.717959183673</v>
      </c>
      <c r="AB152" s="298">
        <f t="shared" si="153"/>
        <v>409</v>
      </c>
      <c r="AC152" s="299"/>
      <c r="AD152" s="299"/>
      <c r="AE152" s="299"/>
      <c r="AF152" s="299"/>
      <c r="AG152" s="299"/>
      <c r="AH152" s="299"/>
      <c r="AI152" s="299"/>
      <c r="AJ152" s="299"/>
      <c r="AK152" s="299"/>
      <c r="AL152" s="299"/>
      <c r="AM152" s="299"/>
      <c r="AN152" s="299"/>
      <c r="AO152" s="299"/>
      <c r="AP152" s="299"/>
      <c r="AQ152" s="299"/>
      <c r="AR152" s="299"/>
      <c r="AS152" s="299"/>
      <c r="AT152" s="299"/>
      <c r="AU152" s="299"/>
      <c r="AV152" s="299"/>
      <c r="AW152" s="299"/>
      <c r="AX152" s="299"/>
      <c r="AY152" s="299"/>
      <c r="AZ152" s="299"/>
      <c r="BA152" s="299"/>
      <c r="BB152" s="299"/>
      <c r="BC152" s="299"/>
      <c r="BD152" s="299"/>
      <c r="BE152" s="299"/>
      <c r="BF152" s="299"/>
      <c r="BG152" s="299"/>
      <c r="BH152" s="299"/>
      <c r="BI152" s="299"/>
      <c r="BJ152" s="299"/>
      <c r="BK152" s="299"/>
      <c r="BL152" s="299"/>
      <c r="BM152" s="299"/>
      <c r="BN152" s="299"/>
      <c r="BO152" s="299"/>
      <c r="BP152" s="299"/>
      <c r="BQ152" s="299"/>
      <c r="BR152" s="299"/>
      <c r="BS152" s="299"/>
      <c r="BT152" s="299"/>
      <c r="BU152" s="299"/>
      <c r="BV152" s="299"/>
      <c r="BW152" s="299"/>
      <c r="BX152" s="299"/>
      <c r="BY152" s="299"/>
      <c r="BZ152" s="299"/>
      <c r="CA152" s="299"/>
      <c r="CB152" s="299"/>
      <c r="CC152" s="299"/>
      <c r="CD152" s="299"/>
      <c r="CE152" s="299"/>
      <c r="CF152" s="299"/>
      <c r="CG152" s="299"/>
      <c r="CH152" s="299"/>
      <c r="CI152" s="299"/>
      <c r="CJ152" s="299"/>
      <c r="CK152" s="299"/>
      <c r="CL152" s="299"/>
      <c r="CM152" s="299">
        <v>1</v>
      </c>
      <c r="CN152" s="299">
        <v>1</v>
      </c>
      <c r="CO152" s="299">
        <v>1</v>
      </c>
      <c r="CP152" s="299">
        <v>1</v>
      </c>
      <c r="CQ152" s="299">
        <v>1</v>
      </c>
      <c r="CR152" s="299">
        <v>1</v>
      </c>
      <c r="CS152" s="299">
        <v>1</v>
      </c>
      <c r="CT152" s="299">
        <v>1</v>
      </c>
      <c r="CU152" s="299">
        <v>1</v>
      </c>
      <c r="CV152" s="299">
        <v>1</v>
      </c>
      <c r="CW152" s="299">
        <v>1</v>
      </c>
      <c r="CX152" s="299">
        <v>1</v>
      </c>
      <c r="CY152" s="299">
        <v>1</v>
      </c>
      <c r="CZ152" s="299">
        <v>1</v>
      </c>
      <c r="DA152" s="299"/>
      <c r="DB152" s="329"/>
      <c r="DC152" s="292"/>
      <c r="DD152" s="292"/>
      <c r="DE152" s="292"/>
      <c r="DF152" s="292"/>
      <c r="DG152" s="292"/>
      <c r="DH152" s="292"/>
      <c r="DI152" s="292"/>
      <c r="DJ152" s="292"/>
      <c r="DK152" s="292"/>
      <c r="DL152" s="292"/>
      <c r="DM152" s="292"/>
      <c r="DN152" s="292"/>
      <c r="DO152" s="292"/>
      <c r="DP152" s="299"/>
      <c r="DQ152" s="328"/>
      <c r="DR152" s="299"/>
      <c r="DS152" s="299"/>
      <c r="DT152" s="299"/>
      <c r="DU152" s="299"/>
      <c r="DV152" s="299"/>
      <c r="DW152" s="299"/>
      <c r="DX152" s="299"/>
      <c r="DY152" s="299"/>
      <c r="DZ152" s="299"/>
      <c r="EA152" s="299"/>
      <c r="EB152" s="299"/>
      <c r="EC152" s="299"/>
      <c r="ED152" s="299"/>
      <c r="EE152" s="299"/>
      <c r="EF152" s="299"/>
      <c r="EG152" s="299"/>
      <c r="EH152" s="299"/>
      <c r="EI152" s="299"/>
      <c r="EJ152" s="299"/>
      <c r="EK152" s="299"/>
      <c r="EL152" s="299"/>
      <c r="EM152" s="299"/>
      <c r="EN152" s="299"/>
      <c r="EO152" s="299"/>
      <c r="EP152" s="299"/>
      <c r="EQ152" s="299"/>
      <c r="ER152" s="299"/>
      <c r="ES152" s="299"/>
      <c r="ET152" s="299"/>
      <c r="EU152" s="299"/>
      <c r="EV152" s="299"/>
      <c r="EW152" s="299"/>
      <c r="EX152" s="299"/>
      <c r="EY152" s="299"/>
      <c r="EZ152" s="299"/>
      <c r="FA152" s="299"/>
      <c r="FB152" s="299"/>
      <c r="FC152" s="299"/>
      <c r="FD152" s="299"/>
      <c r="FE152" s="299"/>
      <c r="FF152" s="299"/>
      <c r="FG152" s="299"/>
      <c r="FH152" s="299"/>
      <c r="FI152" s="299"/>
      <c r="FJ152" s="299"/>
      <c r="FK152" s="299"/>
      <c r="FL152" s="299"/>
      <c r="FM152" s="299"/>
      <c r="FN152" s="299"/>
      <c r="FO152" s="299"/>
      <c r="FP152" s="299"/>
      <c r="FQ152" s="300" t="e">
        <f t="shared" ca="1" si="143"/>
        <v>#VALUE!</v>
      </c>
      <c r="FR152" s="300" t="e">
        <f t="shared" ca="1" si="144"/>
        <v>#VALUE!</v>
      </c>
      <c r="FS152" s="300" t="e">
        <f t="shared" ca="1" si="144"/>
        <v>#VALUE!</v>
      </c>
      <c r="FT152" s="300" t="e">
        <f t="shared" ca="1" si="144"/>
        <v>#VALUE!</v>
      </c>
      <c r="FU152" s="300" t="e">
        <f t="shared" ca="1" si="144"/>
        <v>#VALUE!</v>
      </c>
      <c r="FV152" s="300" t="e">
        <f t="shared" ca="1" si="144"/>
        <v>#VALUE!</v>
      </c>
      <c r="FW152" s="300" t="e">
        <f t="shared" ca="1" si="144"/>
        <v>#VALUE!</v>
      </c>
      <c r="FX152" s="300" t="e">
        <f t="shared" ca="1" si="144"/>
        <v>#VALUE!</v>
      </c>
      <c r="FY152" s="300" t="e">
        <f t="shared" ca="1" si="144"/>
        <v>#VALUE!</v>
      </c>
      <c r="FZ152" s="300" t="e">
        <f t="shared" ca="1" si="144"/>
        <v>#VALUE!</v>
      </c>
      <c r="GA152" s="301" t="e">
        <f t="shared" ca="1" si="144"/>
        <v>#VALUE!</v>
      </c>
      <c r="GB152" s="301" t="e">
        <f t="shared" ca="1" si="145"/>
        <v>#VALUE!</v>
      </c>
      <c r="GC152" s="301" t="e">
        <f t="shared" ca="1" si="145"/>
        <v>#VALUE!</v>
      </c>
      <c r="GD152" s="301" t="e">
        <f t="shared" ca="1" si="145"/>
        <v>#VALUE!</v>
      </c>
      <c r="GE152" s="301" t="e">
        <f t="shared" ca="1" si="145"/>
        <v>#VALUE!</v>
      </c>
      <c r="GF152" s="301" t="e">
        <f t="shared" ca="1" si="145"/>
        <v>#VALUE!</v>
      </c>
      <c r="GG152" s="301" t="e">
        <f t="shared" ca="1" si="145"/>
        <v>#VALUE!</v>
      </c>
      <c r="GH152" s="301" t="e">
        <f t="shared" ca="1" si="145"/>
        <v>#VALUE!</v>
      </c>
      <c r="GI152" s="301" t="e">
        <f t="shared" ca="1" si="145"/>
        <v>#VALUE!</v>
      </c>
      <c r="GJ152" s="301" t="e">
        <f t="shared" ca="1" si="145"/>
        <v>#VALUE!</v>
      </c>
      <c r="GK152" s="301" t="e">
        <f t="shared" ca="1" si="145"/>
        <v>#VALUE!</v>
      </c>
      <c r="GL152" s="301" t="e">
        <f t="shared" ca="1" si="145"/>
        <v>#VALUE!</v>
      </c>
      <c r="GM152" s="301" t="e">
        <f t="shared" ca="1" si="145"/>
        <v>#VALUE!</v>
      </c>
      <c r="GN152" s="302" t="e">
        <f t="shared" ca="1" si="145"/>
        <v>#VALUE!</v>
      </c>
      <c r="GO152" s="302" t="e">
        <f t="shared" ca="1" si="145"/>
        <v>#VALUE!</v>
      </c>
      <c r="GP152" s="351">
        <f t="shared" si="154"/>
        <v>0</v>
      </c>
      <c r="GQ152" s="351">
        <f t="shared" si="154"/>
        <v>0</v>
      </c>
      <c r="GR152" s="351">
        <f t="shared" si="154"/>
        <v>0</v>
      </c>
      <c r="GS152" s="351">
        <f t="shared" si="154"/>
        <v>0</v>
      </c>
      <c r="GT152" s="351">
        <f t="shared" si="154"/>
        <v>0</v>
      </c>
      <c r="GU152" s="352">
        <f t="shared" si="154"/>
        <v>0</v>
      </c>
      <c r="GV152" s="351">
        <f t="shared" si="154"/>
        <v>0</v>
      </c>
      <c r="GW152" s="351">
        <f t="shared" si="154"/>
        <v>0</v>
      </c>
      <c r="GX152" s="351">
        <f t="shared" si="154"/>
        <v>0</v>
      </c>
      <c r="GY152" s="351">
        <f t="shared" si="154"/>
        <v>0</v>
      </c>
      <c r="GZ152" s="351">
        <f t="shared" si="154"/>
        <v>0</v>
      </c>
      <c r="HA152" s="351">
        <f t="shared" si="154"/>
        <v>0</v>
      </c>
      <c r="HB152" s="351">
        <f t="shared" si="154"/>
        <v>0</v>
      </c>
      <c r="HC152" s="351">
        <f t="shared" si="154"/>
        <v>0</v>
      </c>
      <c r="HD152" s="351">
        <f t="shared" si="154"/>
        <v>0</v>
      </c>
      <c r="HE152" s="351">
        <f t="shared" si="154"/>
        <v>0</v>
      </c>
      <c r="HF152" s="353"/>
      <c r="HG152" s="354"/>
    </row>
    <row r="153" spans="1:215" s="355" customFormat="1" ht="15" customHeight="1">
      <c r="A153" s="348"/>
      <c r="B153" s="292" t="s">
        <v>348</v>
      </c>
      <c r="C153" s="292" t="s">
        <v>117</v>
      </c>
      <c r="D153" s="292" t="s">
        <v>117</v>
      </c>
      <c r="E153" s="292" t="s">
        <v>504</v>
      </c>
      <c r="F153" s="292" t="s">
        <v>186</v>
      </c>
      <c r="G153" s="292" t="s">
        <v>350</v>
      </c>
      <c r="H153" s="292" t="s">
        <v>492</v>
      </c>
      <c r="I153" s="292" t="s">
        <v>493</v>
      </c>
      <c r="J153" s="292" t="s">
        <v>186</v>
      </c>
      <c r="K153" s="292" t="s">
        <v>475</v>
      </c>
      <c r="L153" s="292" t="s">
        <v>494</v>
      </c>
      <c r="M153" s="292" t="s">
        <v>371</v>
      </c>
      <c r="N153" s="292" t="str">
        <f t="shared" si="146"/>
        <v>OCM-OCM</v>
      </c>
      <c r="O153" s="292" t="str">
        <f t="shared" si="147"/>
        <v>Human Capital-Manager-US-Consulting</v>
      </c>
      <c r="P153" s="292" t="str">
        <f t="shared" si="148"/>
        <v>OCM - Human Capital</v>
      </c>
      <c r="Q153" s="293">
        <f t="shared" si="140"/>
        <v>27144</v>
      </c>
      <c r="R153" s="294">
        <f t="shared" si="141"/>
        <v>0</v>
      </c>
      <c r="S153" s="295" t="e">
        <f t="shared" ca="1" si="149"/>
        <v>#VALUE!</v>
      </c>
      <c r="T153" s="295">
        <f t="shared" si="142"/>
        <v>72</v>
      </c>
      <c r="U153" s="296" t="str">
        <f t="shared" si="150"/>
        <v>Human Capital - Manager</v>
      </c>
      <c r="V153" s="295" t="str">
        <f t="shared" si="151"/>
        <v>5-7 years</v>
      </c>
      <c r="W153" s="292" t="str">
        <f t="shared" si="152"/>
        <v>Onshore</v>
      </c>
      <c r="X153" s="292" t="s">
        <v>261</v>
      </c>
      <c r="Y153" s="292" t="s">
        <v>492</v>
      </c>
      <c r="Z153" s="349" t="s">
        <v>376</v>
      </c>
      <c r="AA153" s="297">
        <f>[1]Resourcing!QD157</f>
        <v>81.007901234567896</v>
      </c>
      <c r="AB153" s="298">
        <f t="shared" si="153"/>
        <v>377</v>
      </c>
      <c r="AC153" s="299"/>
      <c r="AD153" s="299"/>
      <c r="AE153" s="299"/>
      <c r="AF153" s="299"/>
      <c r="AG153" s="299"/>
      <c r="AH153" s="299"/>
      <c r="AI153" s="299"/>
      <c r="AJ153" s="299"/>
      <c r="AK153" s="299"/>
      <c r="AL153" s="299"/>
      <c r="AM153" s="299"/>
      <c r="AN153" s="299"/>
      <c r="AO153" s="299"/>
      <c r="AP153" s="299"/>
      <c r="AQ153" s="299"/>
      <c r="AR153" s="299"/>
      <c r="AS153" s="299"/>
      <c r="AT153" s="299"/>
      <c r="AU153" s="299"/>
      <c r="AV153" s="299"/>
      <c r="AW153" s="299"/>
      <c r="AX153" s="299"/>
      <c r="AY153" s="299"/>
      <c r="AZ153" s="299"/>
      <c r="BA153" s="299"/>
      <c r="BB153" s="299"/>
      <c r="BC153" s="299"/>
      <c r="BD153" s="299"/>
      <c r="BE153" s="299"/>
      <c r="BF153" s="299"/>
      <c r="BG153" s="299"/>
      <c r="BH153" s="299"/>
      <c r="BI153" s="299"/>
      <c r="BJ153" s="299"/>
      <c r="BK153" s="299"/>
      <c r="BL153" s="299"/>
      <c r="BM153" s="299"/>
      <c r="BN153" s="299"/>
      <c r="BO153" s="299"/>
      <c r="BP153" s="299"/>
      <c r="BQ153" s="299"/>
      <c r="BR153" s="299"/>
      <c r="BS153" s="299"/>
      <c r="BT153" s="299"/>
      <c r="BU153" s="299"/>
      <c r="BV153" s="299"/>
      <c r="BW153" s="299"/>
      <c r="BX153" s="299"/>
      <c r="BY153" s="299"/>
      <c r="BZ153" s="299"/>
      <c r="CA153" s="299"/>
      <c r="CB153" s="299"/>
      <c r="CC153" s="299"/>
      <c r="CD153" s="299"/>
      <c r="CE153" s="299"/>
      <c r="CF153" s="299"/>
      <c r="CG153" s="299"/>
      <c r="CH153" s="299"/>
      <c r="CI153" s="299"/>
      <c r="CJ153" s="299"/>
      <c r="CK153" s="299"/>
      <c r="CL153" s="299"/>
      <c r="CM153" s="299"/>
      <c r="CN153" s="299"/>
      <c r="CO153" s="299">
        <v>6</v>
      </c>
      <c r="CP153" s="299">
        <v>6</v>
      </c>
      <c r="CQ153" s="299">
        <v>6</v>
      </c>
      <c r="CR153" s="299">
        <v>6</v>
      </c>
      <c r="CS153" s="299">
        <v>6</v>
      </c>
      <c r="CT153" s="299">
        <v>6</v>
      </c>
      <c r="CU153" s="299">
        <v>6</v>
      </c>
      <c r="CV153" s="299">
        <v>6</v>
      </c>
      <c r="CW153" s="299">
        <v>6</v>
      </c>
      <c r="CX153" s="299">
        <v>6</v>
      </c>
      <c r="CY153" s="299">
        <v>6</v>
      </c>
      <c r="CZ153" s="299">
        <v>6</v>
      </c>
      <c r="DA153" s="299"/>
      <c r="DB153" s="329"/>
      <c r="DC153" s="292"/>
      <c r="DD153" s="292"/>
      <c r="DE153" s="292"/>
      <c r="DF153" s="292"/>
      <c r="DG153" s="292"/>
      <c r="DH153" s="292"/>
      <c r="DI153" s="292"/>
      <c r="DJ153" s="292"/>
      <c r="DK153" s="292"/>
      <c r="DL153" s="292"/>
      <c r="DM153" s="292"/>
      <c r="DN153" s="292"/>
      <c r="DO153" s="292"/>
      <c r="DP153" s="299"/>
      <c r="DQ153" s="328"/>
      <c r="DR153" s="299"/>
      <c r="DS153" s="299"/>
      <c r="DT153" s="299"/>
      <c r="DU153" s="299"/>
      <c r="DV153" s="299"/>
      <c r="DW153" s="299"/>
      <c r="DX153" s="299"/>
      <c r="DY153" s="299"/>
      <c r="DZ153" s="299"/>
      <c r="EA153" s="299"/>
      <c r="EB153" s="299"/>
      <c r="EC153" s="299"/>
      <c r="ED153" s="299"/>
      <c r="EE153" s="299"/>
      <c r="EF153" s="299"/>
      <c r="EG153" s="299"/>
      <c r="EH153" s="299"/>
      <c r="EI153" s="299"/>
      <c r="EJ153" s="299"/>
      <c r="EK153" s="299"/>
      <c r="EL153" s="299"/>
      <c r="EM153" s="299"/>
      <c r="EN153" s="299"/>
      <c r="EO153" s="299"/>
      <c r="EP153" s="299"/>
      <c r="EQ153" s="299"/>
      <c r="ER153" s="299"/>
      <c r="ES153" s="299"/>
      <c r="ET153" s="299"/>
      <c r="EU153" s="299"/>
      <c r="EV153" s="299"/>
      <c r="EW153" s="299"/>
      <c r="EX153" s="299"/>
      <c r="EY153" s="299"/>
      <c r="EZ153" s="299"/>
      <c r="FA153" s="299"/>
      <c r="FB153" s="299"/>
      <c r="FC153" s="299"/>
      <c r="FD153" s="299"/>
      <c r="FE153" s="299"/>
      <c r="FF153" s="299"/>
      <c r="FG153" s="299"/>
      <c r="FH153" s="299"/>
      <c r="FI153" s="299"/>
      <c r="FJ153" s="299"/>
      <c r="FK153" s="299"/>
      <c r="FL153" s="299"/>
      <c r="FM153" s="299"/>
      <c r="FN153" s="299"/>
      <c r="FO153" s="299"/>
      <c r="FP153" s="299"/>
      <c r="FQ153" s="300" t="e">
        <f t="shared" ca="1" si="143"/>
        <v>#VALUE!</v>
      </c>
      <c r="FR153" s="300" t="e">
        <f t="shared" ref="FR153:GA162" ca="1" si="155">SUMIF($AC$11:$FP$11,FR$12,$AC153:$FP153)</f>
        <v>#VALUE!</v>
      </c>
      <c r="FS153" s="300" t="e">
        <f t="shared" ca="1" si="155"/>
        <v>#VALUE!</v>
      </c>
      <c r="FT153" s="300" t="e">
        <f t="shared" ca="1" si="155"/>
        <v>#VALUE!</v>
      </c>
      <c r="FU153" s="300" t="e">
        <f t="shared" ca="1" si="155"/>
        <v>#VALUE!</v>
      </c>
      <c r="FV153" s="300" t="e">
        <f t="shared" ca="1" si="155"/>
        <v>#VALUE!</v>
      </c>
      <c r="FW153" s="300" t="e">
        <f t="shared" ca="1" si="155"/>
        <v>#VALUE!</v>
      </c>
      <c r="FX153" s="300" t="e">
        <f t="shared" ca="1" si="155"/>
        <v>#VALUE!</v>
      </c>
      <c r="FY153" s="300" t="e">
        <f t="shared" ca="1" si="155"/>
        <v>#VALUE!</v>
      </c>
      <c r="FZ153" s="300" t="e">
        <f t="shared" ca="1" si="155"/>
        <v>#VALUE!</v>
      </c>
      <c r="GA153" s="301" t="e">
        <f t="shared" ca="1" si="155"/>
        <v>#VALUE!</v>
      </c>
      <c r="GB153" s="301" t="e">
        <f t="shared" ref="GB153:GO162" ca="1" si="156">SUMIF($AC$11:$FP$11,GB$12,$AC153:$FP153)</f>
        <v>#VALUE!</v>
      </c>
      <c r="GC153" s="301" t="e">
        <f t="shared" ca="1" si="156"/>
        <v>#VALUE!</v>
      </c>
      <c r="GD153" s="301" t="e">
        <f t="shared" ca="1" si="156"/>
        <v>#VALUE!</v>
      </c>
      <c r="GE153" s="301" t="e">
        <f t="shared" ca="1" si="156"/>
        <v>#VALUE!</v>
      </c>
      <c r="GF153" s="301" t="e">
        <f t="shared" ca="1" si="156"/>
        <v>#VALUE!</v>
      </c>
      <c r="GG153" s="301" t="e">
        <f t="shared" ca="1" si="156"/>
        <v>#VALUE!</v>
      </c>
      <c r="GH153" s="301" t="e">
        <f t="shared" ca="1" si="156"/>
        <v>#VALUE!</v>
      </c>
      <c r="GI153" s="301" t="e">
        <f t="shared" ca="1" si="156"/>
        <v>#VALUE!</v>
      </c>
      <c r="GJ153" s="301" t="e">
        <f t="shared" ca="1" si="156"/>
        <v>#VALUE!</v>
      </c>
      <c r="GK153" s="301" t="e">
        <f t="shared" ca="1" si="156"/>
        <v>#VALUE!</v>
      </c>
      <c r="GL153" s="301" t="e">
        <f t="shared" ca="1" si="156"/>
        <v>#VALUE!</v>
      </c>
      <c r="GM153" s="301" t="e">
        <f t="shared" ca="1" si="156"/>
        <v>#VALUE!</v>
      </c>
      <c r="GN153" s="302" t="e">
        <f t="shared" ca="1" si="156"/>
        <v>#VALUE!</v>
      </c>
      <c r="GO153" s="302" t="e">
        <f t="shared" ca="1" si="156"/>
        <v>#VALUE!</v>
      </c>
      <c r="GP153" s="351">
        <f t="shared" si="154"/>
        <v>0</v>
      </c>
      <c r="GQ153" s="351">
        <f t="shared" si="154"/>
        <v>0</v>
      </c>
      <c r="GR153" s="351">
        <f t="shared" si="154"/>
        <v>0</v>
      </c>
      <c r="GS153" s="351">
        <f t="shared" si="154"/>
        <v>0</v>
      </c>
      <c r="GT153" s="351">
        <f t="shared" si="154"/>
        <v>0</v>
      </c>
      <c r="GU153" s="352">
        <f t="shared" si="154"/>
        <v>0</v>
      </c>
      <c r="GV153" s="351">
        <f t="shared" si="154"/>
        <v>0</v>
      </c>
      <c r="GW153" s="351">
        <f t="shared" si="154"/>
        <v>0</v>
      </c>
      <c r="GX153" s="351">
        <f t="shared" si="154"/>
        <v>0</v>
      </c>
      <c r="GY153" s="351">
        <f t="shared" si="154"/>
        <v>0</v>
      </c>
      <c r="GZ153" s="351">
        <f t="shared" si="154"/>
        <v>0</v>
      </c>
      <c r="HA153" s="351">
        <f t="shared" si="154"/>
        <v>0</v>
      </c>
      <c r="HB153" s="351">
        <f t="shared" si="154"/>
        <v>0</v>
      </c>
      <c r="HC153" s="351">
        <f t="shared" si="154"/>
        <v>0</v>
      </c>
      <c r="HD153" s="351">
        <f t="shared" si="154"/>
        <v>0</v>
      </c>
      <c r="HE153" s="351">
        <f t="shared" si="154"/>
        <v>0</v>
      </c>
      <c r="HF153" s="353" t="e">
        <f ca="1">SUM(FQ153:HE153)</f>
        <v>#VALUE!</v>
      </c>
      <c r="HG153" s="354"/>
    </row>
    <row r="154" spans="1:215" s="306" customFormat="1" ht="15" customHeight="1">
      <c r="A154" s="291"/>
      <c r="B154" s="292" t="s">
        <v>348</v>
      </c>
      <c r="C154" s="292" t="s">
        <v>117</v>
      </c>
      <c r="D154" s="292" t="s">
        <v>117</v>
      </c>
      <c r="E154" s="292" t="s">
        <v>504</v>
      </c>
      <c r="F154" s="292" t="s">
        <v>186</v>
      </c>
      <c r="G154" s="292" t="s">
        <v>350</v>
      </c>
      <c r="H154" s="292" t="s">
        <v>492</v>
      </c>
      <c r="I154" s="292" t="s">
        <v>493</v>
      </c>
      <c r="J154" s="292" t="s">
        <v>186</v>
      </c>
      <c r="K154" s="292" t="s">
        <v>475</v>
      </c>
      <c r="L154" s="292" t="s">
        <v>494</v>
      </c>
      <c r="M154" s="292" t="s">
        <v>374</v>
      </c>
      <c r="N154" s="292" t="str">
        <f t="shared" si="146"/>
        <v>OCM-OCM</v>
      </c>
      <c r="O154" s="292" t="str">
        <f t="shared" si="147"/>
        <v>Human Capital-Senior Consultant-US-Consulting</v>
      </c>
      <c r="P154" s="292" t="str">
        <f t="shared" si="148"/>
        <v>OCM - Human Capital</v>
      </c>
      <c r="Q154" s="293">
        <f t="shared" si="140"/>
        <v>46944</v>
      </c>
      <c r="R154" s="294">
        <f t="shared" si="141"/>
        <v>0</v>
      </c>
      <c r="S154" s="295">
        <f t="shared" si="149"/>
        <v>0</v>
      </c>
      <c r="T154" s="295">
        <f t="shared" si="142"/>
        <v>144</v>
      </c>
      <c r="U154" s="296" t="str">
        <f t="shared" si="150"/>
        <v>Human Capital - Senior Consultant</v>
      </c>
      <c r="V154" s="295" t="str">
        <f t="shared" si="151"/>
        <v>3-5 years</v>
      </c>
      <c r="W154" s="292" t="str">
        <f t="shared" si="152"/>
        <v>Onshore</v>
      </c>
      <c r="X154" s="292" t="s">
        <v>261</v>
      </c>
      <c r="Y154" s="292" t="s">
        <v>492</v>
      </c>
      <c r="Z154" s="349" t="s">
        <v>364</v>
      </c>
      <c r="AA154" s="297">
        <f>[1]Resourcing!QD158</f>
        <v>83.120888888888899</v>
      </c>
      <c r="AB154" s="298">
        <f t="shared" si="153"/>
        <v>326</v>
      </c>
      <c r="AC154" s="299"/>
      <c r="AD154" s="299"/>
      <c r="AE154" s="299"/>
      <c r="AF154" s="299"/>
      <c r="AG154" s="299"/>
      <c r="AH154" s="299"/>
      <c r="AI154" s="299"/>
      <c r="AJ154" s="299"/>
      <c r="AK154" s="299"/>
      <c r="AL154" s="299"/>
      <c r="AM154" s="299"/>
      <c r="AN154" s="299"/>
      <c r="AO154" s="299"/>
      <c r="AP154" s="299"/>
      <c r="AQ154" s="299"/>
      <c r="AR154" s="299"/>
      <c r="AS154" s="299"/>
      <c r="AT154" s="299"/>
      <c r="AU154" s="299"/>
      <c r="AV154" s="299"/>
      <c r="AW154" s="299"/>
      <c r="AX154" s="299"/>
      <c r="AY154" s="299"/>
      <c r="AZ154" s="299"/>
      <c r="BA154" s="299"/>
      <c r="BB154" s="299"/>
      <c r="BC154" s="299"/>
      <c r="BD154" s="299"/>
      <c r="BE154" s="299"/>
      <c r="BF154" s="299"/>
      <c r="BG154" s="299"/>
      <c r="BH154" s="299"/>
      <c r="BI154" s="299"/>
      <c r="BJ154" s="299"/>
      <c r="BK154" s="299"/>
      <c r="BL154" s="299"/>
      <c r="BM154" s="299"/>
      <c r="BN154" s="299"/>
      <c r="BO154" s="299"/>
      <c r="BP154" s="299"/>
      <c r="BQ154" s="299"/>
      <c r="BR154" s="299"/>
      <c r="BS154" s="299"/>
      <c r="BT154" s="299"/>
      <c r="BU154" s="299"/>
      <c r="BV154" s="299"/>
      <c r="BW154" s="299"/>
      <c r="BX154" s="299"/>
      <c r="BY154" s="299"/>
      <c r="BZ154" s="299"/>
      <c r="CA154" s="299"/>
      <c r="CB154" s="299"/>
      <c r="CC154" s="299"/>
      <c r="CD154" s="299"/>
      <c r="CE154" s="299"/>
      <c r="CF154" s="299"/>
      <c r="CG154" s="299"/>
      <c r="CH154" s="299"/>
      <c r="CI154" s="299"/>
      <c r="CJ154" s="299"/>
      <c r="CK154" s="299"/>
      <c r="CL154" s="299"/>
      <c r="CM154" s="299"/>
      <c r="CN154" s="299"/>
      <c r="CO154" s="299">
        <v>12</v>
      </c>
      <c r="CP154" s="299">
        <v>12</v>
      </c>
      <c r="CQ154" s="299">
        <v>12</v>
      </c>
      <c r="CR154" s="299">
        <v>12</v>
      </c>
      <c r="CS154" s="299">
        <v>12</v>
      </c>
      <c r="CT154" s="299">
        <v>12</v>
      </c>
      <c r="CU154" s="299">
        <v>12</v>
      </c>
      <c r="CV154" s="299">
        <v>12</v>
      </c>
      <c r="CW154" s="299">
        <v>12</v>
      </c>
      <c r="CX154" s="299">
        <v>12</v>
      </c>
      <c r="CY154" s="299">
        <v>12</v>
      </c>
      <c r="CZ154" s="299">
        <v>12</v>
      </c>
      <c r="DA154" s="299"/>
      <c r="DB154" s="329"/>
      <c r="DC154" s="292"/>
      <c r="DD154" s="292"/>
      <c r="DE154" s="292"/>
      <c r="DF154" s="292"/>
      <c r="DG154" s="292"/>
      <c r="DH154" s="292"/>
      <c r="DI154" s="292"/>
      <c r="DJ154" s="292"/>
      <c r="DK154" s="292"/>
      <c r="DL154" s="292"/>
      <c r="DM154" s="292"/>
      <c r="DN154" s="292"/>
      <c r="DO154" s="292"/>
      <c r="DP154" s="299"/>
      <c r="DQ154" s="328"/>
      <c r="DR154" s="299"/>
      <c r="DS154" s="299"/>
      <c r="DT154" s="299"/>
      <c r="DU154" s="299"/>
      <c r="DV154" s="299"/>
      <c r="DW154" s="299"/>
      <c r="DX154" s="299"/>
      <c r="DY154" s="299"/>
      <c r="DZ154" s="299"/>
      <c r="EA154" s="299"/>
      <c r="EB154" s="299"/>
      <c r="EC154" s="299"/>
      <c r="ED154" s="299"/>
      <c r="EE154" s="299"/>
      <c r="EF154" s="299"/>
      <c r="EG154" s="299"/>
      <c r="EH154" s="299"/>
      <c r="EI154" s="299"/>
      <c r="EJ154" s="299"/>
      <c r="EK154" s="299"/>
      <c r="EL154" s="299"/>
      <c r="EM154" s="299"/>
      <c r="EN154" s="299"/>
      <c r="EO154" s="299"/>
      <c r="EP154" s="299"/>
      <c r="EQ154" s="299"/>
      <c r="ER154" s="299"/>
      <c r="ES154" s="299"/>
      <c r="ET154" s="299"/>
      <c r="EU154" s="299"/>
      <c r="EV154" s="299"/>
      <c r="EW154" s="299"/>
      <c r="EX154" s="299"/>
      <c r="EY154" s="299"/>
      <c r="EZ154" s="299"/>
      <c r="FA154" s="299"/>
      <c r="FB154" s="299"/>
      <c r="FC154" s="299"/>
      <c r="FD154" s="299"/>
      <c r="FE154" s="299"/>
      <c r="FF154" s="299"/>
      <c r="FG154" s="299"/>
      <c r="FH154" s="299"/>
      <c r="FI154" s="299"/>
      <c r="FJ154" s="299"/>
      <c r="FK154" s="299"/>
      <c r="FL154" s="299"/>
      <c r="FM154" s="299"/>
      <c r="FN154" s="299"/>
      <c r="FO154" s="299"/>
      <c r="FP154" s="299"/>
      <c r="FQ154" s="300" t="e">
        <f t="shared" ca="1" si="143"/>
        <v>#VALUE!</v>
      </c>
      <c r="FR154" s="300" t="e">
        <f t="shared" ca="1" si="155"/>
        <v>#VALUE!</v>
      </c>
      <c r="FS154" s="300" t="e">
        <f t="shared" ca="1" si="155"/>
        <v>#VALUE!</v>
      </c>
      <c r="FT154" s="300" t="e">
        <f t="shared" ca="1" si="155"/>
        <v>#VALUE!</v>
      </c>
      <c r="FU154" s="300" t="e">
        <f t="shared" ca="1" si="155"/>
        <v>#VALUE!</v>
      </c>
      <c r="FV154" s="300" t="e">
        <f t="shared" ca="1" si="155"/>
        <v>#VALUE!</v>
      </c>
      <c r="FW154" s="300" t="e">
        <f t="shared" ca="1" si="155"/>
        <v>#VALUE!</v>
      </c>
      <c r="FX154" s="300" t="e">
        <f t="shared" ca="1" si="155"/>
        <v>#VALUE!</v>
      </c>
      <c r="FY154" s="300" t="e">
        <f t="shared" ca="1" si="155"/>
        <v>#VALUE!</v>
      </c>
      <c r="FZ154" s="300" t="e">
        <f t="shared" ca="1" si="155"/>
        <v>#VALUE!</v>
      </c>
      <c r="GA154" s="301" t="e">
        <f t="shared" ca="1" si="155"/>
        <v>#VALUE!</v>
      </c>
      <c r="GB154" s="301" t="e">
        <f t="shared" ca="1" si="156"/>
        <v>#VALUE!</v>
      </c>
      <c r="GC154" s="301" t="e">
        <f t="shared" ca="1" si="156"/>
        <v>#VALUE!</v>
      </c>
      <c r="GD154" s="301" t="e">
        <f t="shared" ca="1" si="156"/>
        <v>#VALUE!</v>
      </c>
      <c r="GE154" s="301" t="e">
        <f t="shared" ca="1" si="156"/>
        <v>#VALUE!</v>
      </c>
      <c r="GF154" s="301" t="e">
        <f t="shared" ca="1" si="156"/>
        <v>#VALUE!</v>
      </c>
      <c r="GG154" s="301" t="e">
        <f t="shared" ca="1" si="156"/>
        <v>#VALUE!</v>
      </c>
      <c r="GH154" s="301" t="e">
        <f t="shared" ca="1" si="156"/>
        <v>#VALUE!</v>
      </c>
      <c r="GI154" s="301" t="e">
        <f t="shared" ca="1" si="156"/>
        <v>#VALUE!</v>
      </c>
      <c r="GJ154" s="301" t="e">
        <f t="shared" ca="1" si="156"/>
        <v>#VALUE!</v>
      </c>
      <c r="GK154" s="301" t="e">
        <f t="shared" ca="1" si="156"/>
        <v>#VALUE!</v>
      </c>
      <c r="GL154" s="301" t="e">
        <f t="shared" ca="1" si="156"/>
        <v>#VALUE!</v>
      </c>
      <c r="GM154" s="301" t="e">
        <f t="shared" ca="1" si="156"/>
        <v>#VALUE!</v>
      </c>
      <c r="GN154" s="302" t="e">
        <f t="shared" ca="1" si="156"/>
        <v>#VALUE!</v>
      </c>
      <c r="GO154" s="302" t="e">
        <f t="shared" ca="1" si="156"/>
        <v>#VALUE!</v>
      </c>
      <c r="GP154" s="301">
        <f t="shared" si="154"/>
        <v>0</v>
      </c>
      <c r="GQ154" s="301">
        <f t="shared" si="154"/>
        <v>0</v>
      </c>
      <c r="GR154" s="301">
        <f t="shared" si="154"/>
        <v>0</v>
      </c>
      <c r="GS154" s="301">
        <f t="shared" si="154"/>
        <v>0</v>
      </c>
      <c r="GT154" s="301">
        <f t="shared" si="154"/>
        <v>0</v>
      </c>
      <c r="GU154" s="303">
        <f t="shared" si="154"/>
        <v>0</v>
      </c>
      <c r="GV154" s="302">
        <f t="shared" si="154"/>
        <v>0</v>
      </c>
      <c r="GW154" s="302">
        <f t="shared" si="154"/>
        <v>0</v>
      </c>
      <c r="GX154" s="302">
        <f t="shared" si="154"/>
        <v>0</v>
      </c>
      <c r="GY154" s="302">
        <f t="shared" si="154"/>
        <v>0</v>
      </c>
      <c r="GZ154" s="302">
        <f t="shared" si="154"/>
        <v>0</v>
      </c>
      <c r="HA154" s="302">
        <f t="shared" si="154"/>
        <v>0</v>
      </c>
      <c r="HB154" s="302">
        <f t="shared" si="154"/>
        <v>0</v>
      </c>
      <c r="HC154" s="302">
        <f t="shared" si="154"/>
        <v>0</v>
      </c>
      <c r="HD154" s="302">
        <f t="shared" si="154"/>
        <v>0</v>
      </c>
      <c r="HE154" s="302">
        <f t="shared" si="154"/>
        <v>0</v>
      </c>
      <c r="HF154" s="304"/>
      <c r="HG154" s="305"/>
    </row>
    <row r="155" spans="1:215" s="306" customFormat="1" ht="15" customHeight="1">
      <c r="A155" s="291"/>
      <c r="B155" s="292" t="s">
        <v>348</v>
      </c>
      <c r="C155" s="292" t="s">
        <v>117</v>
      </c>
      <c r="D155" s="292" t="s">
        <v>117</v>
      </c>
      <c r="E155" s="292" t="s">
        <v>504</v>
      </c>
      <c r="F155" s="292" t="s">
        <v>184</v>
      </c>
      <c r="G155" s="292" t="s">
        <v>350</v>
      </c>
      <c r="H155" s="292" t="s">
        <v>492</v>
      </c>
      <c r="I155" s="292" t="s">
        <v>493</v>
      </c>
      <c r="J155" s="292" t="s">
        <v>184</v>
      </c>
      <c r="K155" s="292" t="s">
        <v>475</v>
      </c>
      <c r="L155" s="292" t="s">
        <v>502</v>
      </c>
      <c r="M155" s="292" t="s">
        <v>374</v>
      </c>
      <c r="N155" s="292" t="str">
        <f t="shared" si="146"/>
        <v>OCM-OCM</v>
      </c>
      <c r="O155" s="292" t="str">
        <f t="shared" si="147"/>
        <v>Human Capital-Senior Consultant-India-Consulting</v>
      </c>
      <c r="P155" s="292" t="str">
        <f t="shared" si="148"/>
        <v>OCM - Human Capital</v>
      </c>
      <c r="Q155" s="293">
        <f t="shared" si="140"/>
        <v>14472</v>
      </c>
      <c r="R155" s="294">
        <f t="shared" si="141"/>
        <v>0</v>
      </c>
      <c r="S155" s="295">
        <f t="shared" si="149"/>
        <v>0</v>
      </c>
      <c r="T155" s="295">
        <f t="shared" si="142"/>
        <v>108</v>
      </c>
      <c r="U155" s="296" t="str">
        <f t="shared" si="150"/>
        <v>Human Capital - Senior Consultant</v>
      </c>
      <c r="V155" s="295" t="str">
        <f t="shared" si="151"/>
        <v>3-5 years</v>
      </c>
      <c r="W155" s="292" t="str">
        <f t="shared" si="152"/>
        <v>Offshore</v>
      </c>
      <c r="X155" s="292" t="s">
        <v>261</v>
      </c>
      <c r="Y155" s="292" t="s">
        <v>492</v>
      </c>
      <c r="Z155" s="349" t="s">
        <v>364</v>
      </c>
      <c r="AA155" s="297">
        <f>[1]Resourcing!QD159</f>
        <v>384.90285714285699</v>
      </c>
      <c r="AB155" s="298">
        <f t="shared" si="153"/>
        <v>134</v>
      </c>
      <c r="AC155" s="299"/>
      <c r="AD155" s="299"/>
      <c r="AE155" s="299"/>
      <c r="AF155" s="299"/>
      <c r="AG155" s="299"/>
      <c r="AH155" s="299"/>
      <c r="AI155" s="299"/>
      <c r="AJ155" s="299"/>
      <c r="AK155" s="299"/>
      <c r="AL155" s="299"/>
      <c r="AM155" s="299"/>
      <c r="AN155" s="299"/>
      <c r="AO155" s="299"/>
      <c r="AP155" s="299"/>
      <c r="AQ155" s="299"/>
      <c r="AR155" s="299"/>
      <c r="AS155" s="299"/>
      <c r="AT155" s="299"/>
      <c r="AU155" s="299"/>
      <c r="AV155" s="299"/>
      <c r="AW155" s="299"/>
      <c r="AX155" s="299"/>
      <c r="AY155" s="299"/>
      <c r="AZ155" s="299"/>
      <c r="BA155" s="299"/>
      <c r="BB155" s="299"/>
      <c r="BC155" s="299"/>
      <c r="BD155" s="299"/>
      <c r="BE155" s="299"/>
      <c r="BF155" s="299"/>
      <c r="BG155" s="299"/>
      <c r="BH155" s="299"/>
      <c r="BI155" s="299"/>
      <c r="BJ155" s="299"/>
      <c r="BK155" s="299"/>
      <c r="BL155" s="299"/>
      <c r="BM155" s="299"/>
      <c r="BN155" s="299"/>
      <c r="BO155" s="299"/>
      <c r="BP155" s="299"/>
      <c r="BQ155" s="299"/>
      <c r="BR155" s="299"/>
      <c r="BS155" s="299"/>
      <c r="BT155" s="299"/>
      <c r="BU155" s="299"/>
      <c r="BV155" s="299"/>
      <c r="BW155" s="299"/>
      <c r="BX155" s="299"/>
      <c r="BY155" s="299"/>
      <c r="BZ155" s="299"/>
      <c r="CA155" s="299"/>
      <c r="CB155" s="299"/>
      <c r="CC155" s="299"/>
      <c r="CD155" s="299"/>
      <c r="CE155" s="299"/>
      <c r="CF155" s="299"/>
      <c r="CG155" s="299"/>
      <c r="CH155" s="299"/>
      <c r="CI155" s="299"/>
      <c r="CJ155" s="299"/>
      <c r="CK155" s="299"/>
      <c r="CL155" s="299"/>
      <c r="CM155" s="299"/>
      <c r="CN155" s="299"/>
      <c r="CO155" s="299">
        <v>9</v>
      </c>
      <c r="CP155" s="299">
        <v>9</v>
      </c>
      <c r="CQ155" s="299">
        <v>9</v>
      </c>
      <c r="CR155" s="299">
        <v>9</v>
      </c>
      <c r="CS155" s="299">
        <v>9</v>
      </c>
      <c r="CT155" s="299">
        <v>9</v>
      </c>
      <c r="CU155" s="299">
        <v>9</v>
      </c>
      <c r="CV155" s="299">
        <v>9</v>
      </c>
      <c r="CW155" s="299">
        <v>9</v>
      </c>
      <c r="CX155" s="299">
        <v>9</v>
      </c>
      <c r="CY155" s="299">
        <v>9</v>
      </c>
      <c r="CZ155" s="299">
        <v>9</v>
      </c>
      <c r="DA155" s="299"/>
      <c r="DB155" s="329"/>
      <c r="DC155" s="292"/>
      <c r="DD155" s="292"/>
      <c r="DE155" s="292"/>
      <c r="DF155" s="292"/>
      <c r="DG155" s="292"/>
      <c r="DH155" s="292"/>
      <c r="DI155" s="292"/>
      <c r="DJ155" s="292"/>
      <c r="DK155" s="292"/>
      <c r="DL155" s="292"/>
      <c r="DM155" s="292"/>
      <c r="DN155" s="292"/>
      <c r="DO155" s="292"/>
      <c r="DP155" s="299"/>
      <c r="DQ155" s="328"/>
      <c r="DR155" s="299"/>
      <c r="DS155" s="299"/>
      <c r="DT155" s="299"/>
      <c r="DU155" s="299"/>
      <c r="DV155" s="299"/>
      <c r="DW155" s="299"/>
      <c r="DX155" s="299"/>
      <c r="DY155" s="299"/>
      <c r="DZ155" s="299"/>
      <c r="EA155" s="299"/>
      <c r="EB155" s="299"/>
      <c r="EC155" s="299"/>
      <c r="ED155" s="299"/>
      <c r="EE155" s="299"/>
      <c r="EF155" s="299"/>
      <c r="EG155" s="299"/>
      <c r="EH155" s="299"/>
      <c r="EI155" s="299"/>
      <c r="EJ155" s="299"/>
      <c r="EK155" s="299"/>
      <c r="EL155" s="299"/>
      <c r="EM155" s="299"/>
      <c r="EN155" s="299"/>
      <c r="EO155" s="299"/>
      <c r="EP155" s="299"/>
      <c r="EQ155" s="299"/>
      <c r="ER155" s="299"/>
      <c r="ES155" s="299"/>
      <c r="ET155" s="299"/>
      <c r="EU155" s="299"/>
      <c r="EV155" s="299"/>
      <c r="EW155" s="299"/>
      <c r="EX155" s="299"/>
      <c r="EY155" s="299"/>
      <c r="EZ155" s="299"/>
      <c r="FA155" s="299"/>
      <c r="FB155" s="299"/>
      <c r="FC155" s="299"/>
      <c r="FD155" s="299"/>
      <c r="FE155" s="299"/>
      <c r="FF155" s="299"/>
      <c r="FG155" s="299"/>
      <c r="FH155" s="299"/>
      <c r="FI155" s="299"/>
      <c r="FJ155" s="299"/>
      <c r="FK155" s="299"/>
      <c r="FL155" s="299"/>
      <c r="FM155" s="299"/>
      <c r="FN155" s="299"/>
      <c r="FO155" s="299"/>
      <c r="FP155" s="299"/>
      <c r="FQ155" s="300" t="e">
        <f t="shared" ca="1" si="143"/>
        <v>#VALUE!</v>
      </c>
      <c r="FR155" s="300" t="e">
        <f t="shared" ca="1" si="155"/>
        <v>#VALUE!</v>
      </c>
      <c r="FS155" s="300" t="e">
        <f t="shared" ca="1" si="155"/>
        <v>#VALUE!</v>
      </c>
      <c r="FT155" s="300" t="e">
        <f t="shared" ca="1" si="155"/>
        <v>#VALUE!</v>
      </c>
      <c r="FU155" s="300" t="e">
        <f t="shared" ca="1" si="155"/>
        <v>#VALUE!</v>
      </c>
      <c r="FV155" s="300" t="e">
        <f t="shared" ca="1" si="155"/>
        <v>#VALUE!</v>
      </c>
      <c r="FW155" s="300" t="e">
        <f t="shared" ca="1" si="155"/>
        <v>#VALUE!</v>
      </c>
      <c r="FX155" s="300" t="e">
        <f t="shared" ca="1" si="155"/>
        <v>#VALUE!</v>
      </c>
      <c r="FY155" s="300" t="e">
        <f t="shared" ca="1" si="155"/>
        <v>#VALUE!</v>
      </c>
      <c r="FZ155" s="300" t="e">
        <f t="shared" ca="1" si="155"/>
        <v>#VALUE!</v>
      </c>
      <c r="GA155" s="301" t="e">
        <f t="shared" ca="1" si="155"/>
        <v>#VALUE!</v>
      </c>
      <c r="GB155" s="301" t="e">
        <f t="shared" ca="1" si="156"/>
        <v>#VALUE!</v>
      </c>
      <c r="GC155" s="301" t="e">
        <f t="shared" ca="1" si="156"/>
        <v>#VALUE!</v>
      </c>
      <c r="GD155" s="301" t="e">
        <f t="shared" ca="1" si="156"/>
        <v>#VALUE!</v>
      </c>
      <c r="GE155" s="301" t="e">
        <f t="shared" ca="1" si="156"/>
        <v>#VALUE!</v>
      </c>
      <c r="GF155" s="301" t="e">
        <f t="shared" ca="1" si="156"/>
        <v>#VALUE!</v>
      </c>
      <c r="GG155" s="301" t="e">
        <f t="shared" ca="1" si="156"/>
        <v>#VALUE!</v>
      </c>
      <c r="GH155" s="301" t="e">
        <f t="shared" ca="1" si="156"/>
        <v>#VALUE!</v>
      </c>
      <c r="GI155" s="301" t="e">
        <f t="shared" ca="1" si="156"/>
        <v>#VALUE!</v>
      </c>
      <c r="GJ155" s="301" t="e">
        <f t="shared" ca="1" si="156"/>
        <v>#VALUE!</v>
      </c>
      <c r="GK155" s="301" t="e">
        <f t="shared" ca="1" si="156"/>
        <v>#VALUE!</v>
      </c>
      <c r="GL155" s="301" t="e">
        <f t="shared" ca="1" si="156"/>
        <v>#VALUE!</v>
      </c>
      <c r="GM155" s="301" t="e">
        <f t="shared" ca="1" si="156"/>
        <v>#VALUE!</v>
      </c>
      <c r="GN155" s="302" t="e">
        <f t="shared" ca="1" si="156"/>
        <v>#VALUE!</v>
      </c>
      <c r="GO155" s="302" t="e">
        <f t="shared" ca="1" si="156"/>
        <v>#VALUE!</v>
      </c>
      <c r="GP155" s="301">
        <f t="shared" si="154"/>
        <v>0</v>
      </c>
      <c r="GQ155" s="301">
        <f t="shared" si="154"/>
        <v>0</v>
      </c>
      <c r="GR155" s="301">
        <f t="shared" si="154"/>
        <v>0</v>
      </c>
      <c r="GS155" s="301">
        <f t="shared" si="154"/>
        <v>0</v>
      </c>
      <c r="GT155" s="301">
        <f t="shared" si="154"/>
        <v>0</v>
      </c>
      <c r="GU155" s="303">
        <f t="shared" si="154"/>
        <v>0</v>
      </c>
      <c r="GV155" s="302">
        <f t="shared" si="154"/>
        <v>0</v>
      </c>
      <c r="GW155" s="302">
        <f t="shared" si="154"/>
        <v>0</v>
      </c>
      <c r="GX155" s="302">
        <f t="shared" si="154"/>
        <v>0</v>
      </c>
      <c r="GY155" s="302">
        <f t="shared" si="154"/>
        <v>0</v>
      </c>
      <c r="GZ155" s="302">
        <f t="shared" si="154"/>
        <v>0</v>
      </c>
      <c r="HA155" s="302">
        <f t="shared" si="154"/>
        <v>0</v>
      </c>
      <c r="HB155" s="302">
        <f t="shared" si="154"/>
        <v>0</v>
      </c>
      <c r="HC155" s="302">
        <f t="shared" si="154"/>
        <v>0</v>
      </c>
      <c r="HD155" s="302">
        <f t="shared" si="154"/>
        <v>0</v>
      </c>
      <c r="HE155" s="302">
        <f t="shared" si="154"/>
        <v>0</v>
      </c>
      <c r="HF155" s="304"/>
      <c r="HG155" s="305"/>
    </row>
    <row r="156" spans="1:215" s="306" customFormat="1" ht="15" customHeight="1">
      <c r="A156" s="291"/>
      <c r="B156" s="292" t="s">
        <v>348</v>
      </c>
      <c r="C156" s="292" t="s">
        <v>117</v>
      </c>
      <c r="D156" s="292" t="s">
        <v>227</v>
      </c>
      <c r="E156" s="292" t="s">
        <v>505</v>
      </c>
      <c r="F156" s="292" t="s">
        <v>184</v>
      </c>
      <c r="G156" s="292" t="s">
        <v>350</v>
      </c>
      <c r="H156" s="292" t="s">
        <v>492</v>
      </c>
      <c r="I156" s="292" t="s">
        <v>493</v>
      </c>
      <c r="J156" s="292" t="s">
        <v>184</v>
      </c>
      <c r="K156" s="292" t="s">
        <v>475</v>
      </c>
      <c r="L156" s="292" t="s">
        <v>500</v>
      </c>
      <c r="M156" s="292" t="s">
        <v>360</v>
      </c>
      <c r="N156" s="292" t="str">
        <f t="shared" si="146"/>
        <v>OCM-Training</v>
      </c>
      <c r="O156" s="292" t="str">
        <f t="shared" si="147"/>
        <v>Human Capital-Senior Manager-India-Consulting</v>
      </c>
      <c r="P156" s="292" t="str">
        <f t="shared" si="148"/>
        <v>OCM - Human Capital</v>
      </c>
      <c r="Q156" s="293">
        <f t="shared" si="140"/>
        <v>40964</v>
      </c>
      <c r="R156" s="294">
        <f t="shared" si="141"/>
        <v>0</v>
      </c>
      <c r="S156" s="295">
        <f t="shared" si="149"/>
        <v>81</v>
      </c>
      <c r="T156" s="295">
        <f t="shared" si="142"/>
        <v>196</v>
      </c>
      <c r="U156" s="296" t="str">
        <f t="shared" si="150"/>
        <v>Human Capital - Senior Manager</v>
      </c>
      <c r="V156" s="295" t="str">
        <f t="shared" si="151"/>
        <v>7-10 years</v>
      </c>
      <c r="W156" s="292" t="str">
        <f t="shared" si="152"/>
        <v>Offshore</v>
      </c>
      <c r="X156" s="292" t="s">
        <v>261</v>
      </c>
      <c r="Y156" s="292" t="s">
        <v>492</v>
      </c>
      <c r="Z156" s="349" t="s">
        <v>361</v>
      </c>
      <c r="AA156" s="297">
        <f>[1]Resourcing!QD160</f>
        <v>365.62</v>
      </c>
      <c r="AB156" s="298">
        <f t="shared" si="153"/>
        <v>209</v>
      </c>
      <c r="AC156" s="299"/>
      <c r="AD156" s="299"/>
      <c r="AE156" s="299"/>
      <c r="AF156" s="299"/>
      <c r="AG156" s="299"/>
      <c r="AH156" s="299"/>
      <c r="AI156" s="299"/>
      <c r="AJ156" s="299"/>
      <c r="AK156" s="299"/>
      <c r="AL156" s="299"/>
      <c r="AM156" s="299"/>
      <c r="AN156" s="299"/>
      <c r="AO156" s="299"/>
      <c r="AP156" s="299"/>
      <c r="AQ156" s="299"/>
      <c r="AR156" s="299"/>
      <c r="AS156" s="299"/>
      <c r="AT156" s="299"/>
      <c r="AU156" s="299"/>
      <c r="AV156" s="299"/>
      <c r="AW156" s="299"/>
      <c r="AX156" s="299"/>
      <c r="AY156" s="299"/>
      <c r="AZ156" s="299"/>
      <c r="BA156" s="299"/>
      <c r="BB156" s="299"/>
      <c r="BC156" s="299"/>
      <c r="BD156" s="299"/>
      <c r="BE156" s="299"/>
      <c r="BF156" s="299"/>
      <c r="BG156" s="299"/>
      <c r="BH156" s="299"/>
      <c r="BI156" s="299"/>
      <c r="BJ156" s="299"/>
      <c r="BK156" s="299"/>
      <c r="BL156" s="299"/>
      <c r="BM156" s="299"/>
      <c r="BN156" s="299"/>
      <c r="BO156" s="299"/>
      <c r="BP156" s="299"/>
      <c r="BQ156" s="299"/>
      <c r="BR156" s="299"/>
      <c r="BS156" s="299"/>
      <c r="BT156" s="299"/>
      <c r="BU156" s="299"/>
      <c r="BV156" s="299"/>
      <c r="BW156" s="299"/>
      <c r="BX156" s="299"/>
      <c r="BY156" s="299"/>
      <c r="BZ156" s="299"/>
      <c r="CA156" s="299"/>
      <c r="CB156" s="299"/>
      <c r="CC156" s="299"/>
      <c r="CD156" s="299"/>
      <c r="CE156" s="299"/>
      <c r="CF156" s="299"/>
      <c r="CG156" s="299"/>
      <c r="CH156" s="299"/>
      <c r="CI156" s="299"/>
      <c r="CJ156" s="299"/>
      <c r="CK156" s="299"/>
      <c r="CL156" s="299"/>
      <c r="CM156" s="299"/>
      <c r="CN156" s="299"/>
      <c r="CO156" s="299"/>
      <c r="CP156" s="299">
        <v>2</v>
      </c>
      <c r="CQ156" s="299">
        <v>2</v>
      </c>
      <c r="CR156" s="299">
        <v>2</v>
      </c>
      <c r="CS156" s="299">
        <v>2</v>
      </c>
      <c r="CT156" s="299">
        <v>2</v>
      </c>
      <c r="CU156" s="299">
        <v>5</v>
      </c>
      <c r="CV156" s="299">
        <v>5</v>
      </c>
      <c r="CW156" s="299">
        <v>5</v>
      </c>
      <c r="CX156" s="299">
        <v>5</v>
      </c>
      <c r="CY156" s="299">
        <v>5</v>
      </c>
      <c r="CZ156" s="299">
        <v>5</v>
      </c>
      <c r="DA156" s="299">
        <v>5</v>
      </c>
      <c r="DB156" s="299">
        <v>5</v>
      </c>
      <c r="DC156" s="336">
        <v>5</v>
      </c>
      <c r="DD156" s="336">
        <v>5</v>
      </c>
      <c r="DE156" s="336">
        <v>5</v>
      </c>
      <c r="DF156" s="336">
        <v>5</v>
      </c>
      <c r="DG156" s="336">
        <v>5</v>
      </c>
      <c r="DH156" s="336">
        <v>5</v>
      </c>
      <c r="DI156" s="336">
        <v>5</v>
      </c>
      <c r="DJ156" s="336">
        <v>5</v>
      </c>
      <c r="DK156" s="336">
        <v>5</v>
      </c>
      <c r="DL156" s="336">
        <v>5</v>
      </c>
      <c r="DM156" s="336">
        <v>5</v>
      </c>
      <c r="DN156" s="336">
        <v>5</v>
      </c>
      <c r="DO156" s="336">
        <v>5</v>
      </c>
      <c r="DP156" s="336">
        <v>5</v>
      </c>
      <c r="DQ156" s="299">
        <v>5</v>
      </c>
      <c r="DR156" s="299"/>
      <c r="DS156" s="299"/>
      <c r="DT156" s="299">
        <v>5</v>
      </c>
      <c r="DU156" s="299">
        <v>5</v>
      </c>
      <c r="DV156" s="299">
        <v>5</v>
      </c>
      <c r="DW156" s="299">
        <v>5</v>
      </c>
      <c r="DX156" s="299">
        <v>5</v>
      </c>
      <c r="DY156" s="299">
        <v>5</v>
      </c>
      <c r="DZ156" s="299">
        <v>5</v>
      </c>
      <c r="EA156" s="299">
        <v>5</v>
      </c>
      <c r="EB156" s="299">
        <v>5</v>
      </c>
      <c r="EC156" s="299">
        <v>5</v>
      </c>
      <c r="ED156" s="299">
        <v>5</v>
      </c>
      <c r="EE156" s="299">
        <v>5</v>
      </c>
      <c r="EF156" s="299">
        <v>5</v>
      </c>
      <c r="EG156" s="299">
        <v>2</v>
      </c>
      <c r="EH156" s="299">
        <v>2</v>
      </c>
      <c r="EI156" s="299">
        <v>2</v>
      </c>
      <c r="EJ156" s="299"/>
      <c r="EK156" s="299"/>
      <c r="EL156" s="299"/>
      <c r="EM156" s="299"/>
      <c r="EN156" s="299"/>
      <c r="EO156" s="299"/>
      <c r="EP156" s="299"/>
      <c r="EQ156" s="299"/>
      <c r="ER156" s="299"/>
      <c r="ES156" s="299"/>
      <c r="ET156" s="299"/>
      <c r="EU156" s="299"/>
      <c r="EV156" s="299"/>
      <c r="EW156" s="299"/>
      <c r="EX156" s="299"/>
      <c r="EY156" s="299"/>
      <c r="EZ156" s="299"/>
      <c r="FA156" s="299"/>
      <c r="FB156" s="299"/>
      <c r="FC156" s="299"/>
      <c r="FD156" s="299"/>
      <c r="FE156" s="299"/>
      <c r="FF156" s="299"/>
      <c r="FG156" s="299"/>
      <c r="FH156" s="299"/>
      <c r="FI156" s="299"/>
      <c r="FJ156" s="299"/>
      <c r="FK156" s="299"/>
      <c r="FL156" s="299"/>
      <c r="FM156" s="299"/>
      <c r="FN156" s="299"/>
      <c r="FO156" s="299"/>
      <c r="FP156" s="299"/>
      <c r="FQ156" s="300" t="e">
        <f t="shared" ca="1" si="143"/>
        <v>#VALUE!</v>
      </c>
      <c r="FR156" s="300" t="e">
        <f t="shared" ca="1" si="155"/>
        <v>#VALUE!</v>
      </c>
      <c r="FS156" s="300" t="e">
        <f t="shared" ca="1" si="155"/>
        <v>#VALUE!</v>
      </c>
      <c r="FT156" s="300" t="e">
        <f t="shared" ca="1" si="155"/>
        <v>#VALUE!</v>
      </c>
      <c r="FU156" s="300" t="e">
        <f t="shared" ca="1" si="155"/>
        <v>#VALUE!</v>
      </c>
      <c r="FV156" s="300" t="e">
        <f t="shared" ca="1" si="155"/>
        <v>#VALUE!</v>
      </c>
      <c r="FW156" s="300" t="e">
        <f t="shared" ca="1" si="155"/>
        <v>#VALUE!</v>
      </c>
      <c r="FX156" s="300" t="e">
        <f t="shared" ca="1" si="155"/>
        <v>#VALUE!</v>
      </c>
      <c r="FY156" s="300" t="e">
        <f t="shared" ca="1" si="155"/>
        <v>#VALUE!</v>
      </c>
      <c r="FZ156" s="300" t="e">
        <f t="shared" ca="1" si="155"/>
        <v>#VALUE!</v>
      </c>
      <c r="GA156" s="301" t="e">
        <f t="shared" ca="1" si="155"/>
        <v>#VALUE!</v>
      </c>
      <c r="GB156" s="301" t="e">
        <f t="shared" ca="1" si="156"/>
        <v>#VALUE!</v>
      </c>
      <c r="GC156" s="301" t="e">
        <f t="shared" ca="1" si="156"/>
        <v>#VALUE!</v>
      </c>
      <c r="GD156" s="301" t="e">
        <f t="shared" ca="1" si="156"/>
        <v>#VALUE!</v>
      </c>
      <c r="GE156" s="301" t="e">
        <f t="shared" ca="1" si="156"/>
        <v>#VALUE!</v>
      </c>
      <c r="GF156" s="301" t="e">
        <f t="shared" ca="1" si="156"/>
        <v>#VALUE!</v>
      </c>
      <c r="GG156" s="301" t="e">
        <f t="shared" ca="1" si="156"/>
        <v>#VALUE!</v>
      </c>
      <c r="GH156" s="301" t="e">
        <f t="shared" ca="1" si="156"/>
        <v>#VALUE!</v>
      </c>
      <c r="GI156" s="301" t="e">
        <f t="shared" ca="1" si="156"/>
        <v>#VALUE!</v>
      </c>
      <c r="GJ156" s="301" t="e">
        <f t="shared" ca="1" si="156"/>
        <v>#VALUE!</v>
      </c>
      <c r="GK156" s="301" t="e">
        <f t="shared" ca="1" si="156"/>
        <v>#VALUE!</v>
      </c>
      <c r="GL156" s="301" t="e">
        <f t="shared" ca="1" si="156"/>
        <v>#VALUE!</v>
      </c>
      <c r="GM156" s="301" t="e">
        <f t="shared" ca="1" si="156"/>
        <v>#VALUE!</v>
      </c>
      <c r="GN156" s="302" t="e">
        <f t="shared" ca="1" si="156"/>
        <v>#VALUE!</v>
      </c>
      <c r="GO156" s="302" t="e">
        <f t="shared" ca="1" si="156"/>
        <v>#VALUE!</v>
      </c>
      <c r="GP156" s="301">
        <f t="shared" ref="GP156:HE165" si="157">SUMIF($AB$8:$FO$8,GP$9,$AB156:$FO156)</f>
        <v>10</v>
      </c>
      <c r="GQ156" s="301">
        <f t="shared" si="157"/>
        <v>20</v>
      </c>
      <c r="GR156" s="301">
        <f t="shared" si="157"/>
        <v>20</v>
      </c>
      <c r="GS156" s="301">
        <f t="shared" si="157"/>
        <v>20</v>
      </c>
      <c r="GT156" s="301">
        <f t="shared" si="157"/>
        <v>11</v>
      </c>
      <c r="GU156" s="303">
        <f t="shared" si="157"/>
        <v>0</v>
      </c>
      <c r="GV156" s="302">
        <f t="shared" si="157"/>
        <v>0</v>
      </c>
      <c r="GW156" s="302">
        <f t="shared" si="157"/>
        <v>0</v>
      </c>
      <c r="GX156" s="302">
        <f t="shared" si="157"/>
        <v>0</v>
      </c>
      <c r="GY156" s="302">
        <f t="shared" si="157"/>
        <v>0</v>
      </c>
      <c r="GZ156" s="302">
        <f t="shared" si="157"/>
        <v>0</v>
      </c>
      <c r="HA156" s="302">
        <f t="shared" si="157"/>
        <v>0</v>
      </c>
      <c r="HB156" s="302">
        <f t="shared" si="157"/>
        <v>0</v>
      </c>
      <c r="HC156" s="302">
        <f t="shared" si="157"/>
        <v>0</v>
      </c>
      <c r="HD156" s="302">
        <f t="shared" si="157"/>
        <v>0</v>
      </c>
      <c r="HE156" s="302">
        <f t="shared" si="157"/>
        <v>0</v>
      </c>
      <c r="HF156" s="304"/>
      <c r="HG156" s="305"/>
    </row>
    <row r="157" spans="1:215" s="306" customFormat="1" ht="15" customHeight="1">
      <c r="A157" s="291"/>
      <c r="B157" s="292" t="s">
        <v>348</v>
      </c>
      <c r="C157" s="292" t="s">
        <v>117</v>
      </c>
      <c r="D157" s="292" t="s">
        <v>227</v>
      </c>
      <c r="E157" s="292" t="s">
        <v>506</v>
      </c>
      <c r="F157" s="292" t="s">
        <v>184</v>
      </c>
      <c r="G157" s="292" t="s">
        <v>350</v>
      </c>
      <c r="H157" s="292" t="s">
        <v>492</v>
      </c>
      <c r="I157" s="292" t="s">
        <v>493</v>
      </c>
      <c r="J157" s="292" t="s">
        <v>184</v>
      </c>
      <c r="K157" s="292" t="s">
        <v>475</v>
      </c>
      <c r="L157" s="292" t="s">
        <v>502</v>
      </c>
      <c r="M157" s="292" t="s">
        <v>371</v>
      </c>
      <c r="N157" s="292" t="str">
        <f t="shared" si="146"/>
        <v>OCM-Training</v>
      </c>
      <c r="O157" s="292" t="str">
        <f t="shared" si="147"/>
        <v>Human Capital-Manager-India-Consulting</v>
      </c>
      <c r="P157" s="292" t="str">
        <f t="shared" si="148"/>
        <v>OCM - Human Capital</v>
      </c>
      <c r="Q157" s="293">
        <f t="shared" si="140"/>
        <v>318780</v>
      </c>
      <c r="R157" s="294">
        <f t="shared" si="141"/>
        <v>0</v>
      </c>
      <c r="S157" s="295">
        <f t="shared" si="149"/>
        <v>810</v>
      </c>
      <c r="T157" s="295">
        <f t="shared" si="142"/>
        <v>1980</v>
      </c>
      <c r="U157" s="296" t="str">
        <f t="shared" si="150"/>
        <v>Human Capital - Manager</v>
      </c>
      <c r="V157" s="295" t="str">
        <f t="shared" si="151"/>
        <v>5-7 years</v>
      </c>
      <c r="W157" s="292" t="str">
        <f t="shared" si="152"/>
        <v>Offshore</v>
      </c>
      <c r="X157" s="292" t="s">
        <v>261</v>
      </c>
      <c r="Y157" s="292" t="s">
        <v>492</v>
      </c>
      <c r="Z157" s="349" t="s">
        <v>376</v>
      </c>
      <c r="AA157" s="297">
        <f>[1]Resourcing!QD161</f>
        <v>328.65</v>
      </c>
      <c r="AB157" s="298">
        <f t="shared" si="153"/>
        <v>161</v>
      </c>
      <c r="AC157" s="299"/>
      <c r="AD157" s="299"/>
      <c r="AE157" s="299"/>
      <c r="AF157" s="299"/>
      <c r="AG157" s="299"/>
      <c r="AH157" s="299"/>
      <c r="AI157" s="299"/>
      <c r="AJ157" s="299"/>
      <c r="AK157" s="299"/>
      <c r="AL157" s="299"/>
      <c r="AM157" s="299"/>
      <c r="AN157" s="299"/>
      <c r="AO157" s="299"/>
      <c r="AP157" s="299"/>
      <c r="AQ157" s="299"/>
      <c r="AR157" s="299"/>
      <c r="AS157" s="299"/>
      <c r="AT157" s="299"/>
      <c r="AU157" s="299"/>
      <c r="AV157" s="299"/>
      <c r="AW157" s="299"/>
      <c r="AX157" s="299"/>
      <c r="AY157" s="299"/>
      <c r="AZ157" s="299"/>
      <c r="BA157" s="299"/>
      <c r="BB157" s="299"/>
      <c r="BC157" s="299"/>
      <c r="BD157" s="299"/>
      <c r="BE157" s="299"/>
      <c r="BF157" s="299"/>
      <c r="BG157" s="299"/>
      <c r="BH157" s="299"/>
      <c r="BI157" s="299"/>
      <c r="BJ157" s="299"/>
      <c r="BK157" s="299"/>
      <c r="BL157" s="299"/>
      <c r="BM157" s="299"/>
      <c r="BN157" s="299"/>
      <c r="BO157" s="299"/>
      <c r="BP157" s="299"/>
      <c r="BQ157" s="299"/>
      <c r="BR157" s="299"/>
      <c r="BS157" s="299"/>
      <c r="BT157" s="299"/>
      <c r="BU157" s="299"/>
      <c r="BV157" s="299"/>
      <c r="BW157" s="299"/>
      <c r="BX157" s="299"/>
      <c r="BY157" s="299"/>
      <c r="BZ157" s="299"/>
      <c r="CA157" s="299"/>
      <c r="CB157" s="299"/>
      <c r="CC157" s="299"/>
      <c r="CD157" s="299"/>
      <c r="CE157" s="299"/>
      <c r="CF157" s="299"/>
      <c r="CG157" s="299"/>
      <c r="CH157" s="299"/>
      <c r="CI157" s="299"/>
      <c r="CJ157" s="299"/>
      <c r="CK157" s="299"/>
      <c r="CL157" s="299"/>
      <c r="CM157" s="299"/>
      <c r="CN157" s="299"/>
      <c r="CO157" s="299"/>
      <c r="CP157" s="299">
        <v>45</v>
      </c>
      <c r="CQ157" s="299">
        <v>45</v>
      </c>
      <c r="CR157" s="299">
        <v>45</v>
      </c>
      <c r="CS157" s="299">
        <v>45</v>
      </c>
      <c r="CT157" s="299">
        <v>45</v>
      </c>
      <c r="CU157" s="299">
        <v>45</v>
      </c>
      <c r="CV157" s="299">
        <v>45</v>
      </c>
      <c r="CW157" s="299">
        <v>45</v>
      </c>
      <c r="CX157" s="299">
        <v>45</v>
      </c>
      <c r="CY157" s="299">
        <v>45</v>
      </c>
      <c r="CZ157" s="299">
        <v>45</v>
      </c>
      <c r="DA157" s="299">
        <v>45</v>
      </c>
      <c r="DB157" s="299">
        <v>45</v>
      </c>
      <c r="DC157" s="299">
        <v>45</v>
      </c>
      <c r="DD157" s="299">
        <v>45</v>
      </c>
      <c r="DE157" s="299">
        <v>45</v>
      </c>
      <c r="DF157" s="299">
        <v>45</v>
      </c>
      <c r="DG157" s="299">
        <v>45</v>
      </c>
      <c r="DH157" s="299">
        <v>45</v>
      </c>
      <c r="DI157" s="299">
        <v>45</v>
      </c>
      <c r="DJ157" s="299">
        <v>45</v>
      </c>
      <c r="DK157" s="299">
        <v>45</v>
      </c>
      <c r="DL157" s="299">
        <v>45</v>
      </c>
      <c r="DM157" s="299">
        <v>45</v>
      </c>
      <c r="DN157" s="299">
        <v>45</v>
      </c>
      <c r="DO157" s="299">
        <v>45</v>
      </c>
      <c r="DP157" s="299">
        <v>45</v>
      </c>
      <c r="DQ157" s="299">
        <v>45</v>
      </c>
      <c r="DR157" s="299"/>
      <c r="DS157" s="299"/>
      <c r="DT157" s="299">
        <v>45</v>
      </c>
      <c r="DU157" s="299">
        <v>45</v>
      </c>
      <c r="DV157" s="299">
        <v>45</v>
      </c>
      <c r="DW157" s="299">
        <v>45</v>
      </c>
      <c r="DX157" s="299">
        <v>45</v>
      </c>
      <c r="DY157" s="299">
        <v>45</v>
      </c>
      <c r="DZ157" s="299">
        <v>45</v>
      </c>
      <c r="EA157" s="299">
        <v>45</v>
      </c>
      <c r="EB157" s="299">
        <v>45</v>
      </c>
      <c r="EC157" s="299">
        <v>45</v>
      </c>
      <c r="ED157" s="299">
        <v>45</v>
      </c>
      <c r="EE157" s="299">
        <v>45</v>
      </c>
      <c r="EF157" s="299">
        <v>45</v>
      </c>
      <c r="EG157" s="299">
        <v>45</v>
      </c>
      <c r="EH157" s="299">
        <v>45</v>
      </c>
      <c r="EI157" s="299">
        <v>45</v>
      </c>
      <c r="EJ157" s="299"/>
      <c r="EK157" s="299"/>
      <c r="EL157" s="299"/>
      <c r="EM157" s="299"/>
      <c r="EN157" s="299"/>
      <c r="EO157" s="299"/>
      <c r="EP157" s="299"/>
      <c r="EQ157" s="299"/>
      <c r="ER157" s="299"/>
      <c r="ES157" s="299"/>
      <c r="ET157" s="299"/>
      <c r="EU157" s="299"/>
      <c r="EV157" s="299"/>
      <c r="EW157" s="299"/>
      <c r="EX157" s="299"/>
      <c r="EY157" s="299"/>
      <c r="EZ157" s="299"/>
      <c r="FA157" s="299"/>
      <c r="FB157" s="299"/>
      <c r="FC157" s="299"/>
      <c r="FD157" s="299"/>
      <c r="FE157" s="299"/>
      <c r="FF157" s="299"/>
      <c r="FG157" s="299"/>
      <c r="FH157" s="299"/>
      <c r="FI157" s="299"/>
      <c r="FJ157" s="299"/>
      <c r="FK157" s="299"/>
      <c r="FL157" s="299"/>
      <c r="FM157" s="299"/>
      <c r="FN157" s="299"/>
      <c r="FO157" s="299"/>
      <c r="FP157" s="299"/>
      <c r="FQ157" s="300" t="e">
        <f t="shared" ca="1" si="143"/>
        <v>#VALUE!</v>
      </c>
      <c r="FR157" s="300" t="e">
        <f t="shared" ca="1" si="155"/>
        <v>#VALUE!</v>
      </c>
      <c r="FS157" s="300" t="e">
        <f t="shared" ca="1" si="155"/>
        <v>#VALUE!</v>
      </c>
      <c r="FT157" s="300" t="e">
        <f t="shared" ca="1" si="155"/>
        <v>#VALUE!</v>
      </c>
      <c r="FU157" s="300" t="e">
        <f t="shared" ca="1" si="155"/>
        <v>#VALUE!</v>
      </c>
      <c r="FV157" s="300" t="e">
        <f t="shared" ca="1" si="155"/>
        <v>#VALUE!</v>
      </c>
      <c r="FW157" s="300" t="e">
        <f t="shared" ca="1" si="155"/>
        <v>#VALUE!</v>
      </c>
      <c r="FX157" s="300" t="e">
        <f t="shared" ca="1" si="155"/>
        <v>#VALUE!</v>
      </c>
      <c r="FY157" s="300" t="e">
        <f t="shared" ca="1" si="155"/>
        <v>#VALUE!</v>
      </c>
      <c r="FZ157" s="300" t="e">
        <f t="shared" ca="1" si="155"/>
        <v>#VALUE!</v>
      </c>
      <c r="GA157" s="301" t="e">
        <f t="shared" ca="1" si="155"/>
        <v>#VALUE!</v>
      </c>
      <c r="GB157" s="301" t="e">
        <f t="shared" ca="1" si="156"/>
        <v>#VALUE!</v>
      </c>
      <c r="GC157" s="301" t="e">
        <f t="shared" ca="1" si="156"/>
        <v>#VALUE!</v>
      </c>
      <c r="GD157" s="301" t="e">
        <f t="shared" ca="1" si="156"/>
        <v>#VALUE!</v>
      </c>
      <c r="GE157" s="301" t="e">
        <f t="shared" ca="1" si="156"/>
        <v>#VALUE!</v>
      </c>
      <c r="GF157" s="301" t="e">
        <f t="shared" ca="1" si="156"/>
        <v>#VALUE!</v>
      </c>
      <c r="GG157" s="301" t="e">
        <f t="shared" ca="1" si="156"/>
        <v>#VALUE!</v>
      </c>
      <c r="GH157" s="301" t="e">
        <f t="shared" ca="1" si="156"/>
        <v>#VALUE!</v>
      </c>
      <c r="GI157" s="301" t="e">
        <f t="shared" ca="1" si="156"/>
        <v>#VALUE!</v>
      </c>
      <c r="GJ157" s="301" t="e">
        <f t="shared" ca="1" si="156"/>
        <v>#VALUE!</v>
      </c>
      <c r="GK157" s="301" t="e">
        <f t="shared" ca="1" si="156"/>
        <v>#VALUE!</v>
      </c>
      <c r="GL157" s="301" t="e">
        <f t="shared" ca="1" si="156"/>
        <v>#VALUE!</v>
      </c>
      <c r="GM157" s="301" t="e">
        <f t="shared" ca="1" si="156"/>
        <v>#VALUE!</v>
      </c>
      <c r="GN157" s="302" t="e">
        <f t="shared" ca="1" si="156"/>
        <v>#VALUE!</v>
      </c>
      <c r="GO157" s="302" t="e">
        <f t="shared" ca="1" si="156"/>
        <v>#VALUE!</v>
      </c>
      <c r="GP157" s="301">
        <f t="shared" si="157"/>
        <v>90</v>
      </c>
      <c r="GQ157" s="301">
        <f t="shared" si="157"/>
        <v>180</v>
      </c>
      <c r="GR157" s="301">
        <f t="shared" si="157"/>
        <v>180</v>
      </c>
      <c r="GS157" s="301">
        <f t="shared" si="157"/>
        <v>180</v>
      </c>
      <c r="GT157" s="301">
        <f t="shared" si="157"/>
        <v>180</v>
      </c>
      <c r="GU157" s="303">
        <f t="shared" si="157"/>
        <v>0</v>
      </c>
      <c r="GV157" s="302">
        <f t="shared" si="157"/>
        <v>0</v>
      </c>
      <c r="GW157" s="302">
        <f t="shared" si="157"/>
        <v>0</v>
      </c>
      <c r="GX157" s="302">
        <f t="shared" si="157"/>
        <v>0</v>
      </c>
      <c r="GY157" s="302">
        <f t="shared" si="157"/>
        <v>0</v>
      </c>
      <c r="GZ157" s="302">
        <f t="shared" si="157"/>
        <v>0</v>
      </c>
      <c r="HA157" s="302">
        <f t="shared" si="157"/>
        <v>0</v>
      </c>
      <c r="HB157" s="302">
        <f t="shared" si="157"/>
        <v>0</v>
      </c>
      <c r="HC157" s="302">
        <f t="shared" si="157"/>
        <v>0</v>
      </c>
      <c r="HD157" s="302">
        <f t="shared" si="157"/>
        <v>0</v>
      </c>
      <c r="HE157" s="302">
        <f t="shared" si="157"/>
        <v>0</v>
      </c>
      <c r="HF157" s="304"/>
      <c r="HG157" s="305"/>
    </row>
    <row r="158" spans="1:215" s="306" customFormat="1" ht="15" customHeight="1">
      <c r="A158" s="291"/>
      <c r="B158" s="292" t="s">
        <v>348</v>
      </c>
      <c r="C158" s="292" t="s">
        <v>117</v>
      </c>
      <c r="D158" s="292" t="s">
        <v>227</v>
      </c>
      <c r="E158" s="292" t="s">
        <v>507</v>
      </c>
      <c r="F158" s="292" t="s">
        <v>184</v>
      </c>
      <c r="G158" s="292" t="s">
        <v>350</v>
      </c>
      <c r="H158" s="292" t="s">
        <v>492</v>
      </c>
      <c r="I158" s="292" t="s">
        <v>493</v>
      </c>
      <c r="J158" s="292" t="s">
        <v>184</v>
      </c>
      <c r="K158" s="292" t="s">
        <v>475</v>
      </c>
      <c r="L158" s="292" t="s">
        <v>502</v>
      </c>
      <c r="M158" s="292" t="s">
        <v>374</v>
      </c>
      <c r="N158" s="292" t="str">
        <f t="shared" si="146"/>
        <v>OCM-Training</v>
      </c>
      <c r="O158" s="292" t="str">
        <f t="shared" si="147"/>
        <v>Human Capital-Senior Consultant-India-Consulting</v>
      </c>
      <c r="P158" s="292" t="str">
        <f t="shared" si="148"/>
        <v>OCM - Human Capital</v>
      </c>
      <c r="Q158" s="293">
        <f t="shared" si="140"/>
        <v>217080</v>
      </c>
      <c r="R158" s="294">
        <f t="shared" si="141"/>
        <v>0</v>
      </c>
      <c r="S158" s="295">
        <f t="shared" si="149"/>
        <v>675</v>
      </c>
      <c r="T158" s="295">
        <f t="shared" si="142"/>
        <v>1620</v>
      </c>
      <c r="U158" s="296" t="str">
        <f t="shared" si="150"/>
        <v>Human Capital - Senior Consultant</v>
      </c>
      <c r="V158" s="295" t="str">
        <f t="shared" si="151"/>
        <v>3-5 years</v>
      </c>
      <c r="W158" s="292" t="str">
        <f t="shared" si="152"/>
        <v>Offshore</v>
      </c>
      <c r="X158" s="292" t="s">
        <v>261</v>
      </c>
      <c r="Y158" s="292" t="s">
        <v>492</v>
      </c>
      <c r="Z158" s="349" t="s">
        <v>364</v>
      </c>
      <c r="AA158" s="297">
        <f>[1]Resourcing!QD162</f>
        <v>63.6</v>
      </c>
      <c r="AB158" s="298">
        <f t="shared" si="153"/>
        <v>134</v>
      </c>
      <c r="AC158" s="299"/>
      <c r="AD158" s="299"/>
      <c r="AE158" s="299"/>
      <c r="AF158" s="299"/>
      <c r="AG158" s="299"/>
      <c r="AH158" s="299"/>
      <c r="AI158" s="299"/>
      <c r="AJ158" s="299"/>
      <c r="AK158" s="299"/>
      <c r="AL158" s="299"/>
      <c r="AM158" s="299"/>
      <c r="AN158" s="299"/>
      <c r="AO158" s="299"/>
      <c r="AP158" s="299"/>
      <c r="AQ158" s="299"/>
      <c r="AR158" s="299"/>
      <c r="AS158" s="299"/>
      <c r="AT158" s="299"/>
      <c r="AU158" s="299"/>
      <c r="AV158" s="299"/>
      <c r="AW158" s="299"/>
      <c r="AX158" s="299"/>
      <c r="AY158" s="299"/>
      <c r="AZ158" s="299"/>
      <c r="BA158" s="299"/>
      <c r="BB158" s="299"/>
      <c r="BC158" s="299"/>
      <c r="BD158" s="299"/>
      <c r="BE158" s="299"/>
      <c r="BF158" s="299"/>
      <c r="BG158" s="299"/>
      <c r="BH158" s="299"/>
      <c r="BI158" s="299"/>
      <c r="BJ158" s="299"/>
      <c r="BK158" s="299"/>
      <c r="BL158" s="299"/>
      <c r="BM158" s="299"/>
      <c r="BN158" s="299"/>
      <c r="BO158" s="299"/>
      <c r="BP158" s="299"/>
      <c r="BQ158" s="299"/>
      <c r="BR158" s="299"/>
      <c r="BS158" s="299"/>
      <c r="BT158" s="299"/>
      <c r="BU158" s="299"/>
      <c r="BV158" s="299"/>
      <c r="BW158" s="299"/>
      <c r="BX158" s="299"/>
      <c r="BY158" s="299"/>
      <c r="BZ158" s="299"/>
      <c r="CA158" s="299"/>
      <c r="CB158" s="299"/>
      <c r="CC158" s="299"/>
      <c r="CD158" s="299"/>
      <c r="CE158" s="299"/>
      <c r="CF158" s="299"/>
      <c r="CG158" s="299"/>
      <c r="CH158" s="299"/>
      <c r="CI158" s="299"/>
      <c r="CJ158" s="299"/>
      <c r="CK158" s="299"/>
      <c r="CL158" s="299"/>
      <c r="CM158" s="299"/>
      <c r="CN158" s="299"/>
      <c r="CO158" s="299"/>
      <c r="CP158" s="299"/>
      <c r="CQ158" s="299"/>
      <c r="CR158" s="299"/>
      <c r="CS158" s="299"/>
      <c r="CT158" s="299"/>
      <c r="CU158" s="299">
        <v>45</v>
      </c>
      <c r="CV158" s="299">
        <v>45</v>
      </c>
      <c r="CW158" s="299">
        <v>45</v>
      </c>
      <c r="CX158" s="299">
        <v>45</v>
      </c>
      <c r="CY158" s="299">
        <v>45</v>
      </c>
      <c r="CZ158" s="299">
        <v>45</v>
      </c>
      <c r="DA158" s="299">
        <v>45</v>
      </c>
      <c r="DB158" s="299">
        <v>45</v>
      </c>
      <c r="DC158" s="299">
        <v>45</v>
      </c>
      <c r="DD158" s="299">
        <v>45</v>
      </c>
      <c r="DE158" s="299">
        <v>45</v>
      </c>
      <c r="DF158" s="299">
        <v>45</v>
      </c>
      <c r="DG158" s="299">
        <v>45</v>
      </c>
      <c r="DH158" s="299">
        <v>45</v>
      </c>
      <c r="DI158" s="299">
        <v>45</v>
      </c>
      <c r="DJ158" s="299">
        <v>45</v>
      </c>
      <c r="DK158" s="299">
        <v>45</v>
      </c>
      <c r="DL158" s="299">
        <v>45</v>
      </c>
      <c r="DM158" s="299">
        <v>45</v>
      </c>
      <c r="DN158" s="299">
        <v>45</v>
      </c>
      <c r="DO158" s="299">
        <v>45</v>
      </c>
      <c r="DP158" s="299">
        <v>45</v>
      </c>
      <c r="DQ158" s="299">
        <v>45</v>
      </c>
      <c r="DR158" s="299"/>
      <c r="DS158" s="299"/>
      <c r="DT158" s="299">
        <v>45</v>
      </c>
      <c r="DU158" s="299">
        <v>45</v>
      </c>
      <c r="DV158" s="299">
        <v>45</v>
      </c>
      <c r="DW158" s="299">
        <v>45</v>
      </c>
      <c r="DX158" s="299">
        <v>45</v>
      </c>
      <c r="DY158" s="299">
        <v>45</v>
      </c>
      <c r="DZ158" s="299">
        <v>45</v>
      </c>
      <c r="EA158" s="299">
        <v>45</v>
      </c>
      <c r="EB158" s="299">
        <v>45</v>
      </c>
      <c r="EC158" s="299">
        <v>45</v>
      </c>
      <c r="ED158" s="299">
        <v>45</v>
      </c>
      <c r="EE158" s="299">
        <v>45</v>
      </c>
      <c r="EF158" s="299">
        <v>45</v>
      </c>
      <c r="EG158" s="299"/>
      <c r="EH158" s="299"/>
      <c r="EI158" s="299"/>
      <c r="EJ158" s="299"/>
      <c r="EK158" s="299"/>
      <c r="EL158" s="299"/>
      <c r="EM158" s="299"/>
      <c r="EN158" s="299"/>
      <c r="EO158" s="299"/>
      <c r="EP158" s="299"/>
      <c r="EQ158" s="299"/>
      <c r="ER158" s="299"/>
      <c r="ES158" s="299"/>
      <c r="ET158" s="299"/>
      <c r="EU158" s="299"/>
      <c r="EV158" s="299"/>
      <c r="EW158" s="299"/>
      <c r="EX158" s="299"/>
      <c r="EY158" s="299"/>
      <c r="EZ158" s="299"/>
      <c r="FA158" s="299"/>
      <c r="FB158" s="299"/>
      <c r="FC158" s="299"/>
      <c r="FD158" s="299"/>
      <c r="FE158" s="299"/>
      <c r="FF158" s="299"/>
      <c r="FG158" s="299"/>
      <c r="FH158" s="299"/>
      <c r="FI158" s="299"/>
      <c r="FJ158" s="299"/>
      <c r="FK158" s="299"/>
      <c r="FL158" s="299"/>
      <c r="FM158" s="299"/>
      <c r="FN158" s="299"/>
      <c r="FO158" s="299"/>
      <c r="FP158" s="299"/>
      <c r="FQ158" s="300" t="e">
        <f t="shared" ca="1" si="143"/>
        <v>#VALUE!</v>
      </c>
      <c r="FR158" s="300" t="e">
        <f t="shared" ca="1" si="155"/>
        <v>#VALUE!</v>
      </c>
      <c r="FS158" s="300" t="e">
        <f t="shared" ca="1" si="155"/>
        <v>#VALUE!</v>
      </c>
      <c r="FT158" s="300" t="e">
        <f t="shared" ca="1" si="155"/>
        <v>#VALUE!</v>
      </c>
      <c r="FU158" s="300" t="e">
        <f t="shared" ca="1" si="155"/>
        <v>#VALUE!</v>
      </c>
      <c r="FV158" s="300" t="e">
        <f t="shared" ca="1" si="155"/>
        <v>#VALUE!</v>
      </c>
      <c r="FW158" s="300" t="e">
        <f t="shared" ca="1" si="155"/>
        <v>#VALUE!</v>
      </c>
      <c r="FX158" s="300" t="e">
        <f t="shared" ca="1" si="155"/>
        <v>#VALUE!</v>
      </c>
      <c r="FY158" s="300" t="e">
        <f t="shared" ca="1" si="155"/>
        <v>#VALUE!</v>
      </c>
      <c r="FZ158" s="300" t="e">
        <f t="shared" ca="1" si="155"/>
        <v>#VALUE!</v>
      </c>
      <c r="GA158" s="301" t="e">
        <f t="shared" ca="1" si="155"/>
        <v>#VALUE!</v>
      </c>
      <c r="GB158" s="301" t="e">
        <f t="shared" ca="1" si="156"/>
        <v>#VALUE!</v>
      </c>
      <c r="GC158" s="301" t="e">
        <f t="shared" ca="1" si="156"/>
        <v>#VALUE!</v>
      </c>
      <c r="GD158" s="301" t="e">
        <f t="shared" ca="1" si="156"/>
        <v>#VALUE!</v>
      </c>
      <c r="GE158" s="301" t="e">
        <f t="shared" ca="1" si="156"/>
        <v>#VALUE!</v>
      </c>
      <c r="GF158" s="301" t="e">
        <f t="shared" ca="1" si="156"/>
        <v>#VALUE!</v>
      </c>
      <c r="GG158" s="301" t="e">
        <f t="shared" ca="1" si="156"/>
        <v>#VALUE!</v>
      </c>
      <c r="GH158" s="301" t="e">
        <f t="shared" ca="1" si="156"/>
        <v>#VALUE!</v>
      </c>
      <c r="GI158" s="301" t="e">
        <f t="shared" ca="1" si="156"/>
        <v>#VALUE!</v>
      </c>
      <c r="GJ158" s="301" t="e">
        <f t="shared" ca="1" si="156"/>
        <v>#VALUE!</v>
      </c>
      <c r="GK158" s="301" t="e">
        <f t="shared" ca="1" si="156"/>
        <v>#VALUE!</v>
      </c>
      <c r="GL158" s="301" t="e">
        <f t="shared" ca="1" si="156"/>
        <v>#VALUE!</v>
      </c>
      <c r="GM158" s="301" t="e">
        <f t="shared" ca="1" si="156"/>
        <v>#VALUE!</v>
      </c>
      <c r="GN158" s="302" t="e">
        <f t="shared" ca="1" si="156"/>
        <v>#VALUE!</v>
      </c>
      <c r="GO158" s="302" t="e">
        <f t="shared" ca="1" si="156"/>
        <v>#VALUE!</v>
      </c>
      <c r="GP158" s="301">
        <f t="shared" si="157"/>
        <v>90</v>
      </c>
      <c r="GQ158" s="301">
        <f t="shared" si="157"/>
        <v>180</v>
      </c>
      <c r="GR158" s="301">
        <f t="shared" si="157"/>
        <v>180</v>
      </c>
      <c r="GS158" s="301">
        <f t="shared" si="157"/>
        <v>180</v>
      </c>
      <c r="GT158" s="301">
        <f t="shared" si="157"/>
        <v>45</v>
      </c>
      <c r="GU158" s="303">
        <f t="shared" si="157"/>
        <v>0</v>
      </c>
      <c r="GV158" s="302">
        <f t="shared" si="157"/>
        <v>0</v>
      </c>
      <c r="GW158" s="302">
        <f t="shared" si="157"/>
        <v>0</v>
      </c>
      <c r="GX158" s="302">
        <f t="shared" si="157"/>
        <v>0</v>
      </c>
      <c r="GY158" s="302">
        <f t="shared" si="157"/>
        <v>0</v>
      </c>
      <c r="GZ158" s="302">
        <f t="shared" si="157"/>
        <v>0</v>
      </c>
      <c r="HA158" s="302">
        <f t="shared" si="157"/>
        <v>0</v>
      </c>
      <c r="HB158" s="302">
        <f t="shared" si="157"/>
        <v>0</v>
      </c>
      <c r="HC158" s="302">
        <f t="shared" si="157"/>
        <v>0</v>
      </c>
      <c r="HD158" s="302">
        <f t="shared" si="157"/>
        <v>0</v>
      </c>
      <c r="HE158" s="302">
        <f t="shared" si="157"/>
        <v>0</v>
      </c>
      <c r="HF158" s="304"/>
      <c r="HG158" s="305"/>
    </row>
    <row r="159" spans="1:215" s="306" customFormat="1" ht="15" customHeight="1">
      <c r="A159" s="291"/>
      <c r="B159" s="292" t="s">
        <v>348</v>
      </c>
      <c r="C159" s="292" t="s">
        <v>117</v>
      </c>
      <c r="D159" s="292" t="s">
        <v>227</v>
      </c>
      <c r="E159" s="292" t="s">
        <v>508</v>
      </c>
      <c r="F159" s="292" t="s">
        <v>184</v>
      </c>
      <c r="G159" s="292" t="s">
        <v>350</v>
      </c>
      <c r="H159" s="292" t="s">
        <v>492</v>
      </c>
      <c r="I159" s="292" t="s">
        <v>493</v>
      </c>
      <c r="J159" s="292" t="s">
        <v>184</v>
      </c>
      <c r="K159" s="292" t="s">
        <v>475</v>
      </c>
      <c r="L159" s="292" t="s">
        <v>502</v>
      </c>
      <c r="M159" s="292" t="s">
        <v>367</v>
      </c>
      <c r="N159" s="292" t="str">
        <f t="shared" si="146"/>
        <v>OCM-Training</v>
      </c>
      <c r="O159" s="292" t="str">
        <f t="shared" si="147"/>
        <v>Change Manager-Intermediate-India-Technology</v>
      </c>
      <c r="P159" s="292" t="str">
        <f t="shared" si="148"/>
        <v>OCM - Change Manager</v>
      </c>
      <c r="Q159" s="293">
        <f t="shared" si="140"/>
        <v>63000</v>
      </c>
      <c r="R159" s="294">
        <f t="shared" si="141"/>
        <v>0</v>
      </c>
      <c r="S159" s="295">
        <f t="shared" si="149"/>
        <v>630</v>
      </c>
      <c r="T159" s="295">
        <f t="shared" si="142"/>
        <v>1575</v>
      </c>
      <c r="U159" s="296" t="str">
        <f t="shared" si="150"/>
        <v>Change Manager - Intermediate</v>
      </c>
      <c r="V159" s="295" t="str">
        <f t="shared" si="151"/>
        <v>3-6 years</v>
      </c>
      <c r="W159" s="292" t="str">
        <f t="shared" si="152"/>
        <v>Offshore</v>
      </c>
      <c r="X159" s="292" t="s">
        <v>259</v>
      </c>
      <c r="Y159" s="292" t="s">
        <v>509</v>
      </c>
      <c r="Z159" s="349" t="s">
        <v>239</v>
      </c>
      <c r="AA159" s="297">
        <f>[1]Resourcing!QD163</f>
        <v>129.32</v>
      </c>
      <c r="AB159" s="298">
        <f t="shared" si="153"/>
        <v>40</v>
      </c>
      <c r="AC159" s="299"/>
      <c r="AD159" s="299"/>
      <c r="AE159" s="299"/>
      <c r="AF159" s="299"/>
      <c r="AG159" s="299"/>
      <c r="AH159" s="299"/>
      <c r="AI159" s="299"/>
      <c r="AJ159" s="299"/>
      <c r="AK159" s="299"/>
      <c r="AL159" s="299"/>
      <c r="AM159" s="299"/>
      <c r="AN159" s="299"/>
      <c r="AO159" s="299"/>
      <c r="AP159" s="299"/>
      <c r="AQ159" s="299"/>
      <c r="AR159" s="299"/>
      <c r="AS159" s="299"/>
      <c r="AT159" s="299"/>
      <c r="AU159" s="299"/>
      <c r="AV159" s="299"/>
      <c r="AW159" s="299"/>
      <c r="AX159" s="299"/>
      <c r="AY159" s="299"/>
      <c r="AZ159" s="299"/>
      <c r="BA159" s="299"/>
      <c r="BB159" s="299"/>
      <c r="BC159" s="299"/>
      <c r="BD159" s="299"/>
      <c r="BE159" s="299"/>
      <c r="BF159" s="299"/>
      <c r="BG159" s="299"/>
      <c r="BH159" s="299"/>
      <c r="BI159" s="299"/>
      <c r="BJ159" s="299"/>
      <c r="BK159" s="299"/>
      <c r="BL159" s="299"/>
      <c r="BM159" s="299"/>
      <c r="BN159" s="299"/>
      <c r="BO159" s="299"/>
      <c r="BP159" s="299"/>
      <c r="BQ159" s="299"/>
      <c r="BR159" s="299"/>
      <c r="BS159" s="299"/>
      <c r="BT159" s="299"/>
      <c r="BU159" s="299"/>
      <c r="BV159" s="299"/>
      <c r="BW159" s="299"/>
      <c r="BX159" s="299"/>
      <c r="BY159" s="299"/>
      <c r="BZ159" s="299"/>
      <c r="CA159" s="299"/>
      <c r="CB159" s="299"/>
      <c r="CC159" s="299"/>
      <c r="CD159" s="299"/>
      <c r="CE159" s="299"/>
      <c r="CF159" s="299"/>
      <c r="CG159" s="299"/>
      <c r="CH159" s="299"/>
      <c r="CI159" s="299"/>
      <c r="CJ159" s="299"/>
      <c r="CK159" s="299"/>
      <c r="CL159" s="299"/>
      <c r="CM159" s="299"/>
      <c r="CN159" s="299"/>
      <c r="CO159" s="299"/>
      <c r="CP159" s="299"/>
      <c r="CQ159" s="299"/>
      <c r="CR159" s="299"/>
      <c r="CS159" s="299"/>
      <c r="CT159" s="299"/>
      <c r="CU159" s="299">
        <v>45</v>
      </c>
      <c r="CV159" s="299">
        <v>45</v>
      </c>
      <c r="CW159" s="299">
        <v>45</v>
      </c>
      <c r="CX159" s="299">
        <v>45</v>
      </c>
      <c r="CY159" s="299">
        <v>45</v>
      </c>
      <c r="CZ159" s="299">
        <v>45</v>
      </c>
      <c r="DA159" s="299">
        <v>45</v>
      </c>
      <c r="DB159" s="299">
        <v>45</v>
      </c>
      <c r="DC159" s="299">
        <v>45</v>
      </c>
      <c r="DD159" s="299">
        <v>45</v>
      </c>
      <c r="DE159" s="299">
        <v>45</v>
      </c>
      <c r="DF159" s="299">
        <v>45</v>
      </c>
      <c r="DG159" s="299">
        <v>45</v>
      </c>
      <c r="DH159" s="299">
        <v>45</v>
      </c>
      <c r="DI159" s="299">
        <v>45</v>
      </c>
      <c r="DJ159" s="299">
        <v>45</v>
      </c>
      <c r="DK159" s="299">
        <v>45</v>
      </c>
      <c r="DL159" s="299">
        <v>45</v>
      </c>
      <c r="DM159" s="299">
        <v>45</v>
      </c>
      <c r="DN159" s="299">
        <v>45</v>
      </c>
      <c r="DO159" s="299">
        <v>45</v>
      </c>
      <c r="DP159" s="299">
        <v>45</v>
      </c>
      <c r="DQ159" s="299">
        <v>45</v>
      </c>
      <c r="DR159" s="299"/>
      <c r="DS159" s="299"/>
      <c r="DT159" s="299">
        <v>45</v>
      </c>
      <c r="DU159" s="299">
        <v>45</v>
      </c>
      <c r="DV159" s="299">
        <v>45</v>
      </c>
      <c r="DW159" s="299">
        <v>45</v>
      </c>
      <c r="DX159" s="299">
        <v>45</v>
      </c>
      <c r="DY159" s="299">
        <v>45</v>
      </c>
      <c r="DZ159" s="299">
        <v>45</v>
      </c>
      <c r="EA159" s="299">
        <v>45</v>
      </c>
      <c r="EB159" s="299">
        <v>45</v>
      </c>
      <c r="EC159" s="299">
        <v>45</v>
      </c>
      <c r="ED159" s="299">
        <v>45</v>
      </c>
      <c r="EE159" s="299">
        <v>45</v>
      </c>
      <c r="EF159" s="299"/>
      <c r="EG159" s="299"/>
      <c r="EH159" s="299"/>
      <c r="EI159" s="299"/>
      <c r="EJ159" s="299"/>
      <c r="EK159" s="299"/>
      <c r="EL159" s="299"/>
      <c r="EM159" s="299"/>
      <c r="EN159" s="299"/>
      <c r="EO159" s="299"/>
      <c r="EP159" s="299"/>
      <c r="EQ159" s="299"/>
      <c r="ER159" s="299"/>
      <c r="ES159" s="299"/>
      <c r="ET159" s="299"/>
      <c r="EU159" s="299"/>
      <c r="EV159" s="299"/>
      <c r="EW159" s="299"/>
      <c r="EX159" s="299"/>
      <c r="EY159" s="299"/>
      <c r="EZ159" s="299"/>
      <c r="FA159" s="299"/>
      <c r="FB159" s="299"/>
      <c r="FC159" s="299"/>
      <c r="FD159" s="299"/>
      <c r="FE159" s="299"/>
      <c r="FF159" s="299"/>
      <c r="FG159" s="299"/>
      <c r="FH159" s="299"/>
      <c r="FI159" s="299"/>
      <c r="FJ159" s="299"/>
      <c r="FK159" s="299"/>
      <c r="FL159" s="299"/>
      <c r="FM159" s="299"/>
      <c r="FN159" s="299"/>
      <c r="FO159" s="299"/>
      <c r="FP159" s="299"/>
      <c r="FQ159" s="300" t="e">
        <f t="shared" ca="1" si="143"/>
        <v>#VALUE!</v>
      </c>
      <c r="FR159" s="300" t="e">
        <f t="shared" ca="1" si="155"/>
        <v>#VALUE!</v>
      </c>
      <c r="FS159" s="300" t="e">
        <f t="shared" ca="1" si="155"/>
        <v>#VALUE!</v>
      </c>
      <c r="FT159" s="300" t="e">
        <f t="shared" ca="1" si="155"/>
        <v>#VALUE!</v>
      </c>
      <c r="FU159" s="300" t="e">
        <f t="shared" ca="1" si="155"/>
        <v>#VALUE!</v>
      </c>
      <c r="FV159" s="300" t="e">
        <f t="shared" ca="1" si="155"/>
        <v>#VALUE!</v>
      </c>
      <c r="FW159" s="300" t="e">
        <f t="shared" ca="1" si="155"/>
        <v>#VALUE!</v>
      </c>
      <c r="FX159" s="300" t="e">
        <f t="shared" ca="1" si="155"/>
        <v>#VALUE!</v>
      </c>
      <c r="FY159" s="300" t="e">
        <f t="shared" ca="1" si="155"/>
        <v>#VALUE!</v>
      </c>
      <c r="FZ159" s="300" t="e">
        <f t="shared" ca="1" si="155"/>
        <v>#VALUE!</v>
      </c>
      <c r="GA159" s="301" t="e">
        <f t="shared" ca="1" si="155"/>
        <v>#VALUE!</v>
      </c>
      <c r="GB159" s="301" t="e">
        <f t="shared" ca="1" si="156"/>
        <v>#VALUE!</v>
      </c>
      <c r="GC159" s="301" t="e">
        <f t="shared" ca="1" si="156"/>
        <v>#VALUE!</v>
      </c>
      <c r="GD159" s="301" t="e">
        <f t="shared" ca="1" si="156"/>
        <v>#VALUE!</v>
      </c>
      <c r="GE159" s="301" t="e">
        <f t="shared" ca="1" si="156"/>
        <v>#VALUE!</v>
      </c>
      <c r="GF159" s="301" t="e">
        <f t="shared" ca="1" si="156"/>
        <v>#VALUE!</v>
      </c>
      <c r="GG159" s="301" t="e">
        <f t="shared" ca="1" si="156"/>
        <v>#VALUE!</v>
      </c>
      <c r="GH159" s="301" t="e">
        <f t="shared" ca="1" si="156"/>
        <v>#VALUE!</v>
      </c>
      <c r="GI159" s="301" t="e">
        <f t="shared" ca="1" si="156"/>
        <v>#VALUE!</v>
      </c>
      <c r="GJ159" s="301" t="e">
        <f t="shared" ca="1" si="156"/>
        <v>#VALUE!</v>
      </c>
      <c r="GK159" s="301" t="e">
        <f t="shared" ca="1" si="156"/>
        <v>#VALUE!</v>
      </c>
      <c r="GL159" s="301" t="e">
        <f t="shared" ca="1" si="156"/>
        <v>#VALUE!</v>
      </c>
      <c r="GM159" s="301" t="e">
        <f t="shared" ca="1" si="156"/>
        <v>#VALUE!</v>
      </c>
      <c r="GN159" s="302" t="e">
        <f t="shared" ca="1" si="156"/>
        <v>#VALUE!</v>
      </c>
      <c r="GO159" s="302" t="e">
        <f t="shared" ca="1" si="156"/>
        <v>#VALUE!</v>
      </c>
      <c r="GP159" s="301">
        <f t="shared" si="157"/>
        <v>90</v>
      </c>
      <c r="GQ159" s="301">
        <f t="shared" si="157"/>
        <v>180</v>
      </c>
      <c r="GR159" s="301">
        <f t="shared" si="157"/>
        <v>180</v>
      </c>
      <c r="GS159" s="301">
        <f t="shared" si="157"/>
        <v>180</v>
      </c>
      <c r="GT159" s="301">
        <f t="shared" si="157"/>
        <v>0</v>
      </c>
      <c r="GU159" s="303">
        <f t="shared" si="157"/>
        <v>0</v>
      </c>
      <c r="GV159" s="302">
        <f t="shared" si="157"/>
        <v>0</v>
      </c>
      <c r="GW159" s="302">
        <f t="shared" si="157"/>
        <v>0</v>
      </c>
      <c r="GX159" s="302">
        <f t="shared" si="157"/>
        <v>0</v>
      </c>
      <c r="GY159" s="302">
        <f t="shared" si="157"/>
        <v>0</v>
      </c>
      <c r="GZ159" s="302">
        <f t="shared" si="157"/>
        <v>0</v>
      </c>
      <c r="HA159" s="302">
        <f t="shared" si="157"/>
        <v>0</v>
      </c>
      <c r="HB159" s="302">
        <f t="shared" si="157"/>
        <v>0</v>
      </c>
      <c r="HC159" s="302">
        <f t="shared" si="157"/>
        <v>0</v>
      </c>
      <c r="HD159" s="302">
        <f t="shared" si="157"/>
        <v>0</v>
      </c>
      <c r="HE159" s="302">
        <f t="shared" si="157"/>
        <v>0</v>
      </c>
      <c r="HF159" s="304"/>
      <c r="HG159" s="305"/>
    </row>
    <row r="160" spans="1:215" s="306" customFormat="1" ht="15" customHeight="1">
      <c r="A160" s="291"/>
      <c r="B160" s="292" t="s">
        <v>348</v>
      </c>
      <c r="C160" s="292" t="s">
        <v>117</v>
      </c>
      <c r="D160" s="292" t="s">
        <v>227</v>
      </c>
      <c r="E160" s="292" t="s">
        <v>508</v>
      </c>
      <c r="F160" s="292" t="s">
        <v>184</v>
      </c>
      <c r="G160" s="292" t="s">
        <v>350</v>
      </c>
      <c r="H160" s="292" t="s">
        <v>492</v>
      </c>
      <c r="I160" s="292" t="s">
        <v>493</v>
      </c>
      <c r="J160" s="292" t="s">
        <v>184</v>
      </c>
      <c r="K160" s="292" t="s">
        <v>475</v>
      </c>
      <c r="L160" s="292" t="s">
        <v>502</v>
      </c>
      <c r="M160" s="292" t="s">
        <v>367</v>
      </c>
      <c r="N160" s="292" t="str">
        <f t="shared" si="146"/>
        <v>OCM-Training</v>
      </c>
      <c r="O160" s="292" t="str">
        <f t="shared" si="147"/>
        <v>Change Manager-Intermediate-India-Technology</v>
      </c>
      <c r="P160" s="292" t="str">
        <f t="shared" si="148"/>
        <v>OCM - Change Manager</v>
      </c>
      <c r="Q160" s="293">
        <f t="shared" si="140"/>
        <v>57600</v>
      </c>
      <c r="R160" s="294">
        <f t="shared" si="141"/>
        <v>0</v>
      </c>
      <c r="S160" s="295">
        <f t="shared" si="149"/>
        <v>630</v>
      </c>
      <c r="T160" s="295">
        <f t="shared" si="142"/>
        <v>1440</v>
      </c>
      <c r="U160" s="296" t="str">
        <f t="shared" si="150"/>
        <v>Change Manager - Intermediate</v>
      </c>
      <c r="V160" s="295" t="str">
        <f t="shared" si="151"/>
        <v>3-6 years</v>
      </c>
      <c r="W160" s="292" t="str">
        <f t="shared" si="152"/>
        <v>Offshore</v>
      </c>
      <c r="X160" s="292" t="s">
        <v>259</v>
      </c>
      <c r="Y160" s="292" t="s">
        <v>509</v>
      </c>
      <c r="Z160" s="349" t="s">
        <v>239</v>
      </c>
      <c r="AA160" s="297">
        <f>[1]Resourcing!QD164</f>
        <v>86.92</v>
      </c>
      <c r="AB160" s="298">
        <f t="shared" si="153"/>
        <v>40</v>
      </c>
      <c r="AC160" s="299"/>
      <c r="AD160" s="299"/>
      <c r="AE160" s="299"/>
      <c r="AF160" s="299"/>
      <c r="AG160" s="299"/>
      <c r="AH160" s="299"/>
      <c r="AI160" s="299"/>
      <c r="AJ160" s="299"/>
      <c r="AK160" s="299"/>
      <c r="AL160" s="299"/>
      <c r="AM160" s="299"/>
      <c r="AN160" s="299"/>
      <c r="AO160" s="299"/>
      <c r="AP160" s="299"/>
      <c r="AQ160" s="299"/>
      <c r="AR160" s="299"/>
      <c r="AS160" s="299"/>
      <c r="AT160" s="299"/>
      <c r="AU160" s="299"/>
      <c r="AV160" s="299"/>
      <c r="AW160" s="299"/>
      <c r="AX160" s="299"/>
      <c r="AY160" s="299"/>
      <c r="AZ160" s="299"/>
      <c r="BA160" s="299"/>
      <c r="BB160" s="299"/>
      <c r="BC160" s="299"/>
      <c r="BD160" s="299"/>
      <c r="BE160" s="299"/>
      <c r="BF160" s="299"/>
      <c r="BG160" s="299"/>
      <c r="BH160" s="299"/>
      <c r="BI160" s="299"/>
      <c r="BJ160" s="299"/>
      <c r="BK160" s="299"/>
      <c r="BL160" s="299"/>
      <c r="BM160" s="299"/>
      <c r="BN160" s="299"/>
      <c r="BO160" s="299"/>
      <c r="BP160" s="299"/>
      <c r="BQ160" s="299"/>
      <c r="BR160" s="299"/>
      <c r="BS160" s="299"/>
      <c r="BT160" s="299"/>
      <c r="BU160" s="299"/>
      <c r="BV160" s="299"/>
      <c r="BW160" s="299"/>
      <c r="BX160" s="299"/>
      <c r="BY160" s="299"/>
      <c r="BZ160" s="299"/>
      <c r="CA160" s="299"/>
      <c r="CB160" s="299"/>
      <c r="CC160" s="299"/>
      <c r="CD160" s="299"/>
      <c r="CE160" s="299"/>
      <c r="CF160" s="299"/>
      <c r="CG160" s="299"/>
      <c r="CH160" s="299"/>
      <c r="CI160" s="299"/>
      <c r="CJ160" s="299"/>
      <c r="CK160" s="299"/>
      <c r="CL160" s="299"/>
      <c r="CM160" s="299"/>
      <c r="CN160" s="299"/>
      <c r="CO160" s="299"/>
      <c r="CP160" s="299"/>
      <c r="CQ160" s="299"/>
      <c r="CR160" s="299"/>
      <c r="CS160" s="299"/>
      <c r="CT160" s="299"/>
      <c r="CU160" s="299"/>
      <c r="CV160" s="299"/>
      <c r="CW160" s="299"/>
      <c r="CX160" s="299">
        <v>45</v>
      </c>
      <c r="CY160" s="299">
        <v>45</v>
      </c>
      <c r="CZ160" s="299">
        <v>45</v>
      </c>
      <c r="DA160" s="299">
        <v>45</v>
      </c>
      <c r="DB160" s="299">
        <v>45</v>
      </c>
      <c r="DC160" s="299">
        <v>45</v>
      </c>
      <c r="DD160" s="299">
        <v>45</v>
      </c>
      <c r="DE160" s="299">
        <v>45</v>
      </c>
      <c r="DF160" s="299">
        <v>45</v>
      </c>
      <c r="DG160" s="299">
        <v>45</v>
      </c>
      <c r="DH160" s="299">
        <v>45</v>
      </c>
      <c r="DI160" s="299">
        <v>45</v>
      </c>
      <c r="DJ160" s="299">
        <v>45</v>
      </c>
      <c r="DK160" s="299">
        <v>45</v>
      </c>
      <c r="DL160" s="299">
        <v>45</v>
      </c>
      <c r="DM160" s="299">
        <v>45</v>
      </c>
      <c r="DN160" s="299">
        <v>45</v>
      </c>
      <c r="DO160" s="299">
        <v>45</v>
      </c>
      <c r="DP160" s="299">
        <v>45</v>
      </c>
      <c r="DQ160" s="299">
        <v>45</v>
      </c>
      <c r="DR160" s="299"/>
      <c r="DS160" s="299"/>
      <c r="DT160" s="299">
        <v>45</v>
      </c>
      <c r="DU160" s="299">
        <v>45</v>
      </c>
      <c r="DV160" s="299">
        <v>45</v>
      </c>
      <c r="DW160" s="299">
        <v>45</v>
      </c>
      <c r="DX160" s="299">
        <v>45</v>
      </c>
      <c r="DY160" s="299">
        <v>45</v>
      </c>
      <c r="DZ160" s="299">
        <v>45</v>
      </c>
      <c r="EA160" s="299">
        <v>45</v>
      </c>
      <c r="EB160" s="299">
        <v>45</v>
      </c>
      <c r="EC160" s="299">
        <v>45</v>
      </c>
      <c r="ED160" s="299">
        <v>45</v>
      </c>
      <c r="EE160" s="299">
        <v>45</v>
      </c>
      <c r="EF160" s="299"/>
      <c r="EG160" s="299"/>
      <c r="EH160" s="299"/>
      <c r="EI160" s="299"/>
      <c r="EJ160" s="299"/>
      <c r="EK160" s="299"/>
      <c r="EL160" s="299"/>
      <c r="EM160" s="299"/>
      <c r="EN160" s="299"/>
      <c r="EO160" s="299"/>
      <c r="EP160" s="299"/>
      <c r="EQ160" s="299"/>
      <c r="ER160" s="299"/>
      <c r="ES160" s="299"/>
      <c r="ET160" s="299"/>
      <c r="EU160" s="299"/>
      <c r="EV160" s="299"/>
      <c r="EW160" s="299"/>
      <c r="EX160" s="299"/>
      <c r="EY160" s="299"/>
      <c r="EZ160" s="299"/>
      <c r="FA160" s="299"/>
      <c r="FB160" s="299"/>
      <c r="FC160" s="299"/>
      <c r="FD160" s="299"/>
      <c r="FE160" s="299"/>
      <c r="FF160" s="299"/>
      <c r="FG160" s="299"/>
      <c r="FH160" s="299"/>
      <c r="FI160" s="299"/>
      <c r="FJ160" s="299"/>
      <c r="FK160" s="299"/>
      <c r="FL160" s="299"/>
      <c r="FM160" s="299"/>
      <c r="FN160" s="299"/>
      <c r="FO160" s="299"/>
      <c r="FP160" s="299"/>
      <c r="FQ160" s="300" t="e">
        <f t="shared" ca="1" si="143"/>
        <v>#VALUE!</v>
      </c>
      <c r="FR160" s="300" t="e">
        <f t="shared" ca="1" si="155"/>
        <v>#VALUE!</v>
      </c>
      <c r="FS160" s="300" t="e">
        <f t="shared" ca="1" si="155"/>
        <v>#VALUE!</v>
      </c>
      <c r="FT160" s="300" t="e">
        <f t="shared" ca="1" si="155"/>
        <v>#VALUE!</v>
      </c>
      <c r="FU160" s="300" t="e">
        <f t="shared" ca="1" si="155"/>
        <v>#VALUE!</v>
      </c>
      <c r="FV160" s="300" t="e">
        <f t="shared" ca="1" si="155"/>
        <v>#VALUE!</v>
      </c>
      <c r="FW160" s="300" t="e">
        <f t="shared" ca="1" si="155"/>
        <v>#VALUE!</v>
      </c>
      <c r="FX160" s="300" t="e">
        <f t="shared" ca="1" si="155"/>
        <v>#VALUE!</v>
      </c>
      <c r="FY160" s="300" t="e">
        <f t="shared" ca="1" si="155"/>
        <v>#VALUE!</v>
      </c>
      <c r="FZ160" s="300" t="e">
        <f t="shared" ca="1" si="155"/>
        <v>#VALUE!</v>
      </c>
      <c r="GA160" s="301" t="e">
        <f t="shared" ca="1" si="155"/>
        <v>#VALUE!</v>
      </c>
      <c r="GB160" s="301" t="e">
        <f t="shared" ca="1" si="156"/>
        <v>#VALUE!</v>
      </c>
      <c r="GC160" s="301" t="e">
        <f t="shared" ca="1" si="156"/>
        <v>#VALUE!</v>
      </c>
      <c r="GD160" s="301" t="e">
        <f t="shared" ca="1" si="156"/>
        <v>#VALUE!</v>
      </c>
      <c r="GE160" s="301" t="e">
        <f t="shared" ca="1" si="156"/>
        <v>#VALUE!</v>
      </c>
      <c r="GF160" s="301" t="e">
        <f t="shared" ca="1" si="156"/>
        <v>#VALUE!</v>
      </c>
      <c r="GG160" s="301" t="e">
        <f t="shared" ca="1" si="156"/>
        <v>#VALUE!</v>
      </c>
      <c r="GH160" s="301" t="e">
        <f t="shared" ca="1" si="156"/>
        <v>#VALUE!</v>
      </c>
      <c r="GI160" s="301" t="e">
        <f t="shared" ca="1" si="156"/>
        <v>#VALUE!</v>
      </c>
      <c r="GJ160" s="301" t="e">
        <f t="shared" ca="1" si="156"/>
        <v>#VALUE!</v>
      </c>
      <c r="GK160" s="301" t="e">
        <f t="shared" ca="1" si="156"/>
        <v>#VALUE!</v>
      </c>
      <c r="GL160" s="301" t="e">
        <f t="shared" ca="1" si="156"/>
        <v>#VALUE!</v>
      </c>
      <c r="GM160" s="301" t="e">
        <f t="shared" ca="1" si="156"/>
        <v>#VALUE!</v>
      </c>
      <c r="GN160" s="302" t="e">
        <f t="shared" ca="1" si="156"/>
        <v>#VALUE!</v>
      </c>
      <c r="GO160" s="302" t="e">
        <f t="shared" ca="1" si="156"/>
        <v>#VALUE!</v>
      </c>
      <c r="GP160" s="301">
        <f t="shared" si="157"/>
        <v>90</v>
      </c>
      <c r="GQ160" s="301">
        <f t="shared" si="157"/>
        <v>180</v>
      </c>
      <c r="GR160" s="301">
        <f t="shared" si="157"/>
        <v>180</v>
      </c>
      <c r="GS160" s="301">
        <f t="shared" si="157"/>
        <v>180</v>
      </c>
      <c r="GT160" s="301">
        <f t="shared" si="157"/>
        <v>0</v>
      </c>
      <c r="GU160" s="303">
        <f t="shared" si="157"/>
        <v>0</v>
      </c>
      <c r="GV160" s="302">
        <f t="shared" si="157"/>
        <v>0</v>
      </c>
      <c r="GW160" s="302">
        <f t="shared" si="157"/>
        <v>0</v>
      </c>
      <c r="GX160" s="302">
        <f t="shared" si="157"/>
        <v>0</v>
      </c>
      <c r="GY160" s="302">
        <f t="shared" si="157"/>
        <v>0</v>
      </c>
      <c r="GZ160" s="302">
        <f t="shared" si="157"/>
        <v>0</v>
      </c>
      <c r="HA160" s="302">
        <f t="shared" si="157"/>
        <v>0</v>
      </c>
      <c r="HB160" s="302">
        <f t="shared" si="157"/>
        <v>0</v>
      </c>
      <c r="HC160" s="302">
        <f t="shared" si="157"/>
        <v>0</v>
      </c>
      <c r="HD160" s="302">
        <f t="shared" si="157"/>
        <v>0</v>
      </c>
      <c r="HE160" s="302">
        <f t="shared" si="157"/>
        <v>0</v>
      </c>
      <c r="HF160" s="304"/>
      <c r="HG160" s="305"/>
    </row>
    <row r="161" spans="1:215" s="306" customFormat="1" ht="15" customHeight="1">
      <c r="A161" s="291"/>
      <c r="B161" s="292" t="s">
        <v>348</v>
      </c>
      <c r="C161" s="292" t="s">
        <v>117</v>
      </c>
      <c r="D161" s="292" t="s">
        <v>227</v>
      </c>
      <c r="E161" s="292" t="s">
        <v>508</v>
      </c>
      <c r="F161" s="292" t="s">
        <v>184</v>
      </c>
      <c r="G161" s="292" t="s">
        <v>350</v>
      </c>
      <c r="H161" s="292" t="s">
        <v>492</v>
      </c>
      <c r="I161" s="292" t="s">
        <v>493</v>
      </c>
      <c r="J161" s="292" t="s">
        <v>184</v>
      </c>
      <c r="K161" s="292" t="s">
        <v>475</v>
      </c>
      <c r="L161" s="292" t="s">
        <v>502</v>
      </c>
      <c r="M161" s="292" t="s">
        <v>367</v>
      </c>
      <c r="N161" s="292" t="str">
        <f t="shared" si="146"/>
        <v>OCM-Training</v>
      </c>
      <c r="O161" s="292" t="str">
        <f t="shared" si="147"/>
        <v>Change Manager-Intermediate-India-Technology</v>
      </c>
      <c r="P161" s="292" t="str">
        <f t="shared" si="148"/>
        <v>OCM - Change Manager</v>
      </c>
      <c r="Q161" s="293">
        <f t="shared" si="140"/>
        <v>57600</v>
      </c>
      <c r="R161" s="294">
        <f t="shared" si="141"/>
        <v>0</v>
      </c>
      <c r="S161" s="295">
        <f t="shared" si="149"/>
        <v>630</v>
      </c>
      <c r="T161" s="295">
        <f t="shared" si="142"/>
        <v>1440</v>
      </c>
      <c r="U161" s="296" t="str">
        <f t="shared" si="150"/>
        <v>Change Manager - Intermediate</v>
      </c>
      <c r="V161" s="295" t="str">
        <f t="shared" si="151"/>
        <v>3-6 years</v>
      </c>
      <c r="W161" s="292" t="str">
        <f t="shared" si="152"/>
        <v>Offshore</v>
      </c>
      <c r="X161" s="292" t="s">
        <v>259</v>
      </c>
      <c r="Y161" s="292" t="s">
        <v>509</v>
      </c>
      <c r="Z161" s="349" t="s">
        <v>239</v>
      </c>
      <c r="AA161" s="297">
        <f>[1]Resourcing!QD165</f>
        <v>63.6</v>
      </c>
      <c r="AB161" s="298">
        <f t="shared" si="153"/>
        <v>40</v>
      </c>
      <c r="AC161" s="299"/>
      <c r="AD161" s="299"/>
      <c r="AE161" s="299"/>
      <c r="AF161" s="299"/>
      <c r="AG161" s="299"/>
      <c r="AH161" s="299"/>
      <c r="AI161" s="299"/>
      <c r="AJ161" s="299"/>
      <c r="AK161" s="299"/>
      <c r="AL161" s="299"/>
      <c r="AM161" s="299"/>
      <c r="AN161" s="299"/>
      <c r="AO161" s="299"/>
      <c r="AP161" s="299"/>
      <c r="AQ161" s="299"/>
      <c r="AR161" s="299"/>
      <c r="AS161" s="299"/>
      <c r="AT161" s="299"/>
      <c r="AU161" s="299"/>
      <c r="AV161" s="299"/>
      <c r="AW161" s="299"/>
      <c r="AX161" s="299"/>
      <c r="AY161" s="299"/>
      <c r="AZ161" s="299"/>
      <c r="BA161" s="299"/>
      <c r="BB161" s="299"/>
      <c r="BC161" s="299"/>
      <c r="BD161" s="299"/>
      <c r="BE161" s="299"/>
      <c r="BF161" s="299"/>
      <c r="BG161" s="299"/>
      <c r="BH161" s="299"/>
      <c r="BI161" s="299"/>
      <c r="BJ161" s="299"/>
      <c r="BK161" s="299"/>
      <c r="BL161" s="299"/>
      <c r="BM161" s="299"/>
      <c r="BN161" s="299"/>
      <c r="BO161" s="299"/>
      <c r="BP161" s="299"/>
      <c r="BQ161" s="299"/>
      <c r="BR161" s="299"/>
      <c r="BS161" s="299"/>
      <c r="BT161" s="299"/>
      <c r="BU161" s="299"/>
      <c r="BV161" s="299"/>
      <c r="BW161" s="299"/>
      <c r="BX161" s="299"/>
      <c r="BY161" s="299"/>
      <c r="BZ161" s="299"/>
      <c r="CA161" s="299"/>
      <c r="CB161" s="299"/>
      <c r="CC161" s="299"/>
      <c r="CD161" s="299"/>
      <c r="CE161" s="299"/>
      <c r="CF161" s="299"/>
      <c r="CG161" s="299"/>
      <c r="CH161" s="299"/>
      <c r="CI161" s="299"/>
      <c r="CJ161" s="299"/>
      <c r="CK161" s="299"/>
      <c r="CL161" s="299"/>
      <c r="CM161" s="299"/>
      <c r="CN161" s="299"/>
      <c r="CO161" s="299"/>
      <c r="CP161" s="299"/>
      <c r="CQ161" s="299"/>
      <c r="CR161" s="299"/>
      <c r="CS161" s="299"/>
      <c r="CT161" s="299"/>
      <c r="CU161" s="299"/>
      <c r="CV161" s="299"/>
      <c r="CW161" s="299"/>
      <c r="CX161" s="299">
        <v>45</v>
      </c>
      <c r="CY161" s="299">
        <v>45</v>
      </c>
      <c r="CZ161" s="299">
        <v>45</v>
      </c>
      <c r="DA161" s="299">
        <v>45</v>
      </c>
      <c r="DB161" s="299">
        <v>45</v>
      </c>
      <c r="DC161" s="299">
        <v>45</v>
      </c>
      <c r="DD161" s="299">
        <v>45</v>
      </c>
      <c r="DE161" s="299">
        <v>45</v>
      </c>
      <c r="DF161" s="299">
        <v>45</v>
      </c>
      <c r="DG161" s="299">
        <v>45</v>
      </c>
      <c r="DH161" s="299">
        <v>45</v>
      </c>
      <c r="DI161" s="299">
        <v>45</v>
      </c>
      <c r="DJ161" s="299">
        <v>45</v>
      </c>
      <c r="DK161" s="299">
        <v>45</v>
      </c>
      <c r="DL161" s="299">
        <v>45</v>
      </c>
      <c r="DM161" s="299">
        <v>45</v>
      </c>
      <c r="DN161" s="299">
        <v>45</v>
      </c>
      <c r="DO161" s="299">
        <v>45</v>
      </c>
      <c r="DP161" s="299">
        <v>45</v>
      </c>
      <c r="DQ161" s="299">
        <v>45</v>
      </c>
      <c r="DR161" s="299"/>
      <c r="DS161" s="299"/>
      <c r="DT161" s="299">
        <v>45</v>
      </c>
      <c r="DU161" s="299">
        <v>45</v>
      </c>
      <c r="DV161" s="299">
        <v>45</v>
      </c>
      <c r="DW161" s="299">
        <v>45</v>
      </c>
      <c r="DX161" s="299">
        <v>45</v>
      </c>
      <c r="DY161" s="299">
        <v>45</v>
      </c>
      <c r="DZ161" s="299">
        <v>45</v>
      </c>
      <c r="EA161" s="299">
        <v>45</v>
      </c>
      <c r="EB161" s="299">
        <v>45</v>
      </c>
      <c r="EC161" s="299">
        <v>45</v>
      </c>
      <c r="ED161" s="299">
        <v>45</v>
      </c>
      <c r="EE161" s="299">
        <v>45</v>
      </c>
      <c r="EF161" s="299"/>
      <c r="EG161" s="299"/>
      <c r="EH161" s="299"/>
      <c r="EI161" s="299"/>
      <c r="EJ161" s="299"/>
      <c r="EK161" s="299"/>
      <c r="EL161" s="299"/>
      <c r="EM161" s="299"/>
      <c r="EN161" s="299"/>
      <c r="EO161" s="299"/>
      <c r="EP161" s="299"/>
      <c r="EQ161" s="299"/>
      <c r="ER161" s="299"/>
      <c r="ES161" s="299"/>
      <c r="ET161" s="299"/>
      <c r="EU161" s="299"/>
      <c r="EV161" s="299"/>
      <c r="EW161" s="299"/>
      <c r="EX161" s="299"/>
      <c r="EY161" s="299"/>
      <c r="EZ161" s="299"/>
      <c r="FA161" s="299"/>
      <c r="FB161" s="299"/>
      <c r="FC161" s="299"/>
      <c r="FD161" s="299"/>
      <c r="FE161" s="299"/>
      <c r="FF161" s="299"/>
      <c r="FG161" s="299"/>
      <c r="FH161" s="299"/>
      <c r="FI161" s="299"/>
      <c r="FJ161" s="299"/>
      <c r="FK161" s="299"/>
      <c r="FL161" s="299"/>
      <c r="FM161" s="299"/>
      <c r="FN161" s="299"/>
      <c r="FO161" s="299"/>
      <c r="FP161" s="299"/>
      <c r="FQ161" s="300" t="e">
        <f t="shared" ca="1" si="143"/>
        <v>#VALUE!</v>
      </c>
      <c r="FR161" s="300" t="e">
        <f t="shared" ca="1" si="155"/>
        <v>#VALUE!</v>
      </c>
      <c r="FS161" s="300" t="e">
        <f t="shared" ca="1" si="155"/>
        <v>#VALUE!</v>
      </c>
      <c r="FT161" s="300" t="e">
        <f t="shared" ca="1" si="155"/>
        <v>#VALUE!</v>
      </c>
      <c r="FU161" s="300" t="e">
        <f t="shared" ca="1" si="155"/>
        <v>#VALUE!</v>
      </c>
      <c r="FV161" s="300" t="e">
        <f t="shared" ca="1" si="155"/>
        <v>#VALUE!</v>
      </c>
      <c r="FW161" s="300" t="e">
        <f t="shared" ca="1" si="155"/>
        <v>#VALUE!</v>
      </c>
      <c r="FX161" s="300" t="e">
        <f t="shared" ca="1" si="155"/>
        <v>#VALUE!</v>
      </c>
      <c r="FY161" s="300" t="e">
        <f t="shared" ca="1" si="155"/>
        <v>#VALUE!</v>
      </c>
      <c r="FZ161" s="300" t="e">
        <f t="shared" ca="1" si="155"/>
        <v>#VALUE!</v>
      </c>
      <c r="GA161" s="301" t="e">
        <f t="shared" ca="1" si="155"/>
        <v>#VALUE!</v>
      </c>
      <c r="GB161" s="301" t="e">
        <f t="shared" ca="1" si="156"/>
        <v>#VALUE!</v>
      </c>
      <c r="GC161" s="301" t="e">
        <f t="shared" ca="1" si="156"/>
        <v>#VALUE!</v>
      </c>
      <c r="GD161" s="301" t="e">
        <f t="shared" ca="1" si="156"/>
        <v>#VALUE!</v>
      </c>
      <c r="GE161" s="301" t="e">
        <f t="shared" ca="1" si="156"/>
        <v>#VALUE!</v>
      </c>
      <c r="GF161" s="301" t="e">
        <f t="shared" ca="1" si="156"/>
        <v>#VALUE!</v>
      </c>
      <c r="GG161" s="301" t="e">
        <f t="shared" ca="1" si="156"/>
        <v>#VALUE!</v>
      </c>
      <c r="GH161" s="301" t="e">
        <f t="shared" ca="1" si="156"/>
        <v>#VALUE!</v>
      </c>
      <c r="GI161" s="301" t="e">
        <f t="shared" ca="1" si="156"/>
        <v>#VALUE!</v>
      </c>
      <c r="GJ161" s="301" t="e">
        <f t="shared" ca="1" si="156"/>
        <v>#VALUE!</v>
      </c>
      <c r="GK161" s="301" t="e">
        <f t="shared" ca="1" si="156"/>
        <v>#VALUE!</v>
      </c>
      <c r="GL161" s="301" t="e">
        <f t="shared" ca="1" si="156"/>
        <v>#VALUE!</v>
      </c>
      <c r="GM161" s="301" t="e">
        <f t="shared" ca="1" si="156"/>
        <v>#VALUE!</v>
      </c>
      <c r="GN161" s="302" t="e">
        <f t="shared" ca="1" si="156"/>
        <v>#VALUE!</v>
      </c>
      <c r="GO161" s="302" t="e">
        <f t="shared" ca="1" si="156"/>
        <v>#VALUE!</v>
      </c>
      <c r="GP161" s="301">
        <f t="shared" si="157"/>
        <v>90</v>
      </c>
      <c r="GQ161" s="301">
        <f t="shared" si="157"/>
        <v>180</v>
      </c>
      <c r="GR161" s="301">
        <f t="shared" si="157"/>
        <v>180</v>
      </c>
      <c r="GS161" s="301">
        <f t="shared" si="157"/>
        <v>180</v>
      </c>
      <c r="GT161" s="301">
        <f t="shared" si="157"/>
        <v>0</v>
      </c>
      <c r="GU161" s="303">
        <f t="shared" si="157"/>
        <v>0</v>
      </c>
      <c r="GV161" s="302">
        <f t="shared" si="157"/>
        <v>0</v>
      </c>
      <c r="GW161" s="302">
        <f t="shared" si="157"/>
        <v>0</v>
      </c>
      <c r="GX161" s="302">
        <f t="shared" si="157"/>
        <v>0</v>
      </c>
      <c r="GY161" s="302">
        <f t="shared" si="157"/>
        <v>0</v>
      </c>
      <c r="GZ161" s="302">
        <f t="shared" si="157"/>
        <v>0</v>
      </c>
      <c r="HA161" s="302">
        <f t="shared" si="157"/>
        <v>0</v>
      </c>
      <c r="HB161" s="302">
        <f t="shared" si="157"/>
        <v>0</v>
      </c>
      <c r="HC161" s="302">
        <f t="shared" si="157"/>
        <v>0</v>
      </c>
      <c r="HD161" s="302">
        <f t="shared" si="157"/>
        <v>0</v>
      </c>
      <c r="HE161" s="302">
        <f t="shared" si="157"/>
        <v>0</v>
      </c>
      <c r="HF161" s="304"/>
      <c r="HG161" s="305"/>
    </row>
    <row r="162" spans="1:215" s="306" customFormat="1" ht="15" customHeight="1">
      <c r="A162" s="291"/>
      <c r="B162" s="292" t="s">
        <v>348</v>
      </c>
      <c r="C162" s="292" t="s">
        <v>117</v>
      </c>
      <c r="D162" s="292" t="s">
        <v>227</v>
      </c>
      <c r="E162" s="292" t="s">
        <v>508</v>
      </c>
      <c r="F162" s="292" t="s">
        <v>184</v>
      </c>
      <c r="G162" s="292" t="s">
        <v>350</v>
      </c>
      <c r="H162" s="292" t="s">
        <v>492</v>
      </c>
      <c r="I162" s="292" t="s">
        <v>493</v>
      </c>
      <c r="J162" s="292" t="s">
        <v>184</v>
      </c>
      <c r="K162" s="292" t="s">
        <v>475</v>
      </c>
      <c r="L162" s="292" t="s">
        <v>502</v>
      </c>
      <c r="M162" s="292" t="s">
        <v>367</v>
      </c>
      <c r="N162" s="292" t="str">
        <f t="shared" si="146"/>
        <v>OCM-Training</v>
      </c>
      <c r="O162" s="292" t="str">
        <f t="shared" si="147"/>
        <v>Change Manager-Intermediate-India-Technology</v>
      </c>
      <c r="P162" s="292" t="str">
        <f t="shared" si="148"/>
        <v>OCM - Change Manager</v>
      </c>
      <c r="Q162" s="293">
        <f t="shared" si="140"/>
        <v>43200</v>
      </c>
      <c r="R162" s="294">
        <f t="shared" si="141"/>
        <v>0</v>
      </c>
      <c r="S162" s="295">
        <f t="shared" si="149"/>
        <v>450</v>
      </c>
      <c r="T162" s="295">
        <f t="shared" si="142"/>
        <v>1080</v>
      </c>
      <c r="U162" s="296" t="str">
        <f t="shared" si="150"/>
        <v>Change Manager - Intermediate</v>
      </c>
      <c r="V162" s="295" t="str">
        <f t="shared" si="151"/>
        <v>3-6 years</v>
      </c>
      <c r="W162" s="292" t="str">
        <f t="shared" si="152"/>
        <v>Offshore</v>
      </c>
      <c r="X162" s="292" t="s">
        <v>259</v>
      </c>
      <c r="Y162" s="292" t="s">
        <v>509</v>
      </c>
      <c r="Z162" s="349" t="s">
        <v>239</v>
      </c>
      <c r="AA162" s="297">
        <f>[1]Resourcing!QD166</f>
        <v>54.06</v>
      </c>
      <c r="AB162" s="298">
        <f t="shared" si="153"/>
        <v>40</v>
      </c>
      <c r="AC162" s="299"/>
      <c r="AD162" s="299"/>
      <c r="AE162" s="299"/>
      <c r="AF162" s="299"/>
      <c r="AG162" s="299"/>
      <c r="AH162" s="299"/>
      <c r="AI162" s="299"/>
      <c r="AJ162" s="299"/>
      <c r="AK162" s="299"/>
      <c r="AL162" s="299"/>
      <c r="AM162" s="299"/>
      <c r="AN162" s="299"/>
      <c r="AO162" s="299"/>
      <c r="AP162" s="299"/>
      <c r="AQ162" s="299"/>
      <c r="AR162" s="299"/>
      <c r="AS162" s="299"/>
      <c r="AT162" s="299"/>
      <c r="AU162" s="299"/>
      <c r="AV162" s="299"/>
      <c r="AW162" s="299"/>
      <c r="AX162" s="299"/>
      <c r="AY162" s="299"/>
      <c r="AZ162" s="299"/>
      <c r="BA162" s="299"/>
      <c r="BB162" s="299"/>
      <c r="BC162" s="299"/>
      <c r="BD162" s="299"/>
      <c r="BE162" s="299"/>
      <c r="BF162" s="299"/>
      <c r="BG162" s="299"/>
      <c r="BH162" s="299"/>
      <c r="BI162" s="299"/>
      <c r="BJ162" s="299"/>
      <c r="BK162" s="299"/>
      <c r="BL162" s="299"/>
      <c r="BM162" s="299"/>
      <c r="BN162" s="299"/>
      <c r="BO162" s="299"/>
      <c r="BP162" s="299"/>
      <c r="BQ162" s="299"/>
      <c r="BR162" s="299"/>
      <c r="BS162" s="299"/>
      <c r="BT162" s="299"/>
      <c r="BU162" s="299"/>
      <c r="BV162" s="299"/>
      <c r="BW162" s="299"/>
      <c r="BX162" s="299"/>
      <c r="BY162" s="299"/>
      <c r="BZ162" s="299"/>
      <c r="CA162" s="299"/>
      <c r="CB162" s="299"/>
      <c r="CC162" s="299"/>
      <c r="CD162" s="299"/>
      <c r="CE162" s="299"/>
      <c r="CF162" s="299"/>
      <c r="CG162" s="299"/>
      <c r="CH162" s="299"/>
      <c r="CI162" s="299"/>
      <c r="CJ162" s="299"/>
      <c r="CK162" s="299"/>
      <c r="CL162" s="299"/>
      <c r="CM162" s="299"/>
      <c r="CN162" s="299"/>
      <c r="CO162" s="299"/>
      <c r="CP162" s="299"/>
      <c r="CQ162" s="299"/>
      <c r="CR162" s="299"/>
      <c r="CS162" s="299"/>
      <c r="CT162" s="299"/>
      <c r="CU162" s="299"/>
      <c r="CV162" s="299"/>
      <c r="CW162" s="299"/>
      <c r="CX162" s="299"/>
      <c r="CY162" s="299"/>
      <c r="CZ162" s="299"/>
      <c r="DA162" s="299"/>
      <c r="DB162" s="299">
        <v>45</v>
      </c>
      <c r="DC162" s="299">
        <v>45</v>
      </c>
      <c r="DD162" s="299">
        <v>45</v>
      </c>
      <c r="DE162" s="299">
        <v>45</v>
      </c>
      <c r="DF162" s="299">
        <v>45</v>
      </c>
      <c r="DG162" s="299">
        <v>45</v>
      </c>
      <c r="DH162" s="299">
        <v>45</v>
      </c>
      <c r="DI162" s="299">
        <v>45</v>
      </c>
      <c r="DJ162" s="299">
        <v>45</v>
      </c>
      <c r="DK162" s="299">
        <v>45</v>
      </c>
      <c r="DL162" s="299">
        <v>45</v>
      </c>
      <c r="DM162" s="299">
        <v>45</v>
      </c>
      <c r="DN162" s="299">
        <v>45</v>
      </c>
      <c r="DO162" s="299">
        <v>45</v>
      </c>
      <c r="DP162" s="299">
        <v>45</v>
      </c>
      <c r="DQ162" s="299">
        <v>45</v>
      </c>
      <c r="DR162" s="299"/>
      <c r="DS162" s="299"/>
      <c r="DT162" s="299">
        <v>45</v>
      </c>
      <c r="DU162" s="299">
        <v>45</v>
      </c>
      <c r="DV162" s="299">
        <v>45</v>
      </c>
      <c r="DW162" s="299">
        <v>45</v>
      </c>
      <c r="DX162" s="299">
        <v>45</v>
      </c>
      <c r="DY162" s="299">
        <v>45</v>
      </c>
      <c r="DZ162" s="299">
        <v>45</v>
      </c>
      <c r="EA162" s="299">
        <v>45</v>
      </c>
      <c r="EB162" s="299"/>
      <c r="EC162" s="299"/>
      <c r="ED162" s="299"/>
      <c r="EE162" s="299"/>
      <c r="EF162" s="299"/>
      <c r="EG162" s="299"/>
      <c r="EH162" s="299"/>
      <c r="EI162" s="299"/>
      <c r="EJ162" s="299"/>
      <c r="EK162" s="299"/>
      <c r="EL162" s="299"/>
      <c r="EM162" s="299"/>
      <c r="EN162" s="299"/>
      <c r="EO162" s="299"/>
      <c r="EP162" s="299"/>
      <c r="EQ162" s="299"/>
      <c r="ER162" s="299"/>
      <c r="ES162" s="299"/>
      <c r="ET162" s="299"/>
      <c r="EU162" s="299"/>
      <c r="EV162" s="299"/>
      <c r="EW162" s="299"/>
      <c r="EX162" s="299"/>
      <c r="EY162" s="299"/>
      <c r="EZ162" s="299"/>
      <c r="FA162" s="299"/>
      <c r="FB162" s="299"/>
      <c r="FC162" s="299"/>
      <c r="FD162" s="299"/>
      <c r="FE162" s="299"/>
      <c r="FF162" s="299"/>
      <c r="FG162" s="299"/>
      <c r="FH162" s="299"/>
      <c r="FI162" s="299"/>
      <c r="FJ162" s="299"/>
      <c r="FK162" s="299"/>
      <c r="FL162" s="299"/>
      <c r="FM162" s="299"/>
      <c r="FN162" s="299"/>
      <c r="FO162" s="299"/>
      <c r="FP162" s="299"/>
      <c r="FQ162" s="300" t="e">
        <f t="shared" ca="1" si="143"/>
        <v>#VALUE!</v>
      </c>
      <c r="FR162" s="300" t="e">
        <f t="shared" ca="1" si="155"/>
        <v>#VALUE!</v>
      </c>
      <c r="FS162" s="300" t="e">
        <f t="shared" ca="1" si="155"/>
        <v>#VALUE!</v>
      </c>
      <c r="FT162" s="300" t="e">
        <f t="shared" ca="1" si="155"/>
        <v>#VALUE!</v>
      </c>
      <c r="FU162" s="300" t="e">
        <f t="shared" ca="1" si="155"/>
        <v>#VALUE!</v>
      </c>
      <c r="FV162" s="300" t="e">
        <f t="shared" ca="1" si="155"/>
        <v>#VALUE!</v>
      </c>
      <c r="FW162" s="300" t="e">
        <f t="shared" ca="1" si="155"/>
        <v>#VALUE!</v>
      </c>
      <c r="FX162" s="300" t="e">
        <f t="shared" ca="1" si="155"/>
        <v>#VALUE!</v>
      </c>
      <c r="FY162" s="300" t="e">
        <f t="shared" ca="1" si="155"/>
        <v>#VALUE!</v>
      </c>
      <c r="FZ162" s="300" t="e">
        <f t="shared" ca="1" si="155"/>
        <v>#VALUE!</v>
      </c>
      <c r="GA162" s="301" t="e">
        <f t="shared" ca="1" si="155"/>
        <v>#VALUE!</v>
      </c>
      <c r="GB162" s="301" t="e">
        <f t="shared" ca="1" si="156"/>
        <v>#VALUE!</v>
      </c>
      <c r="GC162" s="301" t="e">
        <f t="shared" ca="1" si="156"/>
        <v>#VALUE!</v>
      </c>
      <c r="GD162" s="301" t="e">
        <f t="shared" ca="1" si="156"/>
        <v>#VALUE!</v>
      </c>
      <c r="GE162" s="301" t="e">
        <f t="shared" ca="1" si="156"/>
        <v>#VALUE!</v>
      </c>
      <c r="GF162" s="301" t="e">
        <f t="shared" ca="1" si="156"/>
        <v>#VALUE!</v>
      </c>
      <c r="GG162" s="301" t="e">
        <f t="shared" ca="1" si="156"/>
        <v>#VALUE!</v>
      </c>
      <c r="GH162" s="301" t="e">
        <f t="shared" ca="1" si="156"/>
        <v>#VALUE!</v>
      </c>
      <c r="GI162" s="301" t="e">
        <f t="shared" ca="1" si="156"/>
        <v>#VALUE!</v>
      </c>
      <c r="GJ162" s="301" t="e">
        <f t="shared" ca="1" si="156"/>
        <v>#VALUE!</v>
      </c>
      <c r="GK162" s="301" t="e">
        <f t="shared" ca="1" si="156"/>
        <v>#VALUE!</v>
      </c>
      <c r="GL162" s="301" t="e">
        <f t="shared" ca="1" si="156"/>
        <v>#VALUE!</v>
      </c>
      <c r="GM162" s="301" t="e">
        <f t="shared" ca="1" si="156"/>
        <v>#VALUE!</v>
      </c>
      <c r="GN162" s="302" t="e">
        <f t="shared" ca="1" si="156"/>
        <v>#VALUE!</v>
      </c>
      <c r="GO162" s="302" t="e">
        <f t="shared" ca="1" si="156"/>
        <v>#VALUE!</v>
      </c>
      <c r="GP162" s="301">
        <f t="shared" si="157"/>
        <v>90</v>
      </c>
      <c r="GQ162" s="301">
        <f t="shared" si="157"/>
        <v>180</v>
      </c>
      <c r="GR162" s="301">
        <f t="shared" si="157"/>
        <v>180</v>
      </c>
      <c r="GS162" s="301">
        <f t="shared" si="157"/>
        <v>0</v>
      </c>
      <c r="GT162" s="301">
        <f t="shared" si="157"/>
        <v>0</v>
      </c>
      <c r="GU162" s="303">
        <f t="shared" si="157"/>
        <v>0</v>
      </c>
      <c r="GV162" s="302">
        <f t="shared" si="157"/>
        <v>0</v>
      </c>
      <c r="GW162" s="302">
        <f t="shared" si="157"/>
        <v>0</v>
      </c>
      <c r="GX162" s="302">
        <f t="shared" si="157"/>
        <v>0</v>
      </c>
      <c r="GY162" s="302">
        <f t="shared" si="157"/>
        <v>0</v>
      </c>
      <c r="GZ162" s="302">
        <f t="shared" si="157"/>
        <v>0</v>
      </c>
      <c r="HA162" s="302">
        <f t="shared" si="157"/>
        <v>0</v>
      </c>
      <c r="HB162" s="302">
        <f t="shared" si="157"/>
        <v>0</v>
      </c>
      <c r="HC162" s="302">
        <f t="shared" si="157"/>
        <v>0</v>
      </c>
      <c r="HD162" s="302">
        <f t="shared" si="157"/>
        <v>0</v>
      </c>
      <c r="HE162" s="302">
        <f t="shared" si="157"/>
        <v>0</v>
      </c>
      <c r="HF162" s="304"/>
      <c r="HG162" s="305"/>
    </row>
    <row r="163" spans="1:215" s="306" customFormat="1" ht="15" customHeight="1">
      <c r="A163" s="291"/>
      <c r="B163" s="292" t="s">
        <v>348</v>
      </c>
      <c r="C163" s="292" t="s">
        <v>117</v>
      </c>
      <c r="D163" s="292" t="s">
        <v>227</v>
      </c>
      <c r="E163" s="292" t="s">
        <v>508</v>
      </c>
      <c r="F163" s="292" t="s">
        <v>184</v>
      </c>
      <c r="G163" s="292" t="s">
        <v>350</v>
      </c>
      <c r="H163" s="292" t="s">
        <v>492</v>
      </c>
      <c r="I163" s="292" t="s">
        <v>493</v>
      </c>
      <c r="J163" s="292" t="s">
        <v>184</v>
      </c>
      <c r="K163" s="292" t="s">
        <v>475</v>
      </c>
      <c r="L163" s="292" t="s">
        <v>502</v>
      </c>
      <c r="M163" s="292" t="s">
        <v>367</v>
      </c>
      <c r="N163" s="292" t="str">
        <f t="shared" si="146"/>
        <v>OCM-Training</v>
      </c>
      <c r="O163" s="292" t="str">
        <f t="shared" si="147"/>
        <v>Change Manager-Intermediate-India-Technology</v>
      </c>
      <c r="P163" s="292" t="str">
        <f t="shared" si="148"/>
        <v>OCM - Change Manager</v>
      </c>
      <c r="Q163" s="293">
        <f t="shared" si="140"/>
        <v>37800</v>
      </c>
      <c r="R163" s="294">
        <f t="shared" si="141"/>
        <v>0</v>
      </c>
      <c r="S163" s="295">
        <f t="shared" si="149"/>
        <v>315</v>
      </c>
      <c r="T163" s="295">
        <f t="shared" si="142"/>
        <v>945</v>
      </c>
      <c r="U163" s="296" t="str">
        <f t="shared" si="150"/>
        <v>Change Manager - Intermediate</v>
      </c>
      <c r="V163" s="295" t="str">
        <f t="shared" si="151"/>
        <v>3-6 years</v>
      </c>
      <c r="W163" s="292" t="str">
        <f t="shared" si="152"/>
        <v>Offshore</v>
      </c>
      <c r="X163" s="292" t="s">
        <v>259</v>
      </c>
      <c r="Y163" s="292" t="s">
        <v>509</v>
      </c>
      <c r="Z163" s="349" t="s">
        <v>239</v>
      </c>
      <c r="AA163" s="297">
        <f>[1]Resourcing!QD167</f>
        <v>54.06</v>
      </c>
      <c r="AB163" s="298">
        <f t="shared" si="153"/>
        <v>40</v>
      </c>
      <c r="AC163" s="299"/>
      <c r="AD163" s="299"/>
      <c r="AE163" s="299"/>
      <c r="AF163" s="299"/>
      <c r="AG163" s="299"/>
      <c r="AH163" s="299"/>
      <c r="AI163" s="299"/>
      <c r="AJ163" s="299"/>
      <c r="AK163" s="299"/>
      <c r="AL163" s="299"/>
      <c r="AM163" s="299"/>
      <c r="AN163" s="299"/>
      <c r="AO163" s="299"/>
      <c r="AP163" s="299"/>
      <c r="AQ163" s="299"/>
      <c r="AR163" s="299"/>
      <c r="AS163" s="299"/>
      <c r="AT163" s="299"/>
      <c r="AU163" s="299"/>
      <c r="AV163" s="299"/>
      <c r="AW163" s="299"/>
      <c r="AX163" s="299"/>
      <c r="AY163" s="299"/>
      <c r="AZ163" s="299"/>
      <c r="BA163" s="299"/>
      <c r="BB163" s="299"/>
      <c r="BC163" s="299"/>
      <c r="BD163" s="299"/>
      <c r="BE163" s="299"/>
      <c r="BF163" s="299"/>
      <c r="BG163" s="299"/>
      <c r="BH163" s="299"/>
      <c r="BI163" s="299"/>
      <c r="BJ163" s="299"/>
      <c r="BK163" s="299"/>
      <c r="BL163" s="299"/>
      <c r="BM163" s="299"/>
      <c r="BN163" s="299"/>
      <c r="BO163" s="299"/>
      <c r="BP163" s="299"/>
      <c r="BQ163" s="299"/>
      <c r="BR163" s="299"/>
      <c r="BS163" s="299"/>
      <c r="BT163" s="299"/>
      <c r="BU163" s="299"/>
      <c r="BV163" s="299"/>
      <c r="BW163" s="299"/>
      <c r="BX163" s="299"/>
      <c r="BY163" s="299"/>
      <c r="BZ163" s="299"/>
      <c r="CA163" s="299"/>
      <c r="CB163" s="299"/>
      <c r="CC163" s="299"/>
      <c r="CD163" s="299"/>
      <c r="CE163" s="299"/>
      <c r="CF163" s="299"/>
      <c r="CG163" s="299"/>
      <c r="CH163" s="299"/>
      <c r="CI163" s="299"/>
      <c r="CJ163" s="299"/>
      <c r="CK163" s="299"/>
      <c r="CL163" s="299"/>
      <c r="CM163" s="299"/>
      <c r="CN163" s="299"/>
      <c r="CO163" s="299"/>
      <c r="CP163" s="299"/>
      <c r="CQ163" s="299"/>
      <c r="CR163" s="299"/>
      <c r="CS163" s="299"/>
      <c r="CT163" s="299"/>
      <c r="CU163" s="299"/>
      <c r="CV163" s="299"/>
      <c r="CW163" s="299"/>
      <c r="CX163" s="299"/>
      <c r="CY163" s="299"/>
      <c r="CZ163" s="299"/>
      <c r="DA163" s="299"/>
      <c r="DB163" s="299">
        <v>45</v>
      </c>
      <c r="DC163" s="299">
        <v>45</v>
      </c>
      <c r="DD163" s="299">
        <v>45</v>
      </c>
      <c r="DE163" s="299">
        <v>45</v>
      </c>
      <c r="DF163" s="299">
        <v>45</v>
      </c>
      <c r="DG163" s="299">
        <v>45</v>
      </c>
      <c r="DH163" s="299">
        <v>45</v>
      </c>
      <c r="DI163" s="299">
        <v>45</v>
      </c>
      <c r="DJ163" s="299">
        <v>45</v>
      </c>
      <c r="DK163" s="299">
        <v>45</v>
      </c>
      <c r="DL163" s="299">
        <v>45</v>
      </c>
      <c r="DM163" s="299">
        <v>45</v>
      </c>
      <c r="DN163" s="299">
        <v>45</v>
      </c>
      <c r="DO163" s="299">
        <v>45</v>
      </c>
      <c r="DP163" s="299">
        <v>45</v>
      </c>
      <c r="DQ163" s="299">
        <v>45</v>
      </c>
      <c r="DR163" s="299"/>
      <c r="DS163" s="299"/>
      <c r="DT163" s="299">
        <v>45</v>
      </c>
      <c r="DU163" s="299">
        <v>45</v>
      </c>
      <c r="DV163" s="299">
        <v>45</v>
      </c>
      <c r="DW163" s="299">
        <v>45</v>
      </c>
      <c r="DX163" s="299">
        <v>45</v>
      </c>
      <c r="DY163" s="299"/>
      <c r="DZ163" s="299"/>
      <c r="EA163" s="299"/>
      <c r="EB163" s="299"/>
      <c r="EC163" s="299"/>
      <c r="ED163" s="299"/>
      <c r="EE163" s="299"/>
      <c r="EF163" s="299"/>
      <c r="EG163" s="299"/>
      <c r="EH163" s="299"/>
      <c r="EI163" s="299"/>
      <c r="EJ163" s="299"/>
      <c r="EK163" s="299"/>
      <c r="EL163" s="299"/>
      <c r="EM163" s="299"/>
      <c r="EN163" s="299"/>
      <c r="EO163" s="299"/>
      <c r="EP163" s="299"/>
      <c r="EQ163" s="299"/>
      <c r="ER163" s="299"/>
      <c r="ES163" s="299"/>
      <c r="ET163" s="299"/>
      <c r="EU163" s="299"/>
      <c r="EV163" s="299"/>
      <c r="EW163" s="299"/>
      <c r="EX163" s="299"/>
      <c r="EY163" s="299"/>
      <c r="EZ163" s="299"/>
      <c r="FA163" s="299"/>
      <c r="FB163" s="299"/>
      <c r="FC163" s="299"/>
      <c r="FD163" s="299"/>
      <c r="FE163" s="299"/>
      <c r="FF163" s="299"/>
      <c r="FG163" s="299"/>
      <c r="FH163" s="299"/>
      <c r="FI163" s="299"/>
      <c r="FJ163" s="299"/>
      <c r="FK163" s="299"/>
      <c r="FL163" s="299"/>
      <c r="FM163" s="299"/>
      <c r="FN163" s="299"/>
      <c r="FO163" s="299"/>
      <c r="FP163" s="299"/>
      <c r="FQ163" s="300" t="e">
        <f t="shared" ca="1" si="143"/>
        <v>#VALUE!</v>
      </c>
      <c r="FR163" s="300" t="e">
        <f t="shared" ref="FR163:GA173" ca="1" si="158">SUMIF($AC$11:$FP$11,FR$12,$AC163:$FP163)</f>
        <v>#VALUE!</v>
      </c>
      <c r="FS163" s="300" t="e">
        <f t="shared" ca="1" si="158"/>
        <v>#VALUE!</v>
      </c>
      <c r="FT163" s="300" t="e">
        <f t="shared" ca="1" si="158"/>
        <v>#VALUE!</v>
      </c>
      <c r="FU163" s="300" t="e">
        <f t="shared" ca="1" si="158"/>
        <v>#VALUE!</v>
      </c>
      <c r="FV163" s="300" t="e">
        <f t="shared" ca="1" si="158"/>
        <v>#VALUE!</v>
      </c>
      <c r="FW163" s="300" t="e">
        <f t="shared" ca="1" si="158"/>
        <v>#VALUE!</v>
      </c>
      <c r="FX163" s="300" t="e">
        <f t="shared" ca="1" si="158"/>
        <v>#VALUE!</v>
      </c>
      <c r="FY163" s="300" t="e">
        <f t="shared" ca="1" si="158"/>
        <v>#VALUE!</v>
      </c>
      <c r="FZ163" s="300" t="e">
        <f t="shared" ca="1" si="158"/>
        <v>#VALUE!</v>
      </c>
      <c r="GA163" s="301" t="e">
        <f t="shared" ca="1" si="158"/>
        <v>#VALUE!</v>
      </c>
      <c r="GB163" s="301" t="e">
        <f t="shared" ref="GB163:GO173" ca="1" si="159">SUMIF($AC$11:$FP$11,GB$12,$AC163:$FP163)</f>
        <v>#VALUE!</v>
      </c>
      <c r="GC163" s="301" t="e">
        <f t="shared" ca="1" si="159"/>
        <v>#VALUE!</v>
      </c>
      <c r="GD163" s="301" t="e">
        <f t="shared" ca="1" si="159"/>
        <v>#VALUE!</v>
      </c>
      <c r="GE163" s="301" t="e">
        <f t="shared" ca="1" si="159"/>
        <v>#VALUE!</v>
      </c>
      <c r="GF163" s="301" t="e">
        <f t="shared" ca="1" si="159"/>
        <v>#VALUE!</v>
      </c>
      <c r="GG163" s="301" t="e">
        <f t="shared" ca="1" si="159"/>
        <v>#VALUE!</v>
      </c>
      <c r="GH163" s="301" t="e">
        <f t="shared" ca="1" si="159"/>
        <v>#VALUE!</v>
      </c>
      <c r="GI163" s="301" t="e">
        <f t="shared" ca="1" si="159"/>
        <v>#VALUE!</v>
      </c>
      <c r="GJ163" s="301" t="e">
        <f t="shared" ca="1" si="159"/>
        <v>#VALUE!</v>
      </c>
      <c r="GK163" s="301" t="e">
        <f t="shared" ca="1" si="159"/>
        <v>#VALUE!</v>
      </c>
      <c r="GL163" s="301" t="e">
        <f t="shared" ca="1" si="159"/>
        <v>#VALUE!</v>
      </c>
      <c r="GM163" s="301" t="e">
        <f t="shared" ca="1" si="159"/>
        <v>#VALUE!</v>
      </c>
      <c r="GN163" s="302" t="e">
        <f t="shared" ca="1" si="159"/>
        <v>#VALUE!</v>
      </c>
      <c r="GO163" s="302" t="e">
        <f t="shared" ca="1" si="159"/>
        <v>#VALUE!</v>
      </c>
      <c r="GP163" s="301">
        <f t="shared" si="157"/>
        <v>90</v>
      </c>
      <c r="GQ163" s="301">
        <f t="shared" si="157"/>
        <v>180</v>
      </c>
      <c r="GR163" s="301">
        <f t="shared" si="157"/>
        <v>45</v>
      </c>
      <c r="GS163" s="301">
        <f t="shared" si="157"/>
        <v>0</v>
      </c>
      <c r="GT163" s="301">
        <f t="shared" si="157"/>
        <v>0</v>
      </c>
      <c r="GU163" s="303">
        <f t="shared" si="157"/>
        <v>0</v>
      </c>
      <c r="GV163" s="302">
        <f t="shared" si="157"/>
        <v>0</v>
      </c>
      <c r="GW163" s="302">
        <f t="shared" si="157"/>
        <v>0</v>
      </c>
      <c r="GX163" s="302">
        <f t="shared" si="157"/>
        <v>0</v>
      </c>
      <c r="GY163" s="302">
        <f t="shared" si="157"/>
        <v>0</v>
      </c>
      <c r="GZ163" s="302">
        <f t="shared" si="157"/>
        <v>0</v>
      </c>
      <c r="HA163" s="302">
        <f t="shared" si="157"/>
        <v>0</v>
      </c>
      <c r="HB163" s="302">
        <f t="shared" si="157"/>
        <v>0</v>
      </c>
      <c r="HC163" s="302">
        <f t="shared" si="157"/>
        <v>0</v>
      </c>
      <c r="HD163" s="302">
        <f t="shared" si="157"/>
        <v>0</v>
      </c>
      <c r="HE163" s="302">
        <f t="shared" si="157"/>
        <v>0</v>
      </c>
      <c r="HF163" s="304"/>
      <c r="HG163" s="305"/>
    </row>
    <row r="164" spans="1:215" s="306" customFormat="1" ht="15" customHeight="1">
      <c r="A164" s="291"/>
      <c r="B164" s="292" t="s">
        <v>348</v>
      </c>
      <c r="C164" s="292" t="s">
        <v>117</v>
      </c>
      <c r="D164" s="292" t="s">
        <v>227</v>
      </c>
      <c r="E164" s="292" t="s">
        <v>508</v>
      </c>
      <c r="F164" s="292" t="s">
        <v>184</v>
      </c>
      <c r="G164" s="292" t="s">
        <v>350</v>
      </c>
      <c r="H164" s="292" t="s">
        <v>492</v>
      </c>
      <c r="I164" s="292" t="s">
        <v>493</v>
      </c>
      <c r="J164" s="292" t="s">
        <v>184</v>
      </c>
      <c r="K164" s="292" t="s">
        <v>475</v>
      </c>
      <c r="L164" s="292" t="s">
        <v>502</v>
      </c>
      <c r="M164" s="292" t="s">
        <v>363</v>
      </c>
      <c r="N164" s="292" t="str">
        <f t="shared" si="146"/>
        <v>OCM-Training</v>
      </c>
      <c r="O164" s="292" t="str">
        <f t="shared" si="147"/>
        <v>Change Manager-Junior-India-Technology</v>
      </c>
      <c r="P164" s="292" t="str">
        <f t="shared" si="148"/>
        <v>OCM - Change Manager</v>
      </c>
      <c r="Q164" s="293">
        <f t="shared" si="140"/>
        <v>28800</v>
      </c>
      <c r="R164" s="294">
        <f t="shared" si="141"/>
        <v>0</v>
      </c>
      <c r="S164" s="295">
        <f t="shared" si="149"/>
        <v>90</v>
      </c>
      <c r="T164" s="295">
        <f t="shared" si="142"/>
        <v>720</v>
      </c>
      <c r="U164" s="296" t="str">
        <f t="shared" si="150"/>
        <v>Change Manager - Junior</v>
      </c>
      <c r="V164" s="295" t="str">
        <f t="shared" si="151"/>
        <v>0-3 years</v>
      </c>
      <c r="W164" s="292" t="str">
        <f t="shared" si="152"/>
        <v>Offshore</v>
      </c>
      <c r="X164" s="292" t="s">
        <v>259</v>
      </c>
      <c r="Y164" s="292" t="s">
        <v>509</v>
      </c>
      <c r="Z164" s="349" t="s">
        <v>240</v>
      </c>
      <c r="AA164" s="297">
        <f>[1]Resourcing!QD168</f>
        <v>54.06</v>
      </c>
      <c r="AB164" s="298">
        <f t="shared" si="153"/>
        <v>40</v>
      </c>
      <c r="AC164" s="299"/>
      <c r="AD164" s="299"/>
      <c r="AE164" s="299"/>
      <c r="AF164" s="299"/>
      <c r="AG164" s="299"/>
      <c r="AH164" s="299"/>
      <c r="AI164" s="299"/>
      <c r="AJ164" s="299"/>
      <c r="AK164" s="299"/>
      <c r="AL164" s="299"/>
      <c r="AM164" s="299"/>
      <c r="AN164" s="299"/>
      <c r="AO164" s="299"/>
      <c r="AP164" s="299"/>
      <c r="AQ164" s="299"/>
      <c r="AR164" s="299"/>
      <c r="AS164" s="299"/>
      <c r="AT164" s="299"/>
      <c r="AU164" s="299"/>
      <c r="AV164" s="299"/>
      <c r="AW164" s="299"/>
      <c r="AX164" s="299"/>
      <c r="AY164" s="299"/>
      <c r="AZ164" s="299"/>
      <c r="BA164" s="299"/>
      <c r="BB164" s="299"/>
      <c r="BC164" s="299"/>
      <c r="BD164" s="299"/>
      <c r="BE164" s="299"/>
      <c r="BF164" s="299"/>
      <c r="BG164" s="299"/>
      <c r="BH164" s="299"/>
      <c r="BI164" s="299"/>
      <c r="BJ164" s="299"/>
      <c r="BK164" s="299"/>
      <c r="BL164" s="299"/>
      <c r="BM164" s="299"/>
      <c r="BN164" s="299"/>
      <c r="BO164" s="299"/>
      <c r="BP164" s="299"/>
      <c r="BQ164" s="299"/>
      <c r="BR164" s="299"/>
      <c r="BS164" s="299"/>
      <c r="BT164" s="299"/>
      <c r="BU164" s="299"/>
      <c r="BV164" s="299"/>
      <c r="BW164" s="299"/>
      <c r="BX164" s="299"/>
      <c r="BY164" s="299"/>
      <c r="BZ164" s="299"/>
      <c r="CA164" s="299"/>
      <c r="CB164" s="299"/>
      <c r="CC164" s="299"/>
      <c r="CD164" s="299"/>
      <c r="CE164" s="299"/>
      <c r="CF164" s="299"/>
      <c r="CG164" s="299"/>
      <c r="CH164" s="299"/>
      <c r="CI164" s="299"/>
      <c r="CJ164" s="299"/>
      <c r="CK164" s="299"/>
      <c r="CL164" s="299"/>
      <c r="CM164" s="299"/>
      <c r="CN164" s="299"/>
      <c r="CO164" s="299"/>
      <c r="CP164" s="299"/>
      <c r="CQ164" s="299"/>
      <c r="CR164" s="299"/>
      <c r="CS164" s="299"/>
      <c r="CT164" s="299"/>
      <c r="CU164" s="299"/>
      <c r="CV164" s="299"/>
      <c r="CW164" s="299"/>
      <c r="CX164" s="299"/>
      <c r="CY164" s="299"/>
      <c r="CZ164" s="299"/>
      <c r="DA164" s="299"/>
      <c r="DB164" s="299">
        <v>45</v>
      </c>
      <c r="DC164" s="299">
        <v>45</v>
      </c>
      <c r="DD164" s="299">
        <v>45</v>
      </c>
      <c r="DE164" s="299">
        <v>45</v>
      </c>
      <c r="DF164" s="299">
        <v>45</v>
      </c>
      <c r="DG164" s="299">
        <v>45</v>
      </c>
      <c r="DH164" s="299">
        <v>45</v>
      </c>
      <c r="DI164" s="299">
        <v>45</v>
      </c>
      <c r="DJ164" s="299">
        <v>45</v>
      </c>
      <c r="DK164" s="299">
        <v>45</v>
      </c>
      <c r="DL164" s="299">
        <v>45</v>
      </c>
      <c r="DM164" s="299">
        <v>45</v>
      </c>
      <c r="DN164" s="299">
        <v>45</v>
      </c>
      <c r="DO164" s="299">
        <v>45</v>
      </c>
      <c r="DP164" s="299">
        <v>45</v>
      </c>
      <c r="DQ164" s="299">
        <v>45</v>
      </c>
      <c r="DR164" s="299"/>
      <c r="DS164" s="299"/>
      <c r="DT164" s="299"/>
      <c r="DU164" s="299"/>
      <c r="DV164" s="299"/>
      <c r="DW164" s="299"/>
      <c r="DX164" s="299"/>
      <c r="DY164" s="299"/>
      <c r="DZ164" s="299"/>
      <c r="EA164" s="299"/>
      <c r="EB164" s="299"/>
      <c r="EC164" s="299"/>
      <c r="ED164" s="299"/>
      <c r="EE164" s="299"/>
      <c r="EF164" s="299"/>
      <c r="EG164" s="299"/>
      <c r="EH164" s="299"/>
      <c r="EI164" s="299"/>
      <c r="EJ164" s="299"/>
      <c r="EK164" s="299"/>
      <c r="EL164" s="299"/>
      <c r="EM164" s="299"/>
      <c r="EN164" s="299"/>
      <c r="EO164" s="299"/>
      <c r="EP164" s="299"/>
      <c r="EQ164" s="299"/>
      <c r="ER164" s="299"/>
      <c r="ES164" s="299"/>
      <c r="ET164" s="299"/>
      <c r="EU164" s="299"/>
      <c r="EV164" s="299"/>
      <c r="EW164" s="299"/>
      <c r="EX164" s="299"/>
      <c r="EY164" s="299"/>
      <c r="EZ164" s="299"/>
      <c r="FA164" s="299"/>
      <c r="FB164" s="299"/>
      <c r="FC164" s="299"/>
      <c r="FD164" s="299"/>
      <c r="FE164" s="299"/>
      <c r="FF164" s="299"/>
      <c r="FG164" s="299"/>
      <c r="FH164" s="299"/>
      <c r="FI164" s="299"/>
      <c r="FJ164" s="299"/>
      <c r="FK164" s="299"/>
      <c r="FL164" s="299"/>
      <c r="FM164" s="299"/>
      <c r="FN164" s="299"/>
      <c r="FO164" s="299"/>
      <c r="FP164" s="299"/>
      <c r="FQ164" s="300" t="e">
        <f t="shared" ca="1" si="143"/>
        <v>#VALUE!</v>
      </c>
      <c r="FR164" s="300" t="e">
        <f t="shared" ca="1" si="158"/>
        <v>#VALUE!</v>
      </c>
      <c r="FS164" s="300" t="e">
        <f t="shared" ca="1" si="158"/>
        <v>#VALUE!</v>
      </c>
      <c r="FT164" s="300" t="e">
        <f t="shared" ca="1" si="158"/>
        <v>#VALUE!</v>
      </c>
      <c r="FU164" s="300" t="e">
        <f t="shared" ca="1" si="158"/>
        <v>#VALUE!</v>
      </c>
      <c r="FV164" s="300" t="e">
        <f t="shared" ca="1" si="158"/>
        <v>#VALUE!</v>
      </c>
      <c r="FW164" s="300" t="e">
        <f t="shared" ca="1" si="158"/>
        <v>#VALUE!</v>
      </c>
      <c r="FX164" s="300" t="e">
        <f t="shared" ca="1" si="158"/>
        <v>#VALUE!</v>
      </c>
      <c r="FY164" s="300" t="e">
        <f t="shared" ca="1" si="158"/>
        <v>#VALUE!</v>
      </c>
      <c r="FZ164" s="300" t="e">
        <f t="shared" ca="1" si="158"/>
        <v>#VALUE!</v>
      </c>
      <c r="GA164" s="301" t="e">
        <f t="shared" ca="1" si="158"/>
        <v>#VALUE!</v>
      </c>
      <c r="GB164" s="301" t="e">
        <f t="shared" ca="1" si="159"/>
        <v>#VALUE!</v>
      </c>
      <c r="GC164" s="301" t="e">
        <f t="shared" ca="1" si="159"/>
        <v>#VALUE!</v>
      </c>
      <c r="GD164" s="301" t="e">
        <f t="shared" ca="1" si="159"/>
        <v>#VALUE!</v>
      </c>
      <c r="GE164" s="301" t="e">
        <f t="shared" ca="1" si="159"/>
        <v>#VALUE!</v>
      </c>
      <c r="GF164" s="301" t="e">
        <f t="shared" ca="1" si="159"/>
        <v>#VALUE!</v>
      </c>
      <c r="GG164" s="301" t="e">
        <f t="shared" ca="1" si="159"/>
        <v>#VALUE!</v>
      </c>
      <c r="GH164" s="301" t="e">
        <f t="shared" ca="1" si="159"/>
        <v>#VALUE!</v>
      </c>
      <c r="GI164" s="301" t="e">
        <f t="shared" ca="1" si="159"/>
        <v>#VALUE!</v>
      </c>
      <c r="GJ164" s="301" t="e">
        <f t="shared" ca="1" si="159"/>
        <v>#VALUE!</v>
      </c>
      <c r="GK164" s="301" t="e">
        <f t="shared" ca="1" si="159"/>
        <v>#VALUE!</v>
      </c>
      <c r="GL164" s="301" t="e">
        <f t="shared" ca="1" si="159"/>
        <v>#VALUE!</v>
      </c>
      <c r="GM164" s="301" t="e">
        <f t="shared" ca="1" si="159"/>
        <v>#VALUE!</v>
      </c>
      <c r="GN164" s="302" t="e">
        <f t="shared" ca="1" si="159"/>
        <v>#VALUE!</v>
      </c>
      <c r="GO164" s="302" t="e">
        <f t="shared" ca="1" si="159"/>
        <v>#VALUE!</v>
      </c>
      <c r="GP164" s="301">
        <f t="shared" si="157"/>
        <v>90</v>
      </c>
      <c r="GQ164" s="301">
        <f t="shared" si="157"/>
        <v>0</v>
      </c>
      <c r="GR164" s="301">
        <f t="shared" si="157"/>
        <v>0</v>
      </c>
      <c r="GS164" s="301">
        <f t="shared" si="157"/>
        <v>0</v>
      </c>
      <c r="GT164" s="301">
        <f t="shared" si="157"/>
        <v>0</v>
      </c>
      <c r="GU164" s="303">
        <f t="shared" si="157"/>
        <v>0</v>
      </c>
      <c r="GV164" s="302">
        <f t="shared" si="157"/>
        <v>0</v>
      </c>
      <c r="GW164" s="302">
        <f t="shared" si="157"/>
        <v>0</v>
      </c>
      <c r="GX164" s="302">
        <f t="shared" si="157"/>
        <v>0</v>
      </c>
      <c r="GY164" s="302">
        <f t="shared" si="157"/>
        <v>0</v>
      </c>
      <c r="GZ164" s="302">
        <f t="shared" si="157"/>
        <v>0</v>
      </c>
      <c r="HA164" s="302">
        <f t="shared" si="157"/>
        <v>0</v>
      </c>
      <c r="HB164" s="302">
        <f t="shared" si="157"/>
        <v>0</v>
      </c>
      <c r="HC164" s="302">
        <f t="shared" si="157"/>
        <v>0</v>
      </c>
      <c r="HD164" s="302">
        <f t="shared" si="157"/>
        <v>0</v>
      </c>
      <c r="HE164" s="302">
        <f t="shared" si="157"/>
        <v>0</v>
      </c>
      <c r="HF164" s="304"/>
      <c r="HG164" s="305"/>
    </row>
    <row r="165" spans="1:215" s="306" customFormat="1" ht="15" customHeight="1">
      <c r="A165" s="291"/>
      <c r="B165" s="292" t="s">
        <v>348</v>
      </c>
      <c r="C165" s="292" t="s">
        <v>117</v>
      </c>
      <c r="D165" s="292" t="s">
        <v>227</v>
      </c>
      <c r="E165" s="292" t="s">
        <v>508</v>
      </c>
      <c r="F165" s="292" t="s">
        <v>184</v>
      </c>
      <c r="G165" s="292" t="s">
        <v>350</v>
      </c>
      <c r="H165" s="292" t="s">
        <v>492</v>
      </c>
      <c r="I165" s="292" t="s">
        <v>493</v>
      </c>
      <c r="J165" s="292" t="s">
        <v>184</v>
      </c>
      <c r="K165" s="292" t="s">
        <v>475</v>
      </c>
      <c r="L165" s="292" t="s">
        <v>502</v>
      </c>
      <c r="M165" s="292" t="s">
        <v>363</v>
      </c>
      <c r="N165" s="292" t="str">
        <f t="shared" si="146"/>
        <v>OCM-Training</v>
      </c>
      <c r="O165" s="292" t="str">
        <f t="shared" si="147"/>
        <v>Change Manager-Junior-India-Technology</v>
      </c>
      <c r="P165" s="292" t="str">
        <f t="shared" si="148"/>
        <v>OCM - Change Manager</v>
      </c>
      <c r="Q165" s="293">
        <f t="shared" si="140"/>
        <v>28800</v>
      </c>
      <c r="R165" s="294">
        <f t="shared" si="141"/>
        <v>0</v>
      </c>
      <c r="S165" s="295">
        <f t="shared" si="149"/>
        <v>90</v>
      </c>
      <c r="T165" s="295">
        <f t="shared" si="142"/>
        <v>720</v>
      </c>
      <c r="U165" s="296" t="str">
        <f t="shared" si="150"/>
        <v>Change Manager - Junior</v>
      </c>
      <c r="V165" s="295" t="str">
        <f t="shared" si="151"/>
        <v>0-3 years</v>
      </c>
      <c r="W165" s="292" t="str">
        <f t="shared" si="152"/>
        <v>Offshore</v>
      </c>
      <c r="X165" s="292" t="s">
        <v>259</v>
      </c>
      <c r="Y165" s="292" t="s">
        <v>509</v>
      </c>
      <c r="Z165" s="349" t="s">
        <v>240</v>
      </c>
      <c r="AA165" s="297">
        <f>[1]Resourcing!QD169</f>
        <v>54.06</v>
      </c>
      <c r="AB165" s="298">
        <f t="shared" si="153"/>
        <v>40</v>
      </c>
      <c r="AC165" s="299"/>
      <c r="AD165" s="299"/>
      <c r="AE165" s="299"/>
      <c r="AF165" s="299"/>
      <c r="AG165" s="299"/>
      <c r="AH165" s="299"/>
      <c r="AI165" s="299"/>
      <c r="AJ165" s="299"/>
      <c r="AK165" s="299"/>
      <c r="AL165" s="299"/>
      <c r="AM165" s="299"/>
      <c r="AN165" s="299"/>
      <c r="AO165" s="299"/>
      <c r="AP165" s="299"/>
      <c r="AQ165" s="299"/>
      <c r="AR165" s="299"/>
      <c r="AS165" s="299"/>
      <c r="AT165" s="299"/>
      <c r="AU165" s="299"/>
      <c r="AV165" s="299"/>
      <c r="AW165" s="299"/>
      <c r="AX165" s="299"/>
      <c r="AY165" s="299"/>
      <c r="AZ165" s="299"/>
      <c r="BA165" s="299"/>
      <c r="BB165" s="299"/>
      <c r="BC165" s="299"/>
      <c r="BD165" s="299"/>
      <c r="BE165" s="299"/>
      <c r="BF165" s="299"/>
      <c r="BG165" s="299"/>
      <c r="BH165" s="299"/>
      <c r="BI165" s="299"/>
      <c r="BJ165" s="299"/>
      <c r="BK165" s="299"/>
      <c r="BL165" s="299"/>
      <c r="BM165" s="299"/>
      <c r="BN165" s="299"/>
      <c r="BO165" s="299"/>
      <c r="BP165" s="299"/>
      <c r="BQ165" s="299"/>
      <c r="BR165" s="299"/>
      <c r="BS165" s="299"/>
      <c r="BT165" s="299"/>
      <c r="BU165" s="299"/>
      <c r="BV165" s="299"/>
      <c r="BW165" s="299"/>
      <c r="BX165" s="299"/>
      <c r="BY165" s="299"/>
      <c r="BZ165" s="299"/>
      <c r="CA165" s="299"/>
      <c r="CB165" s="299"/>
      <c r="CC165" s="299"/>
      <c r="CD165" s="299"/>
      <c r="CE165" s="299"/>
      <c r="CF165" s="299"/>
      <c r="CG165" s="299"/>
      <c r="CH165" s="299"/>
      <c r="CI165" s="299"/>
      <c r="CJ165" s="299"/>
      <c r="CK165" s="299"/>
      <c r="CL165" s="299"/>
      <c r="CM165" s="299"/>
      <c r="CN165" s="299"/>
      <c r="CO165" s="299"/>
      <c r="CP165" s="299"/>
      <c r="CQ165" s="299"/>
      <c r="CR165" s="299"/>
      <c r="CS165" s="299"/>
      <c r="CT165" s="299"/>
      <c r="CU165" s="299"/>
      <c r="CV165" s="299"/>
      <c r="CW165" s="299"/>
      <c r="CX165" s="299"/>
      <c r="CY165" s="299"/>
      <c r="CZ165" s="299"/>
      <c r="DA165" s="299"/>
      <c r="DB165" s="299">
        <v>45</v>
      </c>
      <c r="DC165" s="299">
        <v>45</v>
      </c>
      <c r="DD165" s="299">
        <v>45</v>
      </c>
      <c r="DE165" s="299">
        <v>45</v>
      </c>
      <c r="DF165" s="299">
        <v>45</v>
      </c>
      <c r="DG165" s="299">
        <v>45</v>
      </c>
      <c r="DH165" s="299">
        <v>45</v>
      </c>
      <c r="DI165" s="299">
        <v>45</v>
      </c>
      <c r="DJ165" s="299">
        <v>45</v>
      </c>
      <c r="DK165" s="299">
        <v>45</v>
      </c>
      <c r="DL165" s="299">
        <v>45</v>
      </c>
      <c r="DM165" s="299">
        <v>45</v>
      </c>
      <c r="DN165" s="299">
        <v>45</v>
      </c>
      <c r="DO165" s="299">
        <v>45</v>
      </c>
      <c r="DP165" s="299">
        <v>45</v>
      </c>
      <c r="DQ165" s="299">
        <v>45</v>
      </c>
      <c r="DR165" s="299"/>
      <c r="DS165" s="299"/>
      <c r="DT165" s="299"/>
      <c r="DU165" s="299"/>
      <c r="DV165" s="299"/>
      <c r="DW165" s="299"/>
      <c r="DX165" s="299"/>
      <c r="DY165" s="299"/>
      <c r="DZ165" s="299"/>
      <c r="EA165" s="299"/>
      <c r="EB165" s="299"/>
      <c r="EC165" s="299"/>
      <c r="ED165" s="299"/>
      <c r="EE165" s="299"/>
      <c r="EF165" s="299"/>
      <c r="EG165" s="299"/>
      <c r="EH165" s="299"/>
      <c r="EI165" s="299"/>
      <c r="EJ165" s="299"/>
      <c r="EK165" s="299"/>
      <c r="EL165" s="299"/>
      <c r="EM165" s="299"/>
      <c r="EN165" s="299"/>
      <c r="EO165" s="299"/>
      <c r="EP165" s="299"/>
      <c r="EQ165" s="299"/>
      <c r="ER165" s="299"/>
      <c r="ES165" s="299"/>
      <c r="ET165" s="299"/>
      <c r="EU165" s="299"/>
      <c r="EV165" s="299"/>
      <c r="EW165" s="299"/>
      <c r="EX165" s="299"/>
      <c r="EY165" s="299"/>
      <c r="EZ165" s="299"/>
      <c r="FA165" s="299"/>
      <c r="FB165" s="299"/>
      <c r="FC165" s="299"/>
      <c r="FD165" s="299"/>
      <c r="FE165" s="299"/>
      <c r="FF165" s="299"/>
      <c r="FG165" s="299"/>
      <c r="FH165" s="299"/>
      <c r="FI165" s="299"/>
      <c r="FJ165" s="299"/>
      <c r="FK165" s="299"/>
      <c r="FL165" s="299"/>
      <c r="FM165" s="299"/>
      <c r="FN165" s="299"/>
      <c r="FO165" s="299"/>
      <c r="FP165" s="299"/>
      <c r="FQ165" s="300" t="e">
        <f t="shared" ca="1" si="143"/>
        <v>#VALUE!</v>
      </c>
      <c r="FR165" s="300" t="e">
        <f t="shared" ca="1" si="158"/>
        <v>#VALUE!</v>
      </c>
      <c r="FS165" s="300" t="e">
        <f t="shared" ca="1" si="158"/>
        <v>#VALUE!</v>
      </c>
      <c r="FT165" s="300" t="e">
        <f t="shared" ca="1" si="158"/>
        <v>#VALUE!</v>
      </c>
      <c r="FU165" s="300" t="e">
        <f t="shared" ca="1" si="158"/>
        <v>#VALUE!</v>
      </c>
      <c r="FV165" s="300" t="e">
        <f t="shared" ca="1" si="158"/>
        <v>#VALUE!</v>
      </c>
      <c r="FW165" s="300" t="e">
        <f t="shared" ca="1" si="158"/>
        <v>#VALUE!</v>
      </c>
      <c r="FX165" s="300" t="e">
        <f t="shared" ca="1" si="158"/>
        <v>#VALUE!</v>
      </c>
      <c r="FY165" s="300" t="e">
        <f t="shared" ca="1" si="158"/>
        <v>#VALUE!</v>
      </c>
      <c r="FZ165" s="300" t="e">
        <f t="shared" ca="1" si="158"/>
        <v>#VALUE!</v>
      </c>
      <c r="GA165" s="301" t="e">
        <f t="shared" ca="1" si="158"/>
        <v>#VALUE!</v>
      </c>
      <c r="GB165" s="301" t="e">
        <f t="shared" ca="1" si="159"/>
        <v>#VALUE!</v>
      </c>
      <c r="GC165" s="301" t="e">
        <f t="shared" ca="1" si="159"/>
        <v>#VALUE!</v>
      </c>
      <c r="GD165" s="301" t="e">
        <f t="shared" ca="1" si="159"/>
        <v>#VALUE!</v>
      </c>
      <c r="GE165" s="301" t="e">
        <f t="shared" ca="1" si="159"/>
        <v>#VALUE!</v>
      </c>
      <c r="GF165" s="301" t="e">
        <f t="shared" ca="1" si="159"/>
        <v>#VALUE!</v>
      </c>
      <c r="GG165" s="301" t="e">
        <f t="shared" ca="1" si="159"/>
        <v>#VALUE!</v>
      </c>
      <c r="GH165" s="301" t="e">
        <f t="shared" ca="1" si="159"/>
        <v>#VALUE!</v>
      </c>
      <c r="GI165" s="301" t="e">
        <f t="shared" ca="1" si="159"/>
        <v>#VALUE!</v>
      </c>
      <c r="GJ165" s="301" t="e">
        <f t="shared" ca="1" si="159"/>
        <v>#VALUE!</v>
      </c>
      <c r="GK165" s="301" t="e">
        <f t="shared" ca="1" si="159"/>
        <v>#VALUE!</v>
      </c>
      <c r="GL165" s="301" t="e">
        <f t="shared" ca="1" si="159"/>
        <v>#VALUE!</v>
      </c>
      <c r="GM165" s="301" t="e">
        <f t="shared" ca="1" si="159"/>
        <v>#VALUE!</v>
      </c>
      <c r="GN165" s="302" t="e">
        <f t="shared" ca="1" si="159"/>
        <v>#VALUE!</v>
      </c>
      <c r="GO165" s="302" t="e">
        <f t="shared" ca="1" si="159"/>
        <v>#VALUE!</v>
      </c>
      <c r="GP165" s="301">
        <f t="shared" si="157"/>
        <v>90</v>
      </c>
      <c r="GQ165" s="301">
        <f t="shared" si="157"/>
        <v>0</v>
      </c>
      <c r="GR165" s="301">
        <f t="shared" si="157"/>
        <v>0</v>
      </c>
      <c r="GS165" s="301">
        <f t="shared" si="157"/>
        <v>0</v>
      </c>
      <c r="GT165" s="301">
        <f t="shared" si="157"/>
        <v>0</v>
      </c>
      <c r="GU165" s="303">
        <f t="shared" si="157"/>
        <v>0</v>
      </c>
      <c r="GV165" s="302">
        <f t="shared" si="157"/>
        <v>0</v>
      </c>
      <c r="GW165" s="302">
        <f t="shared" si="157"/>
        <v>0</v>
      </c>
      <c r="GX165" s="302">
        <f t="shared" si="157"/>
        <v>0</v>
      </c>
      <c r="GY165" s="302">
        <f t="shared" si="157"/>
        <v>0</v>
      </c>
      <c r="GZ165" s="302">
        <f t="shared" si="157"/>
        <v>0</v>
      </c>
      <c r="HA165" s="302">
        <f t="shared" si="157"/>
        <v>0</v>
      </c>
      <c r="HB165" s="302">
        <f t="shared" si="157"/>
        <v>0</v>
      </c>
      <c r="HC165" s="302">
        <f t="shared" si="157"/>
        <v>0</v>
      </c>
      <c r="HD165" s="302">
        <f t="shared" si="157"/>
        <v>0</v>
      </c>
      <c r="HE165" s="302">
        <f t="shared" si="157"/>
        <v>0</v>
      </c>
      <c r="HF165" s="304"/>
      <c r="HG165" s="305"/>
    </row>
    <row r="166" spans="1:215" s="306" customFormat="1" ht="15" customHeight="1">
      <c r="A166" s="291"/>
      <c r="B166" s="292" t="s">
        <v>348</v>
      </c>
      <c r="C166" s="292" t="s">
        <v>117</v>
      </c>
      <c r="D166" s="292" t="s">
        <v>227</v>
      </c>
      <c r="E166" s="292" t="s">
        <v>508</v>
      </c>
      <c r="F166" s="292" t="s">
        <v>184</v>
      </c>
      <c r="G166" s="292" t="s">
        <v>350</v>
      </c>
      <c r="H166" s="292" t="s">
        <v>492</v>
      </c>
      <c r="I166" s="292" t="s">
        <v>493</v>
      </c>
      <c r="J166" s="292" t="s">
        <v>184</v>
      </c>
      <c r="K166" s="292" t="s">
        <v>475</v>
      </c>
      <c r="L166" s="292" t="s">
        <v>502</v>
      </c>
      <c r="M166" s="292" t="s">
        <v>363</v>
      </c>
      <c r="N166" s="292" t="str">
        <f t="shared" si="146"/>
        <v>OCM-Training</v>
      </c>
      <c r="O166" s="292" t="str">
        <f t="shared" si="147"/>
        <v>Change Manager-Junior-India-Technology</v>
      </c>
      <c r="P166" s="292" t="str">
        <f t="shared" si="148"/>
        <v>OCM - Change Manager</v>
      </c>
      <c r="Q166" s="293">
        <f t="shared" si="140"/>
        <v>28800</v>
      </c>
      <c r="R166" s="294">
        <f t="shared" si="141"/>
        <v>0</v>
      </c>
      <c r="S166" s="295">
        <f t="shared" si="149"/>
        <v>90</v>
      </c>
      <c r="T166" s="295">
        <f t="shared" si="142"/>
        <v>720</v>
      </c>
      <c r="U166" s="296" t="str">
        <f t="shared" si="150"/>
        <v>Change Manager - Junior</v>
      </c>
      <c r="V166" s="295" t="str">
        <f t="shared" si="151"/>
        <v>0-3 years</v>
      </c>
      <c r="W166" s="292" t="str">
        <f t="shared" si="152"/>
        <v>Offshore</v>
      </c>
      <c r="X166" s="292" t="s">
        <v>259</v>
      </c>
      <c r="Y166" s="292" t="s">
        <v>509</v>
      </c>
      <c r="Z166" s="349" t="s">
        <v>240</v>
      </c>
      <c r="AA166" s="297">
        <f>[1]Resourcing!QD170</f>
        <v>54.06</v>
      </c>
      <c r="AB166" s="298">
        <f t="shared" si="153"/>
        <v>40</v>
      </c>
      <c r="AC166" s="299"/>
      <c r="AD166" s="299"/>
      <c r="AE166" s="299"/>
      <c r="AF166" s="299"/>
      <c r="AG166" s="299"/>
      <c r="AH166" s="299"/>
      <c r="AI166" s="299"/>
      <c r="AJ166" s="299"/>
      <c r="AK166" s="299"/>
      <c r="AL166" s="299"/>
      <c r="AM166" s="299"/>
      <c r="AN166" s="299"/>
      <c r="AO166" s="299"/>
      <c r="AP166" s="299"/>
      <c r="AQ166" s="299"/>
      <c r="AR166" s="299"/>
      <c r="AS166" s="299"/>
      <c r="AT166" s="299"/>
      <c r="AU166" s="299"/>
      <c r="AV166" s="299"/>
      <c r="AW166" s="299"/>
      <c r="AX166" s="299"/>
      <c r="AY166" s="299"/>
      <c r="AZ166" s="299"/>
      <c r="BA166" s="299"/>
      <c r="BB166" s="299"/>
      <c r="BC166" s="299"/>
      <c r="BD166" s="299"/>
      <c r="BE166" s="299"/>
      <c r="BF166" s="299"/>
      <c r="BG166" s="299"/>
      <c r="BH166" s="299"/>
      <c r="BI166" s="299"/>
      <c r="BJ166" s="299"/>
      <c r="BK166" s="299"/>
      <c r="BL166" s="299"/>
      <c r="BM166" s="299"/>
      <c r="BN166" s="299"/>
      <c r="BO166" s="299"/>
      <c r="BP166" s="299"/>
      <c r="BQ166" s="299"/>
      <c r="BR166" s="299"/>
      <c r="BS166" s="299"/>
      <c r="BT166" s="299"/>
      <c r="BU166" s="299"/>
      <c r="BV166" s="299"/>
      <c r="BW166" s="299"/>
      <c r="BX166" s="299"/>
      <c r="BY166" s="299"/>
      <c r="BZ166" s="299"/>
      <c r="CA166" s="299"/>
      <c r="CB166" s="299"/>
      <c r="CC166" s="299"/>
      <c r="CD166" s="299"/>
      <c r="CE166" s="299"/>
      <c r="CF166" s="299"/>
      <c r="CG166" s="299"/>
      <c r="CH166" s="299"/>
      <c r="CI166" s="299"/>
      <c r="CJ166" s="299"/>
      <c r="CK166" s="299"/>
      <c r="CL166" s="299"/>
      <c r="CM166" s="299"/>
      <c r="CN166" s="299"/>
      <c r="CO166" s="299"/>
      <c r="CP166" s="299"/>
      <c r="CQ166" s="299"/>
      <c r="CR166" s="299"/>
      <c r="CS166" s="299"/>
      <c r="CT166" s="299"/>
      <c r="CU166" s="299"/>
      <c r="CV166" s="299"/>
      <c r="CW166" s="299"/>
      <c r="CX166" s="299"/>
      <c r="CY166" s="299"/>
      <c r="CZ166" s="299"/>
      <c r="DA166" s="299"/>
      <c r="DB166" s="299">
        <v>45</v>
      </c>
      <c r="DC166" s="299">
        <v>45</v>
      </c>
      <c r="DD166" s="299">
        <v>45</v>
      </c>
      <c r="DE166" s="299">
        <v>45</v>
      </c>
      <c r="DF166" s="299">
        <v>45</v>
      </c>
      <c r="DG166" s="299">
        <v>45</v>
      </c>
      <c r="DH166" s="299">
        <v>45</v>
      </c>
      <c r="DI166" s="299">
        <v>45</v>
      </c>
      <c r="DJ166" s="299">
        <v>45</v>
      </c>
      <c r="DK166" s="299">
        <v>45</v>
      </c>
      <c r="DL166" s="299">
        <v>45</v>
      </c>
      <c r="DM166" s="299">
        <v>45</v>
      </c>
      <c r="DN166" s="299">
        <v>45</v>
      </c>
      <c r="DO166" s="299">
        <v>45</v>
      </c>
      <c r="DP166" s="299">
        <v>45</v>
      </c>
      <c r="DQ166" s="299">
        <v>45</v>
      </c>
      <c r="DR166" s="299"/>
      <c r="DS166" s="299"/>
      <c r="DT166" s="299"/>
      <c r="DU166" s="299"/>
      <c r="DV166" s="299"/>
      <c r="DW166" s="299"/>
      <c r="DX166" s="299"/>
      <c r="DY166" s="299"/>
      <c r="DZ166" s="299"/>
      <c r="EA166" s="299"/>
      <c r="EB166" s="299"/>
      <c r="EC166" s="299"/>
      <c r="ED166" s="299"/>
      <c r="EE166" s="299"/>
      <c r="EF166" s="299"/>
      <c r="EG166" s="299"/>
      <c r="EH166" s="299"/>
      <c r="EI166" s="299"/>
      <c r="EJ166" s="299"/>
      <c r="EK166" s="299"/>
      <c r="EL166" s="299"/>
      <c r="EM166" s="299"/>
      <c r="EN166" s="299"/>
      <c r="EO166" s="299"/>
      <c r="EP166" s="299"/>
      <c r="EQ166" s="299"/>
      <c r="ER166" s="299"/>
      <c r="ES166" s="299"/>
      <c r="ET166" s="299"/>
      <c r="EU166" s="299"/>
      <c r="EV166" s="299"/>
      <c r="EW166" s="299"/>
      <c r="EX166" s="299"/>
      <c r="EY166" s="299"/>
      <c r="EZ166" s="299"/>
      <c r="FA166" s="299"/>
      <c r="FB166" s="299"/>
      <c r="FC166" s="299"/>
      <c r="FD166" s="299"/>
      <c r="FE166" s="299"/>
      <c r="FF166" s="299"/>
      <c r="FG166" s="299"/>
      <c r="FH166" s="299"/>
      <c r="FI166" s="299"/>
      <c r="FJ166" s="299"/>
      <c r="FK166" s="299"/>
      <c r="FL166" s="299"/>
      <c r="FM166" s="299"/>
      <c r="FN166" s="299"/>
      <c r="FO166" s="299"/>
      <c r="FP166" s="299"/>
      <c r="FQ166" s="300" t="e">
        <f t="shared" ca="1" si="143"/>
        <v>#VALUE!</v>
      </c>
      <c r="FR166" s="300" t="e">
        <f t="shared" ca="1" si="158"/>
        <v>#VALUE!</v>
      </c>
      <c r="FS166" s="300" t="e">
        <f t="shared" ca="1" si="158"/>
        <v>#VALUE!</v>
      </c>
      <c r="FT166" s="300" t="e">
        <f t="shared" ca="1" si="158"/>
        <v>#VALUE!</v>
      </c>
      <c r="FU166" s="300" t="e">
        <f t="shared" ca="1" si="158"/>
        <v>#VALUE!</v>
      </c>
      <c r="FV166" s="300" t="e">
        <f t="shared" ca="1" si="158"/>
        <v>#VALUE!</v>
      </c>
      <c r="FW166" s="300" t="e">
        <f t="shared" ca="1" si="158"/>
        <v>#VALUE!</v>
      </c>
      <c r="FX166" s="300" t="e">
        <f t="shared" ca="1" si="158"/>
        <v>#VALUE!</v>
      </c>
      <c r="FY166" s="300" t="e">
        <f t="shared" ca="1" si="158"/>
        <v>#VALUE!</v>
      </c>
      <c r="FZ166" s="300" t="e">
        <f t="shared" ca="1" si="158"/>
        <v>#VALUE!</v>
      </c>
      <c r="GA166" s="301" t="e">
        <f t="shared" ca="1" si="158"/>
        <v>#VALUE!</v>
      </c>
      <c r="GB166" s="301" t="e">
        <f t="shared" ca="1" si="159"/>
        <v>#VALUE!</v>
      </c>
      <c r="GC166" s="301" t="e">
        <f t="shared" ca="1" si="159"/>
        <v>#VALUE!</v>
      </c>
      <c r="GD166" s="301" t="e">
        <f t="shared" ca="1" si="159"/>
        <v>#VALUE!</v>
      </c>
      <c r="GE166" s="301" t="e">
        <f t="shared" ca="1" si="159"/>
        <v>#VALUE!</v>
      </c>
      <c r="GF166" s="301" t="e">
        <f t="shared" ca="1" si="159"/>
        <v>#VALUE!</v>
      </c>
      <c r="GG166" s="301" t="e">
        <f t="shared" ca="1" si="159"/>
        <v>#VALUE!</v>
      </c>
      <c r="GH166" s="301" t="e">
        <f t="shared" ca="1" si="159"/>
        <v>#VALUE!</v>
      </c>
      <c r="GI166" s="301" t="e">
        <f t="shared" ca="1" si="159"/>
        <v>#VALUE!</v>
      </c>
      <c r="GJ166" s="301" t="e">
        <f t="shared" ca="1" si="159"/>
        <v>#VALUE!</v>
      </c>
      <c r="GK166" s="301" t="e">
        <f t="shared" ca="1" si="159"/>
        <v>#VALUE!</v>
      </c>
      <c r="GL166" s="301" t="e">
        <f t="shared" ca="1" si="159"/>
        <v>#VALUE!</v>
      </c>
      <c r="GM166" s="301" t="e">
        <f t="shared" ca="1" si="159"/>
        <v>#VALUE!</v>
      </c>
      <c r="GN166" s="302" t="e">
        <f t="shared" ca="1" si="159"/>
        <v>#VALUE!</v>
      </c>
      <c r="GO166" s="302" t="e">
        <f t="shared" ca="1" si="159"/>
        <v>#VALUE!</v>
      </c>
      <c r="GP166" s="301">
        <f t="shared" ref="GP166:HE171" si="160">SUMIF($AB$8:$FO$8,GP$9,$AB166:$FO166)</f>
        <v>90</v>
      </c>
      <c r="GQ166" s="301">
        <f t="shared" si="160"/>
        <v>0</v>
      </c>
      <c r="GR166" s="301">
        <f t="shared" si="160"/>
        <v>0</v>
      </c>
      <c r="GS166" s="301">
        <f t="shared" si="160"/>
        <v>0</v>
      </c>
      <c r="GT166" s="301">
        <f t="shared" si="160"/>
        <v>0</v>
      </c>
      <c r="GU166" s="303">
        <f t="shared" si="160"/>
        <v>0</v>
      </c>
      <c r="GV166" s="302">
        <f t="shared" si="160"/>
        <v>0</v>
      </c>
      <c r="GW166" s="302">
        <f t="shared" si="160"/>
        <v>0</v>
      </c>
      <c r="GX166" s="302">
        <f t="shared" si="160"/>
        <v>0</v>
      </c>
      <c r="GY166" s="302">
        <f t="shared" si="160"/>
        <v>0</v>
      </c>
      <c r="GZ166" s="302">
        <f t="shared" si="160"/>
        <v>0</v>
      </c>
      <c r="HA166" s="302">
        <f t="shared" si="160"/>
        <v>0</v>
      </c>
      <c r="HB166" s="302">
        <f t="shared" si="160"/>
        <v>0</v>
      </c>
      <c r="HC166" s="302">
        <f t="shared" si="160"/>
        <v>0</v>
      </c>
      <c r="HD166" s="302">
        <f t="shared" si="160"/>
        <v>0</v>
      </c>
      <c r="HE166" s="302">
        <f t="shared" si="160"/>
        <v>0</v>
      </c>
      <c r="HF166" s="304"/>
      <c r="HG166" s="305"/>
    </row>
    <row r="167" spans="1:215" s="306" customFormat="1" ht="15" customHeight="1">
      <c r="A167" s="291"/>
      <c r="B167" s="292" t="s">
        <v>348</v>
      </c>
      <c r="C167" s="292" t="s">
        <v>117</v>
      </c>
      <c r="D167" s="292" t="s">
        <v>227</v>
      </c>
      <c r="E167" s="292" t="s">
        <v>508</v>
      </c>
      <c r="F167" s="292" t="s">
        <v>184</v>
      </c>
      <c r="G167" s="292" t="s">
        <v>350</v>
      </c>
      <c r="H167" s="292" t="s">
        <v>492</v>
      </c>
      <c r="I167" s="292" t="s">
        <v>493</v>
      </c>
      <c r="J167" s="292" t="s">
        <v>184</v>
      </c>
      <c r="K167" s="292" t="s">
        <v>475</v>
      </c>
      <c r="L167" s="292" t="s">
        <v>494</v>
      </c>
      <c r="M167" s="292" t="s">
        <v>363</v>
      </c>
      <c r="N167" s="292" t="str">
        <f t="shared" si="146"/>
        <v>OCM-Training</v>
      </c>
      <c r="O167" s="292" t="str">
        <f t="shared" si="147"/>
        <v>Change Manager-Junior-India-Technology</v>
      </c>
      <c r="P167" s="292" t="str">
        <f t="shared" si="148"/>
        <v>OCM - Change Manager</v>
      </c>
      <c r="Q167" s="293">
        <f t="shared" si="140"/>
        <v>0</v>
      </c>
      <c r="R167" s="294">
        <f t="shared" si="141"/>
        <v>0</v>
      </c>
      <c r="S167" s="295">
        <f t="shared" si="149"/>
        <v>0</v>
      </c>
      <c r="T167" s="295">
        <f t="shared" si="142"/>
        <v>0</v>
      </c>
      <c r="U167" s="296" t="str">
        <f t="shared" si="150"/>
        <v>Change Manager - Junior</v>
      </c>
      <c r="V167" s="295" t="str">
        <f t="shared" si="151"/>
        <v>0-3 years</v>
      </c>
      <c r="W167" s="292" t="str">
        <f t="shared" si="152"/>
        <v>Offshore</v>
      </c>
      <c r="X167" s="292" t="s">
        <v>259</v>
      </c>
      <c r="Y167" s="292" t="s">
        <v>509</v>
      </c>
      <c r="Z167" s="349" t="s">
        <v>240</v>
      </c>
      <c r="AA167" s="297">
        <f>[1]Resourcing!QD171</f>
        <v>43.46</v>
      </c>
      <c r="AB167" s="298">
        <f t="shared" si="153"/>
        <v>40</v>
      </c>
      <c r="AC167" s="299"/>
      <c r="AD167" s="299"/>
      <c r="AE167" s="299"/>
      <c r="AF167" s="299"/>
      <c r="AG167" s="299"/>
      <c r="AH167" s="299"/>
      <c r="AI167" s="299"/>
      <c r="AJ167" s="299"/>
      <c r="AK167" s="299"/>
      <c r="AL167" s="299"/>
      <c r="AM167" s="299"/>
      <c r="AN167" s="299"/>
      <c r="AO167" s="299"/>
      <c r="AP167" s="299"/>
      <c r="AQ167" s="299"/>
      <c r="AR167" s="299"/>
      <c r="AS167" s="299"/>
      <c r="AT167" s="299"/>
      <c r="AU167" s="299"/>
      <c r="AV167" s="299"/>
      <c r="AW167" s="299"/>
      <c r="AX167" s="299"/>
      <c r="AY167" s="299"/>
      <c r="AZ167" s="299"/>
      <c r="BA167" s="299"/>
      <c r="BB167" s="299"/>
      <c r="BC167" s="299"/>
      <c r="BD167" s="299"/>
      <c r="BE167" s="299"/>
      <c r="BF167" s="299"/>
      <c r="BG167" s="299"/>
      <c r="BH167" s="299"/>
      <c r="BI167" s="299"/>
      <c r="BJ167" s="299"/>
      <c r="BK167" s="299"/>
      <c r="BL167" s="299"/>
      <c r="BM167" s="299"/>
      <c r="BN167" s="299"/>
      <c r="BO167" s="299"/>
      <c r="BP167" s="299"/>
      <c r="BQ167" s="299"/>
      <c r="BR167" s="299"/>
      <c r="BS167" s="299"/>
      <c r="BT167" s="299"/>
      <c r="BU167" s="299"/>
      <c r="BV167" s="299"/>
      <c r="BW167" s="299"/>
      <c r="BX167" s="299"/>
      <c r="BY167" s="299"/>
      <c r="BZ167" s="299"/>
      <c r="CA167" s="299"/>
      <c r="CB167" s="299"/>
      <c r="CC167" s="299"/>
      <c r="CD167" s="299"/>
      <c r="CE167" s="299"/>
      <c r="CF167" s="299"/>
      <c r="CG167" s="299"/>
      <c r="CH167" s="299"/>
      <c r="CI167" s="299"/>
      <c r="CJ167" s="299"/>
      <c r="CK167" s="299"/>
      <c r="CL167" s="299"/>
      <c r="CM167" s="299"/>
      <c r="CN167" s="299"/>
      <c r="CO167" s="299"/>
      <c r="CP167" s="299"/>
      <c r="CQ167" s="299"/>
      <c r="CR167" s="299"/>
      <c r="CS167" s="299"/>
      <c r="CT167" s="299"/>
      <c r="CU167" s="299"/>
      <c r="CV167" s="299"/>
      <c r="CW167" s="299"/>
      <c r="CX167" s="299"/>
      <c r="CY167" s="299"/>
      <c r="CZ167" s="299"/>
      <c r="DA167" s="299"/>
      <c r="DB167" s="299"/>
      <c r="DC167" s="299"/>
      <c r="DD167" s="299"/>
      <c r="DE167" s="299"/>
      <c r="DF167" s="299"/>
      <c r="DG167" s="299"/>
      <c r="DH167" s="299"/>
      <c r="DI167" s="299"/>
      <c r="DJ167" s="299"/>
      <c r="DK167" s="299"/>
      <c r="DL167" s="299"/>
      <c r="DM167" s="299"/>
      <c r="DN167" s="299"/>
      <c r="DO167" s="299"/>
      <c r="DP167" s="299"/>
      <c r="DQ167" s="299"/>
      <c r="DR167" s="299"/>
      <c r="DS167" s="299"/>
      <c r="DT167" s="299"/>
      <c r="DU167" s="299"/>
      <c r="DV167" s="299"/>
      <c r="DW167" s="299"/>
      <c r="DX167" s="299"/>
      <c r="DY167" s="299"/>
      <c r="DZ167" s="299"/>
      <c r="EA167" s="299"/>
      <c r="EB167" s="299"/>
      <c r="EC167" s="299"/>
      <c r="ED167" s="299"/>
      <c r="EE167" s="299"/>
      <c r="EF167" s="299"/>
      <c r="EG167" s="299"/>
      <c r="EH167" s="299"/>
      <c r="EI167" s="299"/>
      <c r="EJ167" s="299"/>
      <c r="EK167" s="299"/>
      <c r="EL167" s="299"/>
      <c r="EM167" s="299"/>
      <c r="EN167" s="299"/>
      <c r="EO167" s="299"/>
      <c r="EP167" s="299"/>
      <c r="EQ167" s="299"/>
      <c r="ER167" s="299"/>
      <c r="ES167" s="299"/>
      <c r="ET167" s="299"/>
      <c r="EU167" s="299"/>
      <c r="EV167" s="299"/>
      <c r="EW167" s="299"/>
      <c r="EX167" s="299"/>
      <c r="EY167" s="299"/>
      <c r="EZ167" s="299"/>
      <c r="FA167" s="299"/>
      <c r="FB167" s="299"/>
      <c r="FC167" s="299"/>
      <c r="FD167" s="299"/>
      <c r="FE167" s="299"/>
      <c r="FF167" s="299"/>
      <c r="FG167" s="299"/>
      <c r="FH167" s="299"/>
      <c r="FI167" s="299"/>
      <c r="FJ167" s="299"/>
      <c r="FK167" s="299"/>
      <c r="FL167" s="299"/>
      <c r="FM167" s="299"/>
      <c r="FN167" s="299"/>
      <c r="FO167" s="299"/>
      <c r="FP167" s="299"/>
      <c r="FQ167" s="300" t="e">
        <f t="shared" ca="1" si="143"/>
        <v>#VALUE!</v>
      </c>
      <c r="FR167" s="300" t="e">
        <f t="shared" ca="1" si="158"/>
        <v>#VALUE!</v>
      </c>
      <c r="FS167" s="300" t="e">
        <f t="shared" ca="1" si="158"/>
        <v>#VALUE!</v>
      </c>
      <c r="FT167" s="300" t="e">
        <f t="shared" ca="1" si="158"/>
        <v>#VALUE!</v>
      </c>
      <c r="FU167" s="300" t="e">
        <f t="shared" ca="1" si="158"/>
        <v>#VALUE!</v>
      </c>
      <c r="FV167" s="300" t="e">
        <f t="shared" ca="1" si="158"/>
        <v>#VALUE!</v>
      </c>
      <c r="FW167" s="300" t="e">
        <f t="shared" ca="1" si="158"/>
        <v>#VALUE!</v>
      </c>
      <c r="FX167" s="300" t="e">
        <f t="shared" ca="1" si="158"/>
        <v>#VALUE!</v>
      </c>
      <c r="FY167" s="300" t="e">
        <f t="shared" ca="1" si="158"/>
        <v>#VALUE!</v>
      </c>
      <c r="FZ167" s="300" t="e">
        <f t="shared" ca="1" si="158"/>
        <v>#VALUE!</v>
      </c>
      <c r="GA167" s="301" t="e">
        <f t="shared" ca="1" si="158"/>
        <v>#VALUE!</v>
      </c>
      <c r="GB167" s="301" t="e">
        <f t="shared" ca="1" si="159"/>
        <v>#VALUE!</v>
      </c>
      <c r="GC167" s="301" t="e">
        <f t="shared" ca="1" si="159"/>
        <v>#VALUE!</v>
      </c>
      <c r="GD167" s="301" t="e">
        <f t="shared" ca="1" si="159"/>
        <v>#VALUE!</v>
      </c>
      <c r="GE167" s="301" t="e">
        <f t="shared" ca="1" si="159"/>
        <v>#VALUE!</v>
      </c>
      <c r="GF167" s="301" t="e">
        <f t="shared" ca="1" si="159"/>
        <v>#VALUE!</v>
      </c>
      <c r="GG167" s="301" t="e">
        <f t="shared" ca="1" si="159"/>
        <v>#VALUE!</v>
      </c>
      <c r="GH167" s="301" t="e">
        <f t="shared" ca="1" si="159"/>
        <v>#VALUE!</v>
      </c>
      <c r="GI167" s="301" t="e">
        <f t="shared" ca="1" si="159"/>
        <v>#VALUE!</v>
      </c>
      <c r="GJ167" s="301" t="e">
        <f t="shared" ca="1" si="159"/>
        <v>#VALUE!</v>
      </c>
      <c r="GK167" s="301" t="e">
        <f t="shared" ca="1" si="159"/>
        <v>#VALUE!</v>
      </c>
      <c r="GL167" s="301" t="e">
        <f t="shared" ca="1" si="159"/>
        <v>#VALUE!</v>
      </c>
      <c r="GM167" s="301" t="e">
        <f t="shared" ca="1" si="159"/>
        <v>#VALUE!</v>
      </c>
      <c r="GN167" s="302" t="e">
        <f t="shared" ca="1" si="159"/>
        <v>#VALUE!</v>
      </c>
      <c r="GO167" s="302" t="e">
        <f t="shared" ca="1" si="159"/>
        <v>#VALUE!</v>
      </c>
      <c r="GP167" s="301">
        <f t="shared" si="160"/>
        <v>0</v>
      </c>
      <c r="GQ167" s="301">
        <f t="shared" si="160"/>
        <v>0</v>
      </c>
      <c r="GR167" s="301">
        <f t="shared" si="160"/>
        <v>0</v>
      </c>
      <c r="GS167" s="301">
        <f t="shared" si="160"/>
        <v>0</v>
      </c>
      <c r="GT167" s="301">
        <f t="shared" si="160"/>
        <v>0</v>
      </c>
      <c r="GU167" s="303">
        <f t="shared" si="160"/>
        <v>0</v>
      </c>
      <c r="GV167" s="302">
        <f t="shared" si="160"/>
        <v>0</v>
      </c>
      <c r="GW167" s="302">
        <f t="shared" si="160"/>
        <v>0</v>
      </c>
      <c r="GX167" s="302">
        <f t="shared" si="160"/>
        <v>0</v>
      </c>
      <c r="GY167" s="302">
        <f t="shared" si="160"/>
        <v>0</v>
      </c>
      <c r="GZ167" s="302">
        <f t="shared" si="160"/>
        <v>0</v>
      </c>
      <c r="HA167" s="302">
        <f t="shared" si="160"/>
        <v>0</v>
      </c>
      <c r="HB167" s="302">
        <f t="shared" si="160"/>
        <v>0</v>
      </c>
      <c r="HC167" s="302">
        <f t="shared" si="160"/>
        <v>0</v>
      </c>
      <c r="HD167" s="302">
        <f t="shared" si="160"/>
        <v>0</v>
      </c>
      <c r="HE167" s="302">
        <f t="shared" si="160"/>
        <v>0</v>
      </c>
      <c r="HF167" s="304"/>
      <c r="HG167" s="305"/>
    </row>
    <row r="168" spans="1:215" s="306" customFormat="1" ht="15" customHeight="1">
      <c r="A168" s="291"/>
      <c r="B168" s="292" t="s">
        <v>348</v>
      </c>
      <c r="C168" s="292" t="s">
        <v>117</v>
      </c>
      <c r="D168" s="292" t="s">
        <v>227</v>
      </c>
      <c r="E168" s="292" t="s">
        <v>508</v>
      </c>
      <c r="F168" s="292" t="s">
        <v>184</v>
      </c>
      <c r="G168" s="292" t="s">
        <v>350</v>
      </c>
      <c r="H168" s="292" t="s">
        <v>492</v>
      </c>
      <c r="I168" s="292" t="s">
        <v>493</v>
      </c>
      <c r="J168" s="292" t="s">
        <v>184</v>
      </c>
      <c r="K168" s="292" t="s">
        <v>475</v>
      </c>
      <c r="L168" s="292" t="s">
        <v>494</v>
      </c>
      <c r="M168" s="292" t="s">
        <v>363</v>
      </c>
      <c r="N168" s="292" t="str">
        <f t="shared" si="146"/>
        <v>OCM-Training</v>
      </c>
      <c r="O168" s="292" t="str">
        <f t="shared" si="147"/>
        <v>Change Manager-Junior-India-Technology</v>
      </c>
      <c r="P168" s="292" t="str">
        <f t="shared" si="148"/>
        <v>OCM - Change Manager</v>
      </c>
      <c r="Q168" s="293">
        <f t="shared" si="140"/>
        <v>0</v>
      </c>
      <c r="R168" s="294">
        <f t="shared" si="141"/>
        <v>0</v>
      </c>
      <c r="S168" s="295">
        <f t="shared" si="149"/>
        <v>0</v>
      </c>
      <c r="T168" s="295">
        <f t="shared" si="142"/>
        <v>0</v>
      </c>
      <c r="U168" s="296" t="str">
        <f t="shared" si="150"/>
        <v>Change Manager - Junior</v>
      </c>
      <c r="V168" s="295" t="str">
        <f t="shared" si="151"/>
        <v>0-3 years</v>
      </c>
      <c r="W168" s="292" t="str">
        <f t="shared" si="152"/>
        <v>Offshore</v>
      </c>
      <c r="X168" s="292" t="s">
        <v>259</v>
      </c>
      <c r="Y168" s="292" t="s">
        <v>509</v>
      </c>
      <c r="Z168" s="349" t="s">
        <v>240</v>
      </c>
      <c r="AA168" s="297">
        <f>[1]Resourcing!QD172</f>
        <v>43.46</v>
      </c>
      <c r="AB168" s="298">
        <f t="shared" si="153"/>
        <v>40</v>
      </c>
      <c r="AC168" s="299"/>
      <c r="AD168" s="299"/>
      <c r="AE168" s="299"/>
      <c r="AF168" s="299"/>
      <c r="AG168" s="299"/>
      <c r="AH168" s="299"/>
      <c r="AI168" s="299"/>
      <c r="AJ168" s="299"/>
      <c r="AK168" s="299"/>
      <c r="AL168" s="299"/>
      <c r="AM168" s="299"/>
      <c r="AN168" s="299"/>
      <c r="AO168" s="299"/>
      <c r="AP168" s="299"/>
      <c r="AQ168" s="299"/>
      <c r="AR168" s="299"/>
      <c r="AS168" s="299"/>
      <c r="AT168" s="299"/>
      <c r="AU168" s="299"/>
      <c r="AV168" s="299"/>
      <c r="AW168" s="299"/>
      <c r="AX168" s="299"/>
      <c r="AY168" s="299"/>
      <c r="AZ168" s="299"/>
      <c r="BA168" s="299"/>
      <c r="BB168" s="299"/>
      <c r="BC168" s="299"/>
      <c r="BD168" s="299"/>
      <c r="BE168" s="299"/>
      <c r="BF168" s="299"/>
      <c r="BG168" s="299"/>
      <c r="BH168" s="299"/>
      <c r="BI168" s="299"/>
      <c r="BJ168" s="299"/>
      <c r="BK168" s="299"/>
      <c r="BL168" s="299"/>
      <c r="BM168" s="299"/>
      <c r="BN168" s="299"/>
      <c r="BO168" s="299"/>
      <c r="BP168" s="299"/>
      <c r="BQ168" s="299"/>
      <c r="BR168" s="299"/>
      <c r="BS168" s="299"/>
      <c r="BT168" s="299"/>
      <c r="BU168" s="299"/>
      <c r="BV168" s="299"/>
      <c r="BW168" s="299"/>
      <c r="BX168" s="299"/>
      <c r="BY168" s="299"/>
      <c r="BZ168" s="299"/>
      <c r="CA168" s="299"/>
      <c r="CB168" s="299"/>
      <c r="CC168" s="299"/>
      <c r="CD168" s="299"/>
      <c r="CE168" s="299"/>
      <c r="CF168" s="299"/>
      <c r="CG168" s="299"/>
      <c r="CH168" s="299"/>
      <c r="CI168" s="299"/>
      <c r="CJ168" s="299"/>
      <c r="CK168" s="299"/>
      <c r="CL168" s="299"/>
      <c r="CM168" s="299"/>
      <c r="CN168" s="299"/>
      <c r="CO168" s="299"/>
      <c r="CP168" s="299"/>
      <c r="CQ168" s="299"/>
      <c r="CR168" s="299"/>
      <c r="CS168" s="299"/>
      <c r="CT168" s="299"/>
      <c r="CU168" s="299"/>
      <c r="CV168" s="299"/>
      <c r="CW168" s="299"/>
      <c r="CX168" s="299"/>
      <c r="CY168" s="299"/>
      <c r="CZ168" s="299"/>
      <c r="DA168" s="299"/>
      <c r="DB168" s="299"/>
      <c r="DC168" s="299"/>
      <c r="DD168" s="299"/>
      <c r="DE168" s="299"/>
      <c r="DF168" s="299"/>
      <c r="DG168" s="299"/>
      <c r="DH168" s="299"/>
      <c r="DI168" s="299"/>
      <c r="DJ168" s="299"/>
      <c r="DK168" s="299"/>
      <c r="DL168" s="299"/>
      <c r="DM168" s="299"/>
      <c r="DN168" s="299"/>
      <c r="DO168" s="299"/>
      <c r="DP168" s="299"/>
      <c r="DQ168" s="299"/>
      <c r="DR168" s="299"/>
      <c r="DS168" s="299"/>
      <c r="DT168" s="299"/>
      <c r="DU168" s="299"/>
      <c r="DV168" s="299"/>
      <c r="DW168" s="299"/>
      <c r="DX168" s="299"/>
      <c r="DY168" s="299"/>
      <c r="DZ168" s="299"/>
      <c r="EA168" s="299"/>
      <c r="EB168" s="299"/>
      <c r="EC168" s="299"/>
      <c r="ED168" s="299"/>
      <c r="EE168" s="299"/>
      <c r="EF168" s="299"/>
      <c r="EG168" s="299"/>
      <c r="EH168" s="299"/>
      <c r="EI168" s="299"/>
      <c r="EJ168" s="299"/>
      <c r="EK168" s="299"/>
      <c r="EL168" s="299"/>
      <c r="EM168" s="299"/>
      <c r="EN168" s="299"/>
      <c r="EO168" s="299"/>
      <c r="EP168" s="299"/>
      <c r="EQ168" s="299"/>
      <c r="ER168" s="299"/>
      <c r="ES168" s="299"/>
      <c r="ET168" s="299"/>
      <c r="EU168" s="299"/>
      <c r="EV168" s="299"/>
      <c r="EW168" s="299"/>
      <c r="EX168" s="299"/>
      <c r="EY168" s="299"/>
      <c r="EZ168" s="299"/>
      <c r="FA168" s="299"/>
      <c r="FB168" s="299"/>
      <c r="FC168" s="299"/>
      <c r="FD168" s="299"/>
      <c r="FE168" s="299"/>
      <c r="FF168" s="299"/>
      <c r="FG168" s="299"/>
      <c r="FH168" s="299"/>
      <c r="FI168" s="299"/>
      <c r="FJ168" s="299"/>
      <c r="FK168" s="299"/>
      <c r="FL168" s="299"/>
      <c r="FM168" s="299"/>
      <c r="FN168" s="299"/>
      <c r="FO168" s="299"/>
      <c r="FP168" s="299"/>
      <c r="FQ168" s="300" t="e">
        <f t="shared" ca="1" si="143"/>
        <v>#VALUE!</v>
      </c>
      <c r="FR168" s="300" t="e">
        <f t="shared" ca="1" si="158"/>
        <v>#VALUE!</v>
      </c>
      <c r="FS168" s="300" t="e">
        <f t="shared" ca="1" si="158"/>
        <v>#VALUE!</v>
      </c>
      <c r="FT168" s="300" t="e">
        <f t="shared" ca="1" si="158"/>
        <v>#VALUE!</v>
      </c>
      <c r="FU168" s="300" t="e">
        <f t="shared" ca="1" si="158"/>
        <v>#VALUE!</v>
      </c>
      <c r="FV168" s="300" t="e">
        <f t="shared" ca="1" si="158"/>
        <v>#VALUE!</v>
      </c>
      <c r="FW168" s="300" t="e">
        <f t="shared" ca="1" si="158"/>
        <v>#VALUE!</v>
      </c>
      <c r="FX168" s="300" t="e">
        <f t="shared" ca="1" si="158"/>
        <v>#VALUE!</v>
      </c>
      <c r="FY168" s="300" t="e">
        <f t="shared" ca="1" si="158"/>
        <v>#VALUE!</v>
      </c>
      <c r="FZ168" s="300" t="e">
        <f t="shared" ca="1" si="158"/>
        <v>#VALUE!</v>
      </c>
      <c r="GA168" s="301" t="e">
        <f t="shared" ca="1" si="158"/>
        <v>#VALUE!</v>
      </c>
      <c r="GB168" s="301" t="e">
        <f t="shared" ca="1" si="159"/>
        <v>#VALUE!</v>
      </c>
      <c r="GC168" s="301" t="e">
        <f t="shared" ca="1" si="159"/>
        <v>#VALUE!</v>
      </c>
      <c r="GD168" s="301" t="e">
        <f t="shared" ca="1" si="159"/>
        <v>#VALUE!</v>
      </c>
      <c r="GE168" s="301" t="e">
        <f t="shared" ca="1" si="159"/>
        <v>#VALUE!</v>
      </c>
      <c r="GF168" s="301" t="e">
        <f t="shared" ca="1" si="159"/>
        <v>#VALUE!</v>
      </c>
      <c r="GG168" s="301" t="e">
        <f t="shared" ca="1" si="159"/>
        <v>#VALUE!</v>
      </c>
      <c r="GH168" s="301" t="e">
        <f t="shared" ca="1" si="159"/>
        <v>#VALUE!</v>
      </c>
      <c r="GI168" s="301" t="e">
        <f t="shared" ca="1" si="159"/>
        <v>#VALUE!</v>
      </c>
      <c r="GJ168" s="301" t="e">
        <f t="shared" ca="1" si="159"/>
        <v>#VALUE!</v>
      </c>
      <c r="GK168" s="301" t="e">
        <f t="shared" ca="1" si="159"/>
        <v>#VALUE!</v>
      </c>
      <c r="GL168" s="301" t="e">
        <f t="shared" ca="1" si="159"/>
        <v>#VALUE!</v>
      </c>
      <c r="GM168" s="301" t="e">
        <f t="shared" ca="1" si="159"/>
        <v>#VALUE!</v>
      </c>
      <c r="GN168" s="302" t="e">
        <f t="shared" ca="1" si="159"/>
        <v>#VALUE!</v>
      </c>
      <c r="GO168" s="302" t="e">
        <f t="shared" ca="1" si="159"/>
        <v>#VALUE!</v>
      </c>
      <c r="GP168" s="301">
        <f t="shared" si="160"/>
        <v>0</v>
      </c>
      <c r="GQ168" s="301">
        <f t="shared" si="160"/>
        <v>0</v>
      </c>
      <c r="GR168" s="301">
        <f t="shared" si="160"/>
        <v>0</v>
      </c>
      <c r="GS168" s="301">
        <f t="shared" si="160"/>
        <v>0</v>
      </c>
      <c r="GT168" s="301">
        <f t="shared" si="160"/>
        <v>0</v>
      </c>
      <c r="GU168" s="303">
        <f t="shared" si="160"/>
        <v>0</v>
      </c>
      <c r="GV168" s="302">
        <f t="shared" si="160"/>
        <v>0</v>
      </c>
      <c r="GW168" s="302">
        <f t="shared" si="160"/>
        <v>0</v>
      </c>
      <c r="GX168" s="302">
        <f t="shared" si="160"/>
        <v>0</v>
      </c>
      <c r="GY168" s="302">
        <f t="shared" si="160"/>
        <v>0</v>
      </c>
      <c r="GZ168" s="302">
        <f t="shared" si="160"/>
        <v>0</v>
      </c>
      <c r="HA168" s="302">
        <f t="shared" si="160"/>
        <v>0</v>
      </c>
      <c r="HB168" s="302">
        <f t="shared" si="160"/>
        <v>0</v>
      </c>
      <c r="HC168" s="302">
        <f t="shared" si="160"/>
        <v>0</v>
      </c>
      <c r="HD168" s="302">
        <f t="shared" si="160"/>
        <v>0</v>
      </c>
      <c r="HE168" s="302">
        <f t="shared" si="160"/>
        <v>0</v>
      </c>
      <c r="HF168" s="304"/>
      <c r="HG168" s="305"/>
    </row>
    <row r="169" spans="1:215" s="306" customFormat="1" ht="15" customHeight="1">
      <c r="A169" s="291"/>
      <c r="B169" s="292" t="s">
        <v>348</v>
      </c>
      <c r="C169" s="292" t="s">
        <v>117</v>
      </c>
      <c r="D169" s="292" t="s">
        <v>227</v>
      </c>
      <c r="E169" s="292" t="s">
        <v>508</v>
      </c>
      <c r="F169" s="292" t="s">
        <v>184</v>
      </c>
      <c r="G169" s="292" t="s">
        <v>350</v>
      </c>
      <c r="H169" s="292" t="s">
        <v>492</v>
      </c>
      <c r="I169" s="292" t="s">
        <v>493</v>
      </c>
      <c r="J169" s="292" t="s">
        <v>184</v>
      </c>
      <c r="K169" s="292" t="s">
        <v>475</v>
      </c>
      <c r="L169" s="292" t="s">
        <v>494</v>
      </c>
      <c r="M169" s="292" t="s">
        <v>363</v>
      </c>
      <c r="N169" s="292" t="str">
        <f t="shared" si="146"/>
        <v>OCM-Training</v>
      </c>
      <c r="O169" s="292" t="str">
        <f t="shared" si="147"/>
        <v>Change Manager-Junior-India-Technology</v>
      </c>
      <c r="P169" s="292" t="str">
        <f t="shared" si="148"/>
        <v>OCM - Change Manager</v>
      </c>
      <c r="Q169" s="293">
        <f t="shared" si="140"/>
        <v>0</v>
      </c>
      <c r="R169" s="294">
        <f t="shared" si="141"/>
        <v>0</v>
      </c>
      <c r="S169" s="295">
        <f t="shared" si="149"/>
        <v>0</v>
      </c>
      <c r="T169" s="295">
        <f t="shared" si="142"/>
        <v>0</v>
      </c>
      <c r="U169" s="296" t="str">
        <f t="shared" si="150"/>
        <v>Change Manager - Junior</v>
      </c>
      <c r="V169" s="295" t="str">
        <f t="shared" si="151"/>
        <v>0-3 years</v>
      </c>
      <c r="W169" s="292" t="str">
        <f t="shared" si="152"/>
        <v>Offshore</v>
      </c>
      <c r="X169" s="292" t="s">
        <v>259</v>
      </c>
      <c r="Y169" s="292" t="s">
        <v>509</v>
      </c>
      <c r="Z169" s="349" t="s">
        <v>240</v>
      </c>
      <c r="AA169" s="297">
        <f>[1]Resourcing!QD173</f>
        <v>43.46</v>
      </c>
      <c r="AB169" s="298">
        <f t="shared" si="153"/>
        <v>40</v>
      </c>
      <c r="AC169" s="299"/>
      <c r="AD169" s="299"/>
      <c r="AE169" s="299"/>
      <c r="AF169" s="299"/>
      <c r="AG169" s="299"/>
      <c r="AH169" s="299"/>
      <c r="AI169" s="299"/>
      <c r="AJ169" s="299"/>
      <c r="AK169" s="299"/>
      <c r="AL169" s="299"/>
      <c r="AM169" s="299"/>
      <c r="AN169" s="299"/>
      <c r="AO169" s="299"/>
      <c r="AP169" s="299"/>
      <c r="AQ169" s="299"/>
      <c r="AR169" s="299"/>
      <c r="AS169" s="299"/>
      <c r="AT169" s="299"/>
      <c r="AU169" s="299"/>
      <c r="AV169" s="299"/>
      <c r="AW169" s="299"/>
      <c r="AX169" s="299"/>
      <c r="AY169" s="299"/>
      <c r="AZ169" s="299"/>
      <c r="BA169" s="299"/>
      <c r="BB169" s="299"/>
      <c r="BC169" s="299"/>
      <c r="BD169" s="299"/>
      <c r="BE169" s="299"/>
      <c r="BF169" s="299"/>
      <c r="BG169" s="299"/>
      <c r="BH169" s="299"/>
      <c r="BI169" s="299"/>
      <c r="BJ169" s="299"/>
      <c r="BK169" s="299"/>
      <c r="BL169" s="299"/>
      <c r="BM169" s="299"/>
      <c r="BN169" s="299"/>
      <c r="BO169" s="299"/>
      <c r="BP169" s="299"/>
      <c r="BQ169" s="299"/>
      <c r="BR169" s="299"/>
      <c r="BS169" s="299"/>
      <c r="BT169" s="299"/>
      <c r="BU169" s="299"/>
      <c r="BV169" s="299"/>
      <c r="BW169" s="299"/>
      <c r="BX169" s="299"/>
      <c r="BY169" s="299"/>
      <c r="BZ169" s="299"/>
      <c r="CA169" s="299"/>
      <c r="CB169" s="299"/>
      <c r="CC169" s="299"/>
      <c r="CD169" s="299"/>
      <c r="CE169" s="299"/>
      <c r="CF169" s="299"/>
      <c r="CG169" s="299"/>
      <c r="CH169" s="299"/>
      <c r="CI169" s="299"/>
      <c r="CJ169" s="299"/>
      <c r="CK169" s="299"/>
      <c r="CL169" s="299"/>
      <c r="CM169" s="299"/>
      <c r="CN169" s="299"/>
      <c r="CO169" s="299"/>
      <c r="CP169" s="299"/>
      <c r="CQ169" s="299"/>
      <c r="CR169" s="299"/>
      <c r="CS169" s="299"/>
      <c r="CT169" s="299"/>
      <c r="CU169" s="299"/>
      <c r="CV169" s="299"/>
      <c r="CW169" s="299"/>
      <c r="CX169" s="299"/>
      <c r="CY169" s="299"/>
      <c r="CZ169" s="299"/>
      <c r="DA169" s="299"/>
      <c r="DB169" s="299"/>
      <c r="DC169" s="299"/>
      <c r="DD169" s="299"/>
      <c r="DE169" s="299"/>
      <c r="DF169" s="299"/>
      <c r="DG169" s="299"/>
      <c r="DH169" s="299"/>
      <c r="DI169" s="299"/>
      <c r="DJ169" s="299"/>
      <c r="DK169" s="299"/>
      <c r="DL169" s="299"/>
      <c r="DM169" s="299"/>
      <c r="DN169" s="299"/>
      <c r="DO169" s="299"/>
      <c r="DP169" s="299"/>
      <c r="DQ169" s="299"/>
      <c r="DR169" s="299"/>
      <c r="DS169" s="299"/>
      <c r="DT169" s="299"/>
      <c r="DU169" s="299"/>
      <c r="DV169" s="299"/>
      <c r="DW169" s="299"/>
      <c r="DX169" s="299"/>
      <c r="DY169" s="299"/>
      <c r="DZ169" s="299"/>
      <c r="EA169" s="299"/>
      <c r="EB169" s="299"/>
      <c r="EC169" s="299"/>
      <c r="ED169" s="299"/>
      <c r="EE169" s="299"/>
      <c r="EF169" s="299"/>
      <c r="EG169" s="299"/>
      <c r="EH169" s="299"/>
      <c r="EI169" s="299"/>
      <c r="EJ169" s="299"/>
      <c r="EK169" s="299"/>
      <c r="EL169" s="299"/>
      <c r="EM169" s="299"/>
      <c r="EN169" s="299"/>
      <c r="EO169" s="299"/>
      <c r="EP169" s="299"/>
      <c r="EQ169" s="299"/>
      <c r="ER169" s="299"/>
      <c r="ES169" s="299"/>
      <c r="ET169" s="299"/>
      <c r="EU169" s="299"/>
      <c r="EV169" s="299"/>
      <c r="EW169" s="299"/>
      <c r="EX169" s="299"/>
      <c r="EY169" s="299"/>
      <c r="EZ169" s="299"/>
      <c r="FA169" s="299"/>
      <c r="FB169" s="299"/>
      <c r="FC169" s="299"/>
      <c r="FD169" s="299"/>
      <c r="FE169" s="299"/>
      <c r="FF169" s="299"/>
      <c r="FG169" s="299"/>
      <c r="FH169" s="299"/>
      <c r="FI169" s="299"/>
      <c r="FJ169" s="299"/>
      <c r="FK169" s="299"/>
      <c r="FL169" s="299"/>
      <c r="FM169" s="299"/>
      <c r="FN169" s="299"/>
      <c r="FO169" s="299"/>
      <c r="FP169" s="299"/>
      <c r="FQ169" s="300" t="e">
        <f t="shared" ca="1" si="143"/>
        <v>#VALUE!</v>
      </c>
      <c r="FR169" s="300" t="e">
        <f t="shared" ca="1" si="158"/>
        <v>#VALUE!</v>
      </c>
      <c r="FS169" s="300" t="e">
        <f t="shared" ca="1" si="158"/>
        <v>#VALUE!</v>
      </c>
      <c r="FT169" s="300" t="e">
        <f t="shared" ca="1" si="158"/>
        <v>#VALUE!</v>
      </c>
      <c r="FU169" s="300" t="e">
        <f t="shared" ca="1" si="158"/>
        <v>#VALUE!</v>
      </c>
      <c r="FV169" s="300" t="e">
        <f t="shared" ca="1" si="158"/>
        <v>#VALUE!</v>
      </c>
      <c r="FW169" s="300" t="e">
        <f t="shared" ca="1" si="158"/>
        <v>#VALUE!</v>
      </c>
      <c r="FX169" s="300" t="e">
        <f t="shared" ca="1" si="158"/>
        <v>#VALUE!</v>
      </c>
      <c r="FY169" s="300" t="e">
        <f t="shared" ca="1" si="158"/>
        <v>#VALUE!</v>
      </c>
      <c r="FZ169" s="300" t="e">
        <f t="shared" ca="1" si="158"/>
        <v>#VALUE!</v>
      </c>
      <c r="GA169" s="301" t="e">
        <f t="shared" ca="1" si="158"/>
        <v>#VALUE!</v>
      </c>
      <c r="GB169" s="301" t="e">
        <f t="shared" ca="1" si="159"/>
        <v>#VALUE!</v>
      </c>
      <c r="GC169" s="301" t="e">
        <f t="shared" ca="1" si="159"/>
        <v>#VALUE!</v>
      </c>
      <c r="GD169" s="301" t="e">
        <f t="shared" ca="1" si="159"/>
        <v>#VALUE!</v>
      </c>
      <c r="GE169" s="301" t="e">
        <f t="shared" ca="1" si="159"/>
        <v>#VALUE!</v>
      </c>
      <c r="GF169" s="301" t="e">
        <f t="shared" ca="1" si="159"/>
        <v>#VALUE!</v>
      </c>
      <c r="GG169" s="301" t="e">
        <f t="shared" ca="1" si="159"/>
        <v>#VALUE!</v>
      </c>
      <c r="GH169" s="301" t="e">
        <f t="shared" ca="1" si="159"/>
        <v>#VALUE!</v>
      </c>
      <c r="GI169" s="301" t="e">
        <f t="shared" ca="1" si="159"/>
        <v>#VALUE!</v>
      </c>
      <c r="GJ169" s="301" t="e">
        <f t="shared" ca="1" si="159"/>
        <v>#VALUE!</v>
      </c>
      <c r="GK169" s="301" t="e">
        <f t="shared" ca="1" si="159"/>
        <v>#VALUE!</v>
      </c>
      <c r="GL169" s="301" t="e">
        <f t="shared" ca="1" si="159"/>
        <v>#VALUE!</v>
      </c>
      <c r="GM169" s="301" t="e">
        <f t="shared" ca="1" si="159"/>
        <v>#VALUE!</v>
      </c>
      <c r="GN169" s="302" t="e">
        <f t="shared" ca="1" si="159"/>
        <v>#VALUE!</v>
      </c>
      <c r="GO169" s="302" t="e">
        <f t="shared" ca="1" si="159"/>
        <v>#VALUE!</v>
      </c>
      <c r="GP169" s="301">
        <f t="shared" si="160"/>
        <v>0</v>
      </c>
      <c r="GQ169" s="301">
        <f t="shared" si="160"/>
        <v>0</v>
      </c>
      <c r="GR169" s="301">
        <f t="shared" si="160"/>
        <v>0</v>
      </c>
      <c r="GS169" s="301">
        <f t="shared" si="160"/>
        <v>0</v>
      </c>
      <c r="GT169" s="301">
        <f t="shared" si="160"/>
        <v>0</v>
      </c>
      <c r="GU169" s="303">
        <f t="shared" si="160"/>
        <v>0</v>
      </c>
      <c r="GV169" s="302">
        <f t="shared" si="160"/>
        <v>0</v>
      </c>
      <c r="GW169" s="302">
        <f t="shared" si="160"/>
        <v>0</v>
      </c>
      <c r="GX169" s="302">
        <f t="shared" si="160"/>
        <v>0</v>
      </c>
      <c r="GY169" s="302">
        <f t="shared" si="160"/>
        <v>0</v>
      </c>
      <c r="GZ169" s="302">
        <f t="shared" si="160"/>
        <v>0</v>
      </c>
      <c r="HA169" s="302">
        <f t="shared" si="160"/>
        <v>0</v>
      </c>
      <c r="HB169" s="302">
        <f t="shared" si="160"/>
        <v>0</v>
      </c>
      <c r="HC169" s="302">
        <f t="shared" si="160"/>
        <v>0</v>
      </c>
      <c r="HD169" s="302">
        <f t="shared" si="160"/>
        <v>0</v>
      </c>
      <c r="HE169" s="302">
        <f t="shared" si="160"/>
        <v>0</v>
      </c>
      <c r="HF169" s="304"/>
      <c r="HG169" s="305"/>
    </row>
    <row r="170" spans="1:215" s="306" customFormat="1" ht="15" customHeight="1">
      <c r="A170" s="291"/>
      <c r="B170" s="292"/>
      <c r="C170" s="292"/>
      <c r="D170" s="292"/>
      <c r="E170" s="292"/>
      <c r="F170" s="292"/>
      <c r="G170" s="292"/>
      <c r="H170" s="292"/>
      <c r="I170" s="292"/>
      <c r="J170" s="292"/>
      <c r="K170" s="292"/>
      <c r="L170" s="292"/>
      <c r="M170" s="292"/>
      <c r="N170" s="292"/>
      <c r="O170" s="292"/>
      <c r="P170" s="292"/>
      <c r="Q170" s="293">
        <f t="shared" si="140"/>
        <v>0</v>
      </c>
      <c r="R170" s="294">
        <f t="shared" si="141"/>
        <v>0</v>
      </c>
      <c r="S170" s="295"/>
      <c r="T170" s="295">
        <f t="shared" ref="T170:T182" si="161">SUM(AZ170:EZ170)</f>
        <v>0</v>
      </c>
      <c r="U170" s="296">
        <f>V170*AB170</f>
        <v>0</v>
      </c>
      <c r="V170" s="295">
        <f>SUM(GP170:HN170)</f>
        <v>0</v>
      </c>
      <c r="W170" s="292" t="str">
        <f>_xlfn.CONCAT(Y170,"-",Z170,"-",F170,"-",X170)</f>
        <v>---</v>
      </c>
      <c r="X170" s="292"/>
      <c r="Y170" s="292"/>
      <c r="Z170" s="349"/>
      <c r="AA170" s="297">
        <f>[1]Resourcing!QD174</f>
        <v>0</v>
      </c>
      <c r="AB170" s="298"/>
      <c r="AC170" s="299"/>
      <c r="AD170" s="299"/>
      <c r="AE170" s="299"/>
      <c r="AF170" s="299"/>
      <c r="AG170" s="299"/>
      <c r="AH170" s="299"/>
      <c r="AI170" s="299"/>
      <c r="AJ170" s="299"/>
      <c r="AK170" s="299"/>
      <c r="AL170" s="299"/>
      <c r="AM170" s="299"/>
      <c r="AN170" s="299"/>
      <c r="AO170" s="299"/>
      <c r="AP170" s="299"/>
      <c r="AQ170" s="299"/>
      <c r="AR170" s="299"/>
      <c r="AS170" s="299"/>
      <c r="AT170" s="299"/>
      <c r="AU170" s="299"/>
      <c r="AV170" s="299"/>
      <c r="AW170" s="299"/>
      <c r="AX170" s="299"/>
      <c r="AY170" s="299"/>
      <c r="AZ170" s="299"/>
      <c r="BA170" s="299"/>
      <c r="BB170" s="299"/>
      <c r="BC170" s="299"/>
      <c r="BD170" s="299"/>
      <c r="BE170" s="299"/>
      <c r="BF170" s="299"/>
      <c r="BG170" s="299"/>
      <c r="BH170" s="299"/>
      <c r="BI170" s="299"/>
      <c r="BJ170" s="299"/>
      <c r="BK170" s="299"/>
      <c r="BL170" s="299"/>
      <c r="BM170" s="299"/>
      <c r="BN170" s="299"/>
      <c r="BO170" s="299"/>
      <c r="BP170" s="299"/>
      <c r="BQ170" s="299"/>
      <c r="BR170" s="299"/>
      <c r="BS170" s="299"/>
      <c r="BT170" s="299"/>
      <c r="BU170" s="299"/>
      <c r="BV170" s="299"/>
      <c r="BW170" s="299"/>
      <c r="BX170" s="299"/>
      <c r="BY170" s="299"/>
      <c r="BZ170" s="299"/>
      <c r="CA170" s="299"/>
      <c r="CB170" s="299"/>
      <c r="CC170" s="299"/>
      <c r="CD170" s="299"/>
      <c r="CE170" s="299"/>
      <c r="CF170" s="299"/>
      <c r="CG170" s="299"/>
      <c r="CH170" s="299"/>
      <c r="CI170" s="299"/>
      <c r="CJ170" s="299"/>
      <c r="CK170" s="299"/>
      <c r="CL170" s="299"/>
      <c r="CM170" s="299"/>
      <c r="CN170" s="299"/>
      <c r="CO170" s="299"/>
      <c r="CP170" s="299"/>
      <c r="CQ170" s="299"/>
      <c r="CR170" s="299"/>
      <c r="CS170" s="299"/>
      <c r="CT170" s="299"/>
      <c r="CU170" s="299"/>
      <c r="CV170" s="299"/>
      <c r="CW170" s="299"/>
      <c r="CX170" s="299"/>
      <c r="CY170" s="299"/>
      <c r="CZ170" s="299"/>
      <c r="DA170" s="299"/>
      <c r="DB170" s="299"/>
      <c r="DC170" s="299"/>
      <c r="DD170" s="299"/>
      <c r="DE170" s="299"/>
      <c r="DF170" s="299"/>
      <c r="DG170" s="299"/>
      <c r="DH170" s="299"/>
      <c r="DI170" s="299"/>
      <c r="DJ170" s="299"/>
      <c r="DK170" s="299"/>
      <c r="DL170" s="299"/>
      <c r="DM170" s="299"/>
      <c r="DN170" s="299"/>
      <c r="DO170" s="299"/>
      <c r="DP170" s="299"/>
      <c r="DQ170" s="299"/>
      <c r="DR170" s="299"/>
      <c r="DS170" s="299"/>
      <c r="DT170" s="299"/>
      <c r="DU170" s="299"/>
      <c r="DV170" s="299"/>
      <c r="DW170" s="299"/>
      <c r="DX170" s="299"/>
      <c r="DY170" s="299"/>
      <c r="DZ170" s="299"/>
      <c r="EA170" s="299"/>
      <c r="EB170" s="299"/>
      <c r="EC170" s="299"/>
      <c r="ED170" s="299"/>
      <c r="EE170" s="299"/>
      <c r="EF170" s="299"/>
      <c r="EG170" s="299"/>
      <c r="EH170" s="299"/>
      <c r="EI170" s="299"/>
      <c r="EJ170" s="299"/>
      <c r="EK170" s="299"/>
      <c r="EL170" s="299"/>
      <c r="EM170" s="299"/>
      <c r="EN170" s="299"/>
      <c r="EO170" s="299"/>
      <c r="EP170" s="299"/>
      <c r="EQ170" s="299"/>
      <c r="ER170" s="299"/>
      <c r="ES170" s="299"/>
      <c r="ET170" s="299"/>
      <c r="EU170" s="299"/>
      <c r="EV170" s="299"/>
      <c r="EW170" s="299"/>
      <c r="EX170" s="299"/>
      <c r="EY170" s="299"/>
      <c r="EZ170" s="299"/>
      <c r="FA170" s="299"/>
      <c r="FB170" s="299"/>
      <c r="FC170" s="299"/>
      <c r="FD170" s="299"/>
      <c r="FE170" s="299"/>
      <c r="FF170" s="299"/>
      <c r="FG170" s="299"/>
      <c r="FH170" s="299"/>
      <c r="FI170" s="299"/>
      <c r="FJ170" s="299"/>
      <c r="FK170" s="299"/>
      <c r="FL170" s="299"/>
      <c r="FM170" s="299"/>
      <c r="FN170" s="299"/>
      <c r="FO170" s="299"/>
      <c r="FP170" s="299"/>
      <c r="FQ170" s="300" t="e">
        <f t="shared" ca="1" si="143"/>
        <v>#VALUE!</v>
      </c>
      <c r="FR170" s="300" t="e">
        <f t="shared" ca="1" si="158"/>
        <v>#VALUE!</v>
      </c>
      <c r="FS170" s="300" t="e">
        <f t="shared" ca="1" si="158"/>
        <v>#VALUE!</v>
      </c>
      <c r="FT170" s="300" t="e">
        <f t="shared" ca="1" si="158"/>
        <v>#VALUE!</v>
      </c>
      <c r="FU170" s="300" t="e">
        <f t="shared" ca="1" si="158"/>
        <v>#VALUE!</v>
      </c>
      <c r="FV170" s="300" t="e">
        <f t="shared" ca="1" si="158"/>
        <v>#VALUE!</v>
      </c>
      <c r="FW170" s="300" t="e">
        <f t="shared" ca="1" si="158"/>
        <v>#VALUE!</v>
      </c>
      <c r="FX170" s="300" t="e">
        <f t="shared" ca="1" si="158"/>
        <v>#VALUE!</v>
      </c>
      <c r="FY170" s="300" t="e">
        <f t="shared" ca="1" si="158"/>
        <v>#VALUE!</v>
      </c>
      <c r="FZ170" s="300" t="e">
        <f t="shared" ca="1" si="158"/>
        <v>#VALUE!</v>
      </c>
      <c r="GA170" s="301" t="e">
        <f t="shared" ca="1" si="158"/>
        <v>#VALUE!</v>
      </c>
      <c r="GB170" s="301" t="e">
        <f t="shared" ca="1" si="159"/>
        <v>#VALUE!</v>
      </c>
      <c r="GC170" s="301" t="e">
        <f t="shared" ca="1" si="159"/>
        <v>#VALUE!</v>
      </c>
      <c r="GD170" s="301" t="e">
        <f t="shared" ca="1" si="159"/>
        <v>#VALUE!</v>
      </c>
      <c r="GE170" s="301" t="e">
        <f t="shared" ca="1" si="159"/>
        <v>#VALUE!</v>
      </c>
      <c r="GF170" s="301" t="e">
        <f t="shared" ca="1" si="159"/>
        <v>#VALUE!</v>
      </c>
      <c r="GG170" s="301" t="e">
        <f t="shared" ca="1" si="159"/>
        <v>#VALUE!</v>
      </c>
      <c r="GH170" s="301" t="e">
        <f t="shared" ca="1" si="159"/>
        <v>#VALUE!</v>
      </c>
      <c r="GI170" s="301" t="e">
        <f t="shared" ca="1" si="159"/>
        <v>#VALUE!</v>
      </c>
      <c r="GJ170" s="301" t="e">
        <f t="shared" ca="1" si="159"/>
        <v>#VALUE!</v>
      </c>
      <c r="GK170" s="301" t="e">
        <f t="shared" ca="1" si="159"/>
        <v>#VALUE!</v>
      </c>
      <c r="GL170" s="301" t="e">
        <f t="shared" ca="1" si="159"/>
        <v>#VALUE!</v>
      </c>
      <c r="GM170" s="301" t="e">
        <f t="shared" ca="1" si="159"/>
        <v>#VALUE!</v>
      </c>
      <c r="GN170" s="302" t="e">
        <f t="shared" ca="1" si="159"/>
        <v>#VALUE!</v>
      </c>
      <c r="GO170" s="302" t="e">
        <f t="shared" ca="1" si="159"/>
        <v>#VALUE!</v>
      </c>
      <c r="GP170" s="301">
        <f t="shared" si="160"/>
        <v>0</v>
      </c>
      <c r="GQ170" s="301">
        <f t="shared" si="160"/>
        <v>0</v>
      </c>
      <c r="GR170" s="301">
        <f t="shared" si="160"/>
        <v>0</v>
      </c>
      <c r="GS170" s="301">
        <f t="shared" si="160"/>
        <v>0</v>
      </c>
      <c r="GT170" s="301">
        <f t="shared" si="160"/>
        <v>0</v>
      </c>
      <c r="GU170" s="303">
        <f t="shared" si="160"/>
        <v>0</v>
      </c>
      <c r="GV170" s="302">
        <f t="shared" si="160"/>
        <v>0</v>
      </c>
      <c r="GW170" s="302">
        <f t="shared" si="160"/>
        <v>0</v>
      </c>
      <c r="GX170" s="302">
        <f t="shared" si="160"/>
        <v>0</v>
      </c>
      <c r="GY170" s="302">
        <f t="shared" si="160"/>
        <v>0</v>
      </c>
      <c r="GZ170" s="302">
        <f t="shared" si="160"/>
        <v>0</v>
      </c>
      <c r="HA170" s="302">
        <f t="shared" si="160"/>
        <v>0</v>
      </c>
      <c r="HB170" s="302">
        <f t="shared" si="160"/>
        <v>0</v>
      </c>
      <c r="HC170" s="302">
        <f t="shared" si="160"/>
        <v>0</v>
      </c>
      <c r="HD170" s="302">
        <f t="shared" si="160"/>
        <v>0</v>
      </c>
      <c r="HE170" s="302">
        <f t="shared" si="160"/>
        <v>0</v>
      </c>
      <c r="HF170" s="304"/>
      <c r="HG170" s="305"/>
    </row>
    <row r="171" spans="1:215" s="306" customFormat="1" ht="15" customHeight="1">
      <c r="A171" s="291"/>
      <c r="B171" s="292" t="s">
        <v>348</v>
      </c>
      <c r="C171" s="292" t="s">
        <v>168</v>
      </c>
      <c r="D171" s="292" t="s">
        <v>168</v>
      </c>
      <c r="E171" s="292" t="s">
        <v>510</v>
      </c>
      <c r="F171" s="292" t="s">
        <v>186</v>
      </c>
      <c r="G171" s="292" t="s">
        <v>350</v>
      </c>
      <c r="H171" s="292" t="s">
        <v>511</v>
      </c>
      <c r="I171" s="292" t="s">
        <v>512</v>
      </c>
      <c r="J171" s="292" t="s">
        <v>186</v>
      </c>
      <c r="K171" s="292" t="s">
        <v>513</v>
      </c>
      <c r="L171" s="292" t="s">
        <v>514</v>
      </c>
      <c r="M171" s="292" t="s">
        <v>355</v>
      </c>
      <c r="N171" s="292" t="str">
        <f>_xlfn.CONCAT(C171,"-",D171)</f>
        <v>Validation-Validation</v>
      </c>
      <c r="O171" s="292" t="str">
        <f>_xlfn.CONCAT(Y171,"-",Z171,"-",F171,"-",X171)</f>
        <v>Validation-Partner-US-Consulting</v>
      </c>
      <c r="P171" s="292" t="str">
        <f>_xlfn.CONCAT(C171," - ",Y171)</f>
        <v>Validation - Validation</v>
      </c>
      <c r="Q171" s="293">
        <f t="shared" si="140"/>
        <v>3750</v>
      </c>
      <c r="R171" s="294">
        <f t="shared" si="141"/>
        <v>3750</v>
      </c>
      <c r="S171" s="295">
        <f>SUM(GP171:HN171)</f>
        <v>0</v>
      </c>
      <c r="T171" s="295">
        <f t="shared" si="161"/>
        <v>5</v>
      </c>
      <c r="U171" s="296" t="str">
        <f>_xlfn.CONCAT(Y171," - ",Z171)</f>
        <v>Validation - Partner</v>
      </c>
      <c r="V171" s="295" t="str">
        <f>VLOOKUP(O171,$B$187:$H$848,4,0)</f>
        <v>15+ years</v>
      </c>
      <c r="W171" s="292" t="str">
        <f>IF(F171="US", "Onshore",IF(F171="India","Offshore", "Nearshore"))</f>
        <v>Onshore</v>
      </c>
      <c r="X171" s="292" t="s">
        <v>261</v>
      </c>
      <c r="Y171" s="292" t="s">
        <v>168</v>
      </c>
      <c r="Z171" s="292" t="s">
        <v>515</v>
      </c>
      <c r="AA171" s="297">
        <f>[1]Resourcing!QD175</f>
        <v>0</v>
      </c>
      <c r="AB171" s="298">
        <f>IFERROR(VLOOKUP(O171,$B$187:$S$848,6,FALSE()),"combination not found")</f>
        <v>750</v>
      </c>
      <c r="AC171" s="299"/>
      <c r="AD171" s="299"/>
      <c r="AE171" s="299"/>
      <c r="AF171" s="299"/>
      <c r="AG171" s="299"/>
      <c r="AH171" s="299"/>
      <c r="AI171" s="299"/>
      <c r="AJ171" s="299"/>
      <c r="AK171" s="299"/>
      <c r="AL171" s="299"/>
      <c r="AM171" s="299"/>
      <c r="AN171" s="299"/>
      <c r="AO171" s="299"/>
      <c r="AP171" s="299"/>
      <c r="AQ171" s="299"/>
      <c r="AR171" s="299"/>
      <c r="AS171" s="299"/>
      <c r="AT171" s="299"/>
      <c r="AU171" s="299"/>
      <c r="AV171" s="299"/>
      <c r="AW171" s="299"/>
      <c r="AX171" s="299"/>
      <c r="AY171" s="299"/>
      <c r="AZ171" s="299"/>
      <c r="BA171" s="299"/>
      <c r="BB171" s="299"/>
      <c r="BC171" s="299"/>
      <c r="BD171" s="299"/>
      <c r="BE171" s="299"/>
      <c r="BF171" s="299"/>
      <c r="BG171" s="299">
        <v>1</v>
      </c>
      <c r="BH171" s="299">
        <v>1</v>
      </c>
      <c r="BI171" s="299">
        <v>1</v>
      </c>
      <c r="BJ171" s="299">
        <v>1</v>
      </c>
      <c r="BK171" s="299">
        <v>1</v>
      </c>
      <c r="BL171" s="299"/>
      <c r="BM171" s="299"/>
      <c r="BN171" s="299"/>
      <c r="BO171" s="299"/>
      <c r="BP171" s="299"/>
      <c r="BQ171" s="299"/>
      <c r="BR171" s="299"/>
      <c r="BS171" s="299"/>
      <c r="BT171" s="299"/>
      <c r="BU171" s="299"/>
      <c r="BV171" s="299"/>
      <c r="BW171" s="299"/>
      <c r="BX171" s="299"/>
      <c r="BY171" s="299"/>
      <c r="BZ171" s="299"/>
      <c r="CA171" s="299"/>
      <c r="CB171" s="299"/>
      <c r="CC171" s="299"/>
      <c r="CD171" s="299"/>
      <c r="CE171" s="299"/>
      <c r="CF171" s="299"/>
      <c r="CG171" s="299"/>
      <c r="CH171" s="299"/>
      <c r="CI171" s="299"/>
      <c r="CJ171" s="299"/>
      <c r="CK171" s="299"/>
      <c r="CL171" s="299"/>
      <c r="CM171" s="299"/>
      <c r="CN171" s="299"/>
      <c r="CO171" s="299"/>
      <c r="CP171" s="299"/>
      <c r="CQ171" s="299"/>
      <c r="CR171" s="299"/>
      <c r="CS171" s="299"/>
      <c r="CT171" s="299"/>
      <c r="CU171" s="299"/>
      <c r="CV171" s="299"/>
      <c r="CW171" s="299"/>
      <c r="CX171" s="299"/>
      <c r="CY171" s="299"/>
      <c r="CZ171" s="299"/>
      <c r="DA171" s="299"/>
      <c r="DB171" s="299"/>
      <c r="DC171" s="299"/>
      <c r="DD171" s="299"/>
      <c r="DE171" s="299"/>
      <c r="DF171" s="299"/>
      <c r="DG171" s="299"/>
      <c r="DH171" s="299"/>
      <c r="DI171" s="299"/>
      <c r="DJ171" s="299"/>
      <c r="DK171" s="299"/>
      <c r="DL171" s="299"/>
      <c r="DM171" s="299"/>
      <c r="DN171" s="299"/>
      <c r="DO171" s="299"/>
      <c r="DP171" s="299"/>
      <c r="DQ171" s="299"/>
      <c r="DR171" s="299"/>
      <c r="DS171" s="299"/>
      <c r="DT171" s="299"/>
      <c r="DU171" s="299"/>
      <c r="DV171" s="299"/>
      <c r="DW171" s="299"/>
      <c r="DX171" s="299"/>
      <c r="DY171" s="299"/>
      <c r="DZ171" s="299"/>
      <c r="EA171" s="299"/>
      <c r="EB171" s="299"/>
      <c r="EC171" s="299"/>
      <c r="ED171" s="299"/>
      <c r="EE171" s="299"/>
      <c r="EF171" s="299"/>
      <c r="EG171" s="299"/>
      <c r="EH171" s="299"/>
      <c r="EI171" s="299"/>
      <c r="EJ171" s="299"/>
      <c r="EK171" s="299"/>
      <c r="EL171" s="299"/>
      <c r="EM171" s="299"/>
      <c r="EN171" s="299"/>
      <c r="EO171" s="299"/>
      <c r="EP171" s="299"/>
      <c r="EQ171" s="299"/>
      <c r="ER171" s="299"/>
      <c r="ES171" s="299"/>
      <c r="ET171" s="299"/>
      <c r="EU171" s="299"/>
      <c r="EV171" s="299"/>
      <c r="EW171" s="299"/>
      <c r="EX171" s="299"/>
      <c r="EY171" s="299"/>
      <c r="EZ171" s="299"/>
      <c r="FA171" s="299"/>
      <c r="FB171" s="299"/>
      <c r="FC171" s="299"/>
      <c r="FD171" s="299"/>
      <c r="FE171" s="299"/>
      <c r="FF171" s="299"/>
      <c r="FG171" s="299"/>
      <c r="FH171" s="299"/>
      <c r="FI171" s="299"/>
      <c r="FJ171" s="299"/>
      <c r="FK171" s="299"/>
      <c r="FL171" s="299"/>
      <c r="FM171" s="299"/>
      <c r="FN171" s="299"/>
      <c r="FO171" s="299"/>
      <c r="FP171" s="299"/>
      <c r="FQ171" s="300" t="e">
        <f t="shared" ca="1" si="143"/>
        <v>#VALUE!</v>
      </c>
      <c r="FR171" s="300" t="e">
        <f t="shared" ca="1" si="158"/>
        <v>#VALUE!</v>
      </c>
      <c r="FS171" s="300" t="e">
        <f t="shared" ca="1" si="158"/>
        <v>#VALUE!</v>
      </c>
      <c r="FT171" s="300" t="e">
        <f t="shared" ca="1" si="158"/>
        <v>#VALUE!</v>
      </c>
      <c r="FU171" s="300" t="e">
        <f t="shared" ca="1" si="158"/>
        <v>#VALUE!</v>
      </c>
      <c r="FV171" s="300" t="e">
        <f t="shared" ca="1" si="158"/>
        <v>#VALUE!</v>
      </c>
      <c r="FW171" s="300" t="e">
        <f t="shared" ca="1" si="158"/>
        <v>#VALUE!</v>
      </c>
      <c r="FX171" s="300" t="e">
        <f t="shared" ca="1" si="158"/>
        <v>#VALUE!</v>
      </c>
      <c r="FY171" s="300" t="e">
        <f t="shared" ca="1" si="158"/>
        <v>#VALUE!</v>
      </c>
      <c r="FZ171" s="300" t="e">
        <f t="shared" ca="1" si="158"/>
        <v>#VALUE!</v>
      </c>
      <c r="GA171" s="301" t="e">
        <f t="shared" ca="1" si="158"/>
        <v>#VALUE!</v>
      </c>
      <c r="GB171" s="301" t="e">
        <f t="shared" ca="1" si="159"/>
        <v>#VALUE!</v>
      </c>
      <c r="GC171" s="301" t="e">
        <f t="shared" ca="1" si="159"/>
        <v>#VALUE!</v>
      </c>
      <c r="GD171" s="301" t="e">
        <f t="shared" ca="1" si="159"/>
        <v>#VALUE!</v>
      </c>
      <c r="GE171" s="301" t="e">
        <f t="shared" ca="1" si="159"/>
        <v>#VALUE!</v>
      </c>
      <c r="GF171" s="301" t="e">
        <f t="shared" ca="1" si="159"/>
        <v>#VALUE!</v>
      </c>
      <c r="GG171" s="301" t="e">
        <f t="shared" ca="1" si="159"/>
        <v>#VALUE!</v>
      </c>
      <c r="GH171" s="301" t="e">
        <f t="shared" ca="1" si="159"/>
        <v>#VALUE!</v>
      </c>
      <c r="GI171" s="301" t="e">
        <f t="shared" ca="1" si="159"/>
        <v>#VALUE!</v>
      </c>
      <c r="GJ171" s="301" t="e">
        <f t="shared" ca="1" si="159"/>
        <v>#VALUE!</v>
      </c>
      <c r="GK171" s="301" t="e">
        <f t="shared" ca="1" si="159"/>
        <v>#VALUE!</v>
      </c>
      <c r="GL171" s="301" t="e">
        <f t="shared" ca="1" si="159"/>
        <v>#VALUE!</v>
      </c>
      <c r="GM171" s="301" t="e">
        <f t="shared" ca="1" si="159"/>
        <v>#VALUE!</v>
      </c>
      <c r="GN171" s="302" t="e">
        <f t="shared" ca="1" si="159"/>
        <v>#VALUE!</v>
      </c>
      <c r="GO171" s="302" t="e">
        <f t="shared" ca="1" si="159"/>
        <v>#VALUE!</v>
      </c>
      <c r="GP171" s="301">
        <f t="shared" si="160"/>
        <v>0</v>
      </c>
      <c r="GQ171" s="301">
        <f t="shared" si="160"/>
        <v>0</v>
      </c>
      <c r="GR171" s="301">
        <f t="shared" si="160"/>
        <v>0</v>
      </c>
      <c r="GS171" s="301">
        <f t="shared" si="160"/>
        <v>0</v>
      </c>
      <c r="GT171" s="301">
        <f t="shared" si="160"/>
        <v>0</v>
      </c>
      <c r="GU171" s="303">
        <f t="shared" si="160"/>
        <v>0</v>
      </c>
      <c r="GV171" s="302">
        <f t="shared" si="160"/>
        <v>0</v>
      </c>
      <c r="GW171" s="302">
        <f t="shared" si="160"/>
        <v>0</v>
      </c>
      <c r="GX171" s="302">
        <f t="shared" si="160"/>
        <v>0</v>
      </c>
      <c r="GY171" s="302">
        <f t="shared" si="160"/>
        <v>0</v>
      </c>
      <c r="GZ171" s="302">
        <f t="shared" si="160"/>
        <v>0</v>
      </c>
      <c r="HA171" s="302">
        <f t="shared" si="160"/>
        <v>0</v>
      </c>
      <c r="HB171" s="302">
        <f t="shared" si="160"/>
        <v>0</v>
      </c>
      <c r="HC171" s="302">
        <f t="shared" si="160"/>
        <v>0</v>
      </c>
      <c r="HD171" s="302">
        <f t="shared" si="160"/>
        <v>0</v>
      </c>
      <c r="HE171" s="302">
        <f t="shared" si="160"/>
        <v>0</v>
      </c>
      <c r="HF171" s="304"/>
      <c r="HG171" s="305"/>
    </row>
    <row r="172" spans="1:215" s="306" customFormat="1" ht="15" customHeight="1">
      <c r="A172" s="291"/>
      <c r="B172" s="292" t="s">
        <v>348</v>
      </c>
      <c r="C172" s="292" t="s">
        <v>168</v>
      </c>
      <c r="D172" s="292" t="s">
        <v>168</v>
      </c>
      <c r="E172" s="292" t="s">
        <v>516</v>
      </c>
      <c r="F172" s="292" t="s">
        <v>186</v>
      </c>
      <c r="G172" s="292" t="s">
        <v>350</v>
      </c>
      <c r="H172" s="292" t="s">
        <v>511</v>
      </c>
      <c r="I172" s="292" t="s">
        <v>512</v>
      </c>
      <c r="J172" s="292" t="s">
        <v>186</v>
      </c>
      <c r="K172" s="292" t="s">
        <v>513</v>
      </c>
      <c r="L172" s="292" t="s">
        <v>514</v>
      </c>
      <c r="M172" s="292" t="s">
        <v>360</v>
      </c>
      <c r="N172" s="292" t="str">
        <f>_xlfn.CONCAT(C172,"-",D172)</f>
        <v>Validation-Validation</v>
      </c>
      <c r="O172" s="292" t="str">
        <f>_xlfn.CONCAT(Y172,"-",Z172,"-",F172,"-",X172)</f>
        <v>Validation-Senior Manager-US-Consulting</v>
      </c>
      <c r="P172" s="292" t="str">
        <f>_xlfn.CONCAT(C172," - ",Y172)</f>
        <v>Validation - Validation</v>
      </c>
      <c r="Q172" s="293">
        <f t="shared" si="140"/>
        <v>87992</v>
      </c>
      <c r="R172" s="294">
        <f t="shared" si="141"/>
        <v>87992</v>
      </c>
      <c r="S172" s="295">
        <f>SUM(GP172:HN172)</f>
        <v>0</v>
      </c>
      <c r="T172" s="295">
        <f t="shared" si="161"/>
        <v>136</v>
      </c>
      <c r="U172" s="296" t="str">
        <f>_xlfn.CONCAT(Y172," - ",Z172)</f>
        <v>Validation - Senior Manager</v>
      </c>
      <c r="V172" s="295" t="str">
        <f>VLOOKUP(O172,$B$187:$H$848,4,0)</f>
        <v>7-10 years</v>
      </c>
      <c r="W172" s="292" t="str">
        <f>IF(F172="US", "Onshore",IF(F172="India","Offshore", "Nearshore"))</f>
        <v>Onshore</v>
      </c>
      <c r="X172" s="292" t="s">
        <v>261</v>
      </c>
      <c r="Y172" s="345" t="s">
        <v>168</v>
      </c>
      <c r="Z172" s="345" t="s">
        <v>361</v>
      </c>
      <c r="AA172" s="297">
        <f>[1]Resourcing!QD176</f>
        <v>0</v>
      </c>
      <c r="AB172" s="298">
        <f>IFERROR(VLOOKUP(O172,$B$187:$S$848,6,FALSE()),"combination not found")</f>
        <v>647</v>
      </c>
      <c r="AC172" s="299"/>
      <c r="AD172" s="299"/>
      <c r="AE172" s="299"/>
      <c r="AF172" s="299"/>
      <c r="AG172" s="299"/>
      <c r="AH172" s="299"/>
      <c r="AI172" s="299"/>
      <c r="AJ172" s="299"/>
      <c r="AK172" s="299"/>
      <c r="AL172" s="299"/>
      <c r="AM172" s="299"/>
      <c r="AN172" s="299"/>
      <c r="AO172" s="299"/>
      <c r="AP172" s="299"/>
      <c r="AQ172" s="299"/>
      <c r="AR172" s="299"/>
      <c r="AS172" s="299"/>
      <c r="AT172" s="299"/>
      <c r="AU172" s="299"/>
      <c r="AV172" s="299"/>
      <c r="AW172" s="299"/>
      <c r="AX172" s="299"/>
      <c r="AY172" s="299"/>
      <c r="AZ172" s="299"/>
      <c r="BA172" s="299"/>
      <c r="BB172" s="299"/>
      <c r="BC172" s="299"/>
      <c r="BD172" s="299"/>
      <c r="BE172" s="299"/>
      <c r="BF172" s="299"/>
      <c r="BG172" s="299">
        <v>32</v>
      </c>
      <c r="BH172" s="299">
        <v>32</v>
      </c>
      <c r="BI172" s="299">
        <v>32</v>
      </c>
      <c r="BJ172" s="299">
        <v>32</v>
      </c>
      <c r="BK172" s="299">
        <v>8</v>
      </c>
      <c r="BL172" s="299"/>
      <c r="BM172" s="299"/>
      <c r="BN172" s="299"/>
      <c r="BO172" s="299"/>
      <c r="BP172" s="299"/>
      <c r="BQ172" s="299"/>
      <c r="BR172" s="299"/>
      <c r="BS172" s="299"/>
      <c r="BT172" s="299"/>
      <c r="BU172" s="299"/>
      <c r="BV172" s="299"/>
      <c r="BW172" s="299"/>
      <c r="BX172" s="299"/>
      <c r="BY172" s="299"/>
      <c r="BZ172" s="299"/>
      <c r="CA172" s="299"/>
      <c r="CB172" s="299"/>
      <c r="CC172" s="299"/>
      <c r="CD172" s="299"/>
      <c r="CE172" s="299"/>
      <c r="CF172" s="299"/>
      <c r="CG172" s="299"/>
      <c r="CH172" s="299"/>
      <c r="CI172" s="299"/>
      <c r="CJ172" s="299"/>
      <c r="CK172" s="299"/>
      <c r="CL172" s="299"/>
      <c r="CM172" s="299"/>
      <c r="CN172" s="299"/>
      <c r="CO172" s="299"/>
      <c r="CP172" s="299"/>
      <c r="CQ172" s="299"/>
      <c r="CR172" s="299"/>
      <c r="CS172" s="299"/>
      <c r="CT172" s="299"/>
      <c r="CU172" s="299"/>
      <c r="CV172" s="299"/>
      <c r="CW172" s="299"/>
      <c r="CX172" s="299"/>
      <c r="CY172" s="299"/>
      <c r="CZ172" s="299"/>
      <c r="DA172" s="299"/>
      <c r="DB172" s="299"/>
      <c r="DC172" s="299"/>
      <c r="DD172" s="299"/>
      <c r="DE172" s="299"/>
      <c r="DF172" s="299"/>
      <c r="DG172" s="299"/>
      <c r="DH172" s="299"/>
      <c r="DI172" s="299"/>
      <c r="DJ172" s="299"/>
      <c r="DK172" s="299"/>
      <c r="DL172" s="299"/>
      <c r="DM172" s="299"/>
      <c r="DN172" s="299"/>
      <c r="DO172" s="299"/>
      <c r="DP172" s="299"/>
      <c r="DQ172" s="299"/>
      <c r="DR172" s="299"/>
      <c r="DS172" s="299"/>
      <c r="DT172" s="299"/>
      <c r="DU172" s="299"/>
      <c r="DV172" s="299"/>
      <c r="DW172" s="299"/>
      <c r="DX172" s="299"/>
      <c r="DY172" s="299"/>
      <c r="DZ172" s="299"/>
      <c r="EA172" s="299"/>
      <c r="EB172" s="299"/>
      <c r="EC172" s="299"/>
      <c r="ED172" s="299"/>
      <c r="EE172" s="299"/>
      <c r="EF172" s="299"/>
      <c r="EG172" s="299"/>
      <c r="EH172" s="299"/>
      <c r="EI172" s="299"/>
      <c r="EJ172" s="299"/>
      <c r="EK172" s="299"/>
      <c r="EL172" s="299"/>
      <c r="EM172" s="299"/>
      <c r="EN172" s="299"/>
      <c r="EO172" s="299"/>
      <c r="EP172" s="299"/>
      <c r="EQ172" s="299"/>
      <c r="ER172" s="299"/>
      <c r="ES172" s="299"/>
      <c r="ET172" s="299"/>
      <c r="EU172" s="299"/>
      <c r="EV172" s="299"/>
      <c r="EW172" s="299"/>
      <c r="EX172" s="299"/>
      <c r="EY172" s="299"/>
      <c r="EZ172" s="299"/>
      <c r="FA172" s="299"/>
      <c r="FB172" s="299"/>
      <c r="FC172" s="299"/>
      <c r="FD172" s="299"/>
      <c r="FE172" s="299"/>
      <c r="FF172" s="299"/>
      <c r="FG172" s="299"/>
      <c r="FH172" s="299"/>
      <c r="FI172" s="299"/>
      <c r="FJ172" s="299"/>
      <c r="FK172" s="299"/>
      <c r="FL172" s="299"/>
      <c r="FM172" s="299"/>
      <c r="FN172" s="299"/>
      <c r="FO172" s="299"/>
      <c r="FP172" s="299"/>
      <c r="FQ172" s="300" t="e">
        <f t="shared" ca="1" si="143"/>
        <v>#VALUE!</v>
      </c>
      <c r="FR172" s="300" t="e">
        <f t="shared" ca="1" si="158"/>
        <v>#VALUE!</v>
      </c>
      <c r="FS172" s="300" t="e">
        <f t="shared" ca="1" si="158"/>
        <v>#VALUE!</v>
      </c>
      <c r="FT172" s="300" t="e">
        <f t="shared" ca="1" si="158"/>
        <v>#VALUE!</v>
      </c>
      <c r="FU172" s="300" t="e">
        <f t="shared" ca="1" si="158"/>
        <v>#VALUE!</v>
      </c>
      <c r="FV172" s="300" t="e">
        <f t="shared" ca="1" si="158"/>
        <v>#VALUE!</v>
      </c>
      <c r="FW172" s="300" t="e">
        <f t="shared" ca="1" si="158"/>
        <v>#VALUE!</v>
      </c>
      <c r="FX172" s="300" t="e">
        <f t="shared" ca="1" si="158"/>
        <v>#VALUE!</v>
      </c>
      <c r="FY172" s="300" t="e">
        <f t="shared" ca="1" si="158"/>
        <v>#VALUE!</v>
      </c>
      <c r="FZ172" s="300" t="e">
        <f t="shared" ca="1" si="158"/>
        <v>#VALUE!</v>
      </c>
      <c r="GA172" s="301" t="e">
        <f t="shared" ca="1" si="158"/>
        <v>#VALUE!</v>
      </c>
      <c r="GB172" s="301" t="e">
        <f t="shared" ca="1" si="159"/>
        <v>#VALUE!</v>
      </c>
      <c r="GC172" s="301" t="e">
        <f t="shared" ca="1" si="159"/>
        <v>#VALUE!</v>
      </c>
      <c r="GD172" s="301" t="e">
        <f t="shared" ca="1" si="159"/>
        <v>#VALUE!</v>
      </c>
      <c r="GE172" s="301" t="e">
        <f t="shared" ca="1" si="159"/>
        <v>#VALUE!</v>
      </c>
      <c r="GF172" s="301" t="e">
        <f t="shared" ca="1" si="159"/>
        <v>#VALUE!</v>
      </c>
      <c r="GG172" s="301" t="e">
        <f t="shared" ca="1" si="159"/>
        <v>#VALUE!</v>
      </c>
      <c r="GH172" s="301" t="e">
        <f t="shared" ca="1" si="159"/>
        <v>#VALUE!</v>
      </c>
      <c r="GI172" s="301" t="e">
        <f t="shared" ca="1" si="159"/>
        <v>#VALUE!</v>
      </c>
      <c r="GJ172" s="301" t="e">
        <f t="shared" ca="1" si="159"/>
        <v>#VALUE!</v>
      </c>
      <c r="GK172" s="301" t="e">
        <f t="shared" ca="1" si="159"/>
        <v>#VALUE!</v>
      </c>
      <c r="GL172" s="301" t="e">
        <f t="shared" ca="1" si="159"/>
        <v>#VALUE!</v>
      </c>
      <c r="GM172" s="301" t="e">
        <f t="shared" ca="1" si="159"/>
        <v>#VALUE!</v>
      </c>
      <c r="GN172" s="302" t="e">
        <f t="shared" ca="1" si="159"/>
        <v>#VALUE!</v>
      </c>
      <c r="GO172" s="302" t="e">
        <f t="shared" ca="1" si="159"/>
        <v>#VALUE!</v>
      </c>
      <c r="GP172" s="301"/>
      <c r="GQ172" s="301"/>
      <c r="GR172" s="301"/>
      <c r="GS172" s="301"/>
      <c r="GT172" s="301"/>
      <c r="GU172" s="303"/>
      <c r="GV172" s="302"/>
      <c r="GW172" s="302"/>
      <c r="GX172" s="302"/>
      <c r="GY172" s="302"/>
      <c r="GZ172" s="302"/>
      <c r="HA172" s="302"/>
      <c r="HB172" s="302"/>
      <c r="HC172" s="302"/>
      <c r="HD172" s="302"/>
      <c r="HE172" s="302"/>
      <c r="HF172" s="304"/>
      <c r="HG172" s="305"/>
    </row>
    <row r="173" spans="1:215" s="306" customFormat="1" ht="15" customHeight="1">
      <c r="A173" s="291"/>
      <c r="B173" s="292" t="s">
        <v>348</v>
      </c>
      <c r="C173" s="292" t="s">
        <v>168</v>
      </c>
      <c r="D173" s="292" t="s">
        <v>168</v>
      </c>
      <c r="E173" s="292" t="s">
        <v>517</v>
      </c>
      <c r="F173" s="292" t="s">
        <v>184</v>
      </c>
      <c r="G173" s="292" t="s">
        <v>350</v>
      </c>
      <c r="H173" s="292" t="s">
        <v>511</v>
      </c>
      <c r="I173" s="292" t="s">
        <v>512</v>
      </c>
      <c r="J173" s="292" t="s">
        <v>184</v>
      </c>
      <c r="K173" s="292" t="s">
        <v>513</v>
      </c>
      <c r="L173" s="292" t="s">
        <v>514</v>
      </c>
      <c r="M173" s="292" t="s">
        <v>371</v>
      </c>
      <c r="N173" s="292" t="str">
        <f>_xlfn.CONCAT(C173,"-",D173)</f>
        <v>Validation-Validation</v>
      </c>
      <c r="O173" s="292" t="str">
        <f>_xlfn.CONCAT(Y173,"-",Z173,"-",F173,"-",X173)</f>
        <v>Validation-Manager-India-Consulting</v>
      </c>
      <c r="P173" s="292" t="str">
        <f>_xlfn.CONCAT(C173," - ",Y173)</f>
        <v>Validation - Validation</v>
      </c>
      <c r="Q173" s="293">
        <f t="shared" si="140"/>
        <v>36225</v>
      </c>
      <c r="R173" s="294">
        <f t="shared" si="141"/>
        <v>36225</v>
      </c>
      <c r="S173" s="295" t="e">
        <f ca="1">SUM(GP173:HN173)</f>
        <v>#VALUE!</v>
      </c>
      <c r="T173" s="295">
        <f t="shared" si="161"/>
        <v>225</v>
      </c>
      <c r="U173" s="296" t="str">
        <f>_xlfn.CONCAT(Y173," - ",Z173)</f>
        <v>Validation - Manager</v>
      </c>
      <c r="V173" s="295" t="str">
        <f>VLOOKUP(O173,$B$187:$H$848,4,0)</f>
        <v>9-12 years</v>
      </c>
      <c r="W173" s="292" t="str">
        <f>IF(F173="US", "Onshore",IF(F173="India","Offshore", "Nearshore"))</f>
        <v>Offshore</v>
      </c>
      <c r="X173" s="292" t="s">
        <v>261</v>
      </c>
      <c r="Y173" s="345" t="s">
        <v>168</v>
      </c>
      <c r="Z173" s="345" t="s">
        <v>376</v>
      </c>
      <c r="AA173" s="297">
        <f>[1]Resourcing!QD177</f>
        <v>0</v>
      </c>
      <c r="AB173" s="298">
        <f>IFERROR(VLOOKUP(O173,$B$187:$S$848,6,FALSE()),"combination not found")</f>
        <v>161</v>
      </c>
      <c r="AC173" s="326"/>
      <c r="AD173" s="326"/>
      <c r="AE173" s="326"/>
      <c r="AF173" s="326"/>
      <c r="AG173" s="326"/>
      <c r="AH173" s="326"/>
      <c r="AI173" s="326"/>
      <c r="AJ173" s="326"/>
      <c r="AK173" s="326"/>
      <c r="AL173" s="326"/>
      <c r="AM173" s="326"/>
      <c r="AN173" s="326"/>
      <c r="AO173" s="326"/>
      <c r="AP173" s="326"/>
      <c r="AQ173" s="326"/>
      <c r="AR173" s="326"/>
      <c r="AS173" s="326"/>
      <c r="AT173" s="326"/>
      <c r="AU173" s="326"/>
      <c r="AV173" s="326"/>
      <c r="AW173" s="326"/>
      <c r="AX173" s="326"/>
      <c r="AY173" s="326"/>
      <c r="AZ173" s="326"/>
      <c r="BA173" s="326"/>
      <c r="BB173" s="326"/>
      <c r="BC173" s="299"/>
      <c r="BD173" s="299"/>
      <c r="BE173" s="299"/>
      <c r="BF173" s="299"/>
      <c r="BG173" s="299">
        <v>45</v>
      </c>
      <c r="BH173" s="299">
        <v>45</v>
      </c>
      <c r="BI173" s="299">
        <v>45</v>
      </c>
      <c r="BJ173" s="299">
        <v>45</v>
      </c>
      <c r="BK173" s="299">
        <v>45</v>
      </c>
      <c r="BL173" s="299"/>
      <c r="BM173" s="299"/>
      <c r="BN173" s="299"/>
      <c r="BO173" s="299"/>
      <c r="BP173" s="299"/>
      <c r="BQ173" s="299"/>
      <c r="BR173" s="299"/>
      <c r="BS173" s="299"/>
      <c r="BT173" s="299"/>
      <c r="BU173" s="299"/>
      <c r="BV173" s="299"/>
      <c r="BW173" s="299"/>
      <c r="BX173" s="299"/>
      <c r="BY173" s="299"/>
      <c r="BZ173" s="299"/>
      <c r="CA173" s="299"/>
      <c r="CB173" s="299"/>
      <c r="CC173" s="299"/>
      <c r="CD173" s="299"/>
      <c r="CE173" s="299"/>
      <c r="CF173" s="299"/>
      <c r="CG173" s="299"/>
      <c r="CH173" s="299"/>
      <c r="CI173" s="299"/>
      <c r="CJ173" s="299"/>
      <c r="CK173" s="299"/>
      <c r="CL173" s="299"/>
      <c r="CM173" s="299"/>
      <c r="CN173" s="299"/>
      <c r="CO173" s="299"/>
      <c r="CP173" s="299"/>
      <c r="CQ173" s="299"/>
      <c r="CR173" s="299"/>
      <c r="CS173" s="299"/>
      <c r="CT173" s="299"/>
      <c r="CU173" s="299"/>
      <c r="CV173" s="299"/>
      <c r="CW173" s="299"/>
      <c r="CX173" s="299"/>
      <c r="CY173" s="299"/>
      <c r="CZ173" s="299"/>
      <c r="DA173" s="299"/>
      <c r="DB173" s="299"/>
      <c r="DC173" s="299"/>
      <c r="DD173" s="299"/>
      <c r="DE173" s="299"/>
      <c r="DF173" s="299"/>
      <c r="DG173" s="299"/>
      <c r="DH173" s="299"/>
      <c r="DI173" s="299"/>
      <c r="DJ173" s="299"/>
      <c r="DK173" s="299"/>
      <c r="DL173" s="299"/>
      <c r="DM173" s="299"/>
      <c r="DN173" s="299"/>
      <c r="DO173" s="299"/>
      <c r="DP173" s="299"/>
      <c r="DQ173" s="299"/>
      <c r="DR173" s="299"/>
      <c r="DS173" s="299"/>
      <c r="DT173" s="299"/>
      <c r="DU173" s="299"/>
      <c r="DV173" s="299"/>
      <c r="DW173" s="299"/>
      <c r="DX173" s="299"/>
      <c r="DY173" s="299"/>
      <c r="DZ173" s="299"/>
      <c r="EA173" s="299"/>
      <c r="EB173" s="299"/>
      <c r="EC173" s="299"/>
      <c r="ED173" s="299"/>
      <c r="EE173" s="299"/>
      <c r="EF173" s="299"/>
      <c r="EG173" s="299"/>
      <c r="EH173" s="299"/>
      <c r="EI173" s="299"/>
      <c r="EJ173" s="299"/>
      <c r="EK173" s="299"/>
      <c r="EL173" s="299"/>
      <c r="EM173" s="299"/>
      <c r="EN173" s="299"/>
      <c r="EO173" s="299"/>
      <c r="EP173" s="299"/>
      <c r="EQ173" s="299"/>
      <c r="ER173" s="299"/>
      <c r="ES173" s="299"/>
      <c r="ET173" s="299"/>
      <c r="EU173" s="326"/>
      <c r="EV173" s="326"/>
      <c r="EW173" s="326"/>
      <c r="EX173" s="326"/>
      <c r="EY173" s="326"/>
      <c r="EZ173" s="326"/>
      <c r="FA173" s="326"/>
      <c r="FB173" s="326"/>
      <c r="FC173" s="326"/>
      <c r="FD173" s="326"/>
      <c r="FE173" s="326"/>
      <c r="FF173" s="326"/>
      <c r="FG173" s="326"/>
      <c r="FH173" s="326"/>
      <c r="FI173" s="326"/>
      <c r="FJ173" s="326"/>
      <c r="FK173" s="326"/>
      <c r="FL173" s="326"/>
      <c r="FM173" s="326"/>
      <c r="FN173" s="326"/>
      <c r="FO173" s="326"/>
      <c r="FP173" s="326"/>
      <c r="FQ173" s="300" t="e">
        <f t="shared" ca="1" si="143"/>
        <v>#VALUE!</v>
      </c>
      <c r="FR173" s="300" t="e">
        <f t="shared" ca="1" si="158"/>
        <v>#VALUE!</v>
      </c>
      <c r="FS173" s="300" t="e">
        <f t="shared" ca="1" si="158"/>
        <v>#VALUE!</v>
      </c>
      <c r="FT173" s="300" t="e">
        <f t="shared" ca="1" si="158"/>
        <v>#VALUE!</v>
      </c>
      <c r="FU173" s="300" t="e">
        <f t="shared" ca="1" si="158"/>
        <v>#VALUE!</v>
      </c>
      <c r="FV173" s="300" t="e">
        <f t="shared" ca="1" si="158"/>
        <v>#VALUE!</v>
      </c>
      <c r="FW173" s="300" t="e">
        <f t="shared" ca="1" si="158"/>
        <v>#VALUE!</v>
      </c>
      <c r="FX173" s="300" t="e">
        <f t="shared" ca="1" si="158"/>
        <v>#VALUE!</v>
      </c>
      <c r="FY173" s="300" t="e">
        <f t="shared" ca="1" si="158"/>
        <v>#VALUE!</v>
      </c>
      <c r="FZ173" s="300" t="e">
        <f t="shared" ca="1" si="158"/>
        <v>#VALUE!</v>
      </c>
      <c r="GA173" s="301" t="e">
        <f t="shared" ca="1" si="158"/>
        <v>#VALUE!</v>
      </c>
      <c r="GB173" s="301" t="e">
        <f t="shared" ca="1" si="159"/>
        <v>#VALUE!</v>
      </c>
      <c r="GC173" s="301" t="e">
        <f t="shared" ca="1" si="159"/>
        <v>#VALUE!</v>
      </c>
      <c r="GD173" s="301" t="e">
        <f t="shared" ca="1" si="159"/>
        <v>#VALUE!</v>
      </c>
      <c r="GE173" s="301" t="e">
        <f t="shared" ca="1" si="159"/>
        <v>#VALUE!</v>
      </c>
      <c r="GF173" s="301" t="e">
        <f t="shared" ca="1" si="159"/>
        <v>#VALUE!</v>
      </c>
      <c r="GG173" s="301" t="e">
        <f t="shared" ca="1" si="159"/>
        <v>#VALUE!</v>
      </c>
      <c r="GH173" s="301" t="e">
        <f t="shared" ca="1" si="159"/>
        <v>#VALUE!</v>
      </c>
      <c r="GI173" s="301" t="e">
        <f t="shared" ca="1" si="159"/>
        <v>#VALUE!</v>
      </c>
      <c r="GJ173" s="301" t="e">
        <f t="shared" ca="1" si="159"/>
        <v>#VALUE!</v>
      </c>
      <c r="GK173" s="301" t="e">
        <f t="shared" ca="1" si="159"/>
        <v>#VALUE!</v>
      </c>
      <c r="GL173" s="301" t="e">
        <f t="shared" ca="1" si="159"/>
        <v>#VALUE!</v>
      </c>
      <c r="GM173" s="301" t="e">
        <f t="shared" ca="1" si="159"/>
        <v>#VALUE!</v>
      </c>
      <c r="GN173" s="302" t="e">
        <f t="shared" ca="1" si="159"/>
        <v>#VALUE!</v>
      </c>
      <c r="GO173" s="302" t="e">
        <f t="shared" ca="1" si="159"/>
        <v>#VALUE!</v>
      </c>
      <c r="GP173" s="301">
        <f t="shared" ref="GP173:HE175" si="162">SUMIF($AB$8:$FO$8,GP$9,$AB173:$FO173)</f>
        <v>0</v>
      </c>
      <c r="GQ173" s="301">
        <f t="shared" si="162"/>
        <v>0</v>
      </c>
      <c r="GR173" s="301">
        <f t="shared" si="162"/>
        <v>0</v>
      </c>
      <c r="GS173" s="301">
        <f t="shared" si="162"/>
        <v>0</v>
      </c>
      <c r="GT173" s="301">
        <f t="shared" si="162"/>
        <v>0</v>
      </c>
      <c r="GU173" s="303">
        <f t="shared" si="162"/>
        <v>0</v>
      </c>
      <c r="GV173" s="302">
        <f t="shared" si="162"/>
        <v>0</v>
      </c>
      <c r="GW173" s="302">
        <f t="shared" si="162"/>
        <v>0</v>
      </c>
      <c r="GX173" s="302">
        <f t="shared" si="162"/>
        <v>0</v>
      </c>
      <c r="GY173" s="302">
        <f t="shared" si="162"/>
        <v>0</v>
      </c>
      <c r="GZ173" s="302">
        <f t="shared" si="162"/>
        <v>0</v>
      </c>
      <c r="HA173" s="302">
        <f t="shared" si="162"/>
        <v>0</v>
      </c>
      <c r="HB173" s="302">
        <f t="shared" si="162"/>
        <v>0</v>
      </c>
      <c r="HC173" s="302">
        <f t="shared" si="162"/>
        <v>0</v>
      </c>
      <c r="HD173" s="302">
        <f t="shared" si="162"/>
        <v>0</v>
      </c>
      <c r="HE173" s="302">
        <f t="shared" si="162"/>
        <v>0</v>
      </c>
      <c r="HF173" s="304" t="e">
        <f ca="1">SUM(FQ173:HE173)</f>
        <v>#VALUE!</v>
      </c>
      <c r="HG173" s="305"/>
    </row>
    <row r="174" spans="1:215" s="306" customFormat="1" ht="15" customHeight="1">
      <c r="A174" s="291"/>
      <c r="B174" s="356"/>
      <c r="C174" s="356"/>
      <c r="D174" s="356"/>
      <c r="E174" s="356"/>
      <c r="F174" s="356"/>
      <c r="G174" s="356"/>
      <c r="H174" s="356"/>
      <c r="I174" s="356"/>
      <c r="J174" s="356"/>
      <c r="K174" s="356"/>
      <c r="L174" s="356"/>
      <c r="M174" s="356"/>
      <c r="N174" s="356"/>
      <c r="O174" s="356"/>
      <c r="P174" s="356"/>
      <c r="Q174" s="357"/>
      <c r="R174" s="356"/>
      <c r="S174" s="358"/>
      <c r="T174" s="295">
        <f t="shared" si="161"/>
        <v>0</v>
      </c>
      <c r="U174" s="356"/>
      <c r="V174" s="356"/>
      <c r="W174" s="356"/>
      <c r="X174" s="356"/>
      <c r="Y174" s="356"/>
      <c r="Z174" s="356"/>
      <c r="AA174" s="356"/>
      <c r="AB174" s="356"/>
      <c r="AC174" s="326"/>
      <c r="AD174" s="326"/>
      <c r="AE174" s="326"/>
      <c r="AF174" s="326"/>
      <c r="AG174" s="326"/>
      <c r="AH174" s="326"/>
      <c r="AI174" s="326"/>
      <c r="AJ174" s="326"/>
      <c r="AK174" s="326"/>
      <c r="AL174" s="326"/>
      <c r="AM174" s="326"/>
      <c r="AN174" s="326"/>
      <c r="AO174" s="326"/>
      <c r="AP174" s="326"/>
      <c r="AQ174" s="326"/>
      <c r="AR174" s="326"/>
      <c r="AS174" s="326"/>
      <c r="AT174" s="326"/>
      <c r="AU174" s="326"/>
      <c r="AV174" s="326"/>
      <c r="AW174" s="326"/>
      <c r="AX174" s="326"/>
      <c r="AY174" s="326"/>
      <c r="AZ174" s="326"/>
      <c r="BA174" s="326"/>
      <c r="BB174" s="326"/>
      <c r="BC174" s="328"/>
      <c r="BD174" s="299"/>
      <c r="BE174" s="299"/>
      <c r="BF174" s="299"/>
      <c r="BG174" s="299"/>
      <c r="BH174" s="299"/>
      <c r="BI174" s="299"/>
      <c r="BJ174" s="299"/>
      <c r="BK174" s="299"/>
      <c r="BL174" s="299"/>
      <c r="BM174" s="299"/>
      <c r="BN174" s="299"/>
      <c r="BO174" s="299"/>
      <c r="BP174" s="299"/>
      <c r="BQ174" s="299"/>
      <c r="BR174" s="299"/>
      <c r="BS174" s="299"/>
      <c r="BT174" s="299"/>
      <c r="BU174" s="299"/>
      <c r="BV174" s="299"/>
      <c r="BW174" s="299"/>
      <c r="BX174" s="299"/>
      <c r="BY174" s="299"/>
      <c r="BZ174" s="299"/>
      <c r="CA174" s="299"/>
      <c r="CB174" s="299"/>
      <c r="CC174" s="299"/>
      <c r="CD174" s="299"/>
      <c r="CE174" s="299"/>
      <c r="CF174" s="299"/>
      <c r="CG174" s="299"/>
      <c r="CH174" s="299"/>
      <c r="CI174" s="299"/>
      <c r="CJ174" s="299"/>
      <c r="CK174" s="299"/>
      <c r="CL174" s="299"/>
      <c r="CM174" s="299"/>
      <c r="CN174" s="299"/>
      <c r="CO174" s="299"/>
      <c r="CP174" s="299"/>
      <c r="CQ174" s="299"/>
      <c r="CR174" s="299"/>
      <c r="CS174" s="299"/>
      <c r="CT174" s="299"/>
      <c r="CU174" s="299"/>
      <c r="CV174" s="299"/>
      <c r="CW174" s="299"/>
      <c r="CX174" s="299"/>
      <c r="CY174" s="299"/>
      <c r="CZ174" s="299"/>
      <c r="DA174" s="299"/>
      <c r="DB174" s="299"/>
      <c r="DC174" s="299"/>
      <c r="DD174" s="299"/>
      <c r="DE174" s="299"/>
      <c r="DF174" s="299"/>
      <c r="DG174" s="299"/>
      <c r="DH174" s="299"/>
      <c r="DI174" s="299"/>
      <c r="DJ174" s="299"/>
      <c r="DK174" s="299"/>
      <c r="DL174" s="299"/>
      <c r="DM174" s="299"/>
      <c r="DN174" s="299"/>
      <c r="DO174" s="299"/>
      <c r="DP174" s="299"/>
      <c r="DQ174" s="299"/>
      <c r="DR174" s="299"/>
      <c r="DS174" s="299"/>
      <c r="DT174" s="299"/>
      <c r="DU174" s="299"/>
      <c r="DV174" s="299"/>
      <c r="DW174" s="299"/>
      <c r="DX174" s="299"/>
      <c r="DY174" s="299"/>
      <c r="DZ174" s="299"/>
      <c r="EA174" s="299"/>
      <c r="EB174" s="299"/>
      <c r="EC174" s="299"/>
      <c r="ED174" s="299"/>
      <c r="EE174" s="299"/>
      <c r="EF174" s="299"/>
      <c r="EG174" s="299"/>
      <c r="EH174" s="299"/>
      <c r="EI174" s="299"/>
      <c r="EJ174" s="299"/>
      <c r="EK174" s="299"/>
      <c r="EL174" s="299"/>
      <c r="EM174" s="299"/>
      <c r="EN174" s="299"/>
      <c r="EO174" s="299"/>
      <c r="EP174" s="299"/>
      <c r="EQ174" s="299"/>
      <c r="ER174" s="299"/>
      <c r="ES174" s="299"/>
      <c r="ET174" s="329"/>
      <c r="EU174" s="326"/>
      <c r="EV174" s="326"/>
      <c r="EW174" s="326"/>
      <c r="EX174" s="326"/>
      <c r="EY174" s="326"/>
      <c r="EZ174" s="326"/>
      <c r="FA174" s="326"/>
      <c r="FB174" s="326"/>
      <c r="FC174" s="326"/>
      <c r="FD174" s="326"/>
      <c r="FE174" s="326"/>
      <c r="FF174" s="326"/>
      <c r="FG174" s="326"/>
      <c r="FH174" s="326"/>
      <c r="FI174" s="326"/>
      <c r="FJ174" s="326"/>
      <c r="FK174" s="326"/>
      <c r="FL174" s="326"/>
      <c r="FM174" s="326"/>
      <c r="FN174" s="326"/>
      <c r="FO174" s="326"/>
      <c r="FP174" s="326"/>
      <c r="FQ174" s="356"/>
      <c r="FR174" s="356"/>
      <c r="FS174" s="356"/>
      <c r="FT174" s="356"/>
      <c r="FU174" s="356"/>
      <c r="FV174" s="356"/>
      <c r="FW174" s="356"/>
      <c r="FX174" s="356"/>
      <c r="FY174" s="356"/>
      <c r="FZ174" s="356"/>
      <c r="GA174" s="356"/>
      <c r="GB174" s="356"/>
      <c r="GC174" s="356"/>
      <c r="GD174" s="356"/>
      <c r="GE174" s="356"/>
      <c r="GF174" s="356"/>
      <c r="GG174" s="356"/>
      <c r="GH174" s="356"/>
      <c r="GI174" s="356"/>
      <c r="GJ174" s="356"/>
      <c r="GK174" s="356"/>
      <c r="GL174" s="356"/>
      <c r="GM174" s="356"/>
      <c r="GN174" s="356"/>
      <c r="GO174" s="356"/>
      <c r="GP174" s="301">
        <f t="shared" si="162"/>
        <v>0</v>
      </c>
      <c r="GQ174" s="301">
        <f t="shared" si="162"/>
        <v>0</v>
      </c>
      <c r="GR174" s="301">
        <f t="shared" si="162"/>
        <v>0</v>
      </c>
      <c r="GS174" s="301">
        <f t="shared" si="162"/>
        <v>0</v>
      </c>
      <c r="GT174" s="301">
        <f t="shared" si="162"/>
        <v>0</v>
      </c>
      <c r="GU174" s="303">
        <f t="shared" si="162"/>
        <v>0</v>
      </c>
      <c r="GV174" s="302">
        <f t="shared" si="162"/>
        <v>0</v>
      </c>
      <c r="GW174" s="302">
        <f t="shared" si="162"/>
        <v>0</v>
      </c>
      <c r="GX174" s="302">
        <f t="shared" si="162"/>
        <v>0</v>
      </c>
      <c r="GY174" s="302">
        <f t="shared" si="162"/>
        <v>0</v>
      </c>
      <c r="GZ174" s="302">
        <f t="shared" si="162"/>
        <v>0</v>
      </c>
      <c r="HA174" s="302">
        <f t="shared" si="162"/>
        <v>0</v>
      </c>
      <c r="HB174" s="302">
        <f t="shared" si="162"/>
        <v>0</v>
      </c>
      <c r="HC174" s="302">
        <f t="shared" si="162"/>
        <v>0</v>
      </c>
      <c r="HD174" s="302">
        <f t="shared" si="162"/>
        <v>0</v>
      </c>
      <c r="HE174" s="302">
        <f t="shared" si="162"/>
        <v>0</v>
      </c>
      <c r="HF174" s="304"/>
      <c r="HG174" s="305"/>
    </row>
    <row r="175" spans="1:215" s="306" customFormat="1" ht="15" customHeight="1">
      <c r="A175" s="291"/>
      <c r="B175" s="356"/>
      <c r="C175" s="356"/>
      <c r="D175" s="356"/>
      <c r="E175" s="356"/>
      <c r="F175" s="356"/>
      <c r="G175" s="356"/>
      <c r="H175" s="356"/>
      <c r="I175" s="356"/>
      <c r="J175" s="356"/>
      <c r="K175" s="356"/>
      <c r="L175" s="356"/>
      <c r="M175" s="356"/>
      <c r="N175" s="356"/>
      <c r="O175" s="356"/>
      <c r="P175" s="356"/>
      <c r="Q175" s="357">
        <f>SUM(Q10:Q173)</f>
        <v>48437850</v>
      </c>
      <c r="R175" s="357">
        <f>SUM(R10:R173)</f>
        <v>3311343</v>
      </c>
      <c r="S175" s="358" t="e">
        <f ca="1">SUM(S10:S173)</f>
        <v>#VALUE!</v>
      </c>
      <c r="T175" s="295">
        <f t="shared" si="161"/>
        <v>0</v>
      </c>
      <c r="U175" s="359"/>
      <c r="V175" s="358"/>
      <c r="W175" s="356"/>
      <c r="X175" s="356"/>
      <c r="Y175" s="356"/>
      <c r="Z175" s="356"/>
      <c r="AA175" s="356"/>
      <c r="AB175" s="356"/>
      <c r="AC175" s="356"/>
      <c r="AD175" s="356"/>
      <c r="AE175" s="356"/>
      <c r="AF175" s="356"/>
      <c r="AG175" s="356"/>
      <c r="AH175" s="356"/>
      <c r="AI175" s="356"/>
      <c r="AJ175" s="356"/>
      <c r="AK175" s="356"/>
      <c r="AL175" s="356"/>
      <c r="AM175" s="356"/>
      <c r="AN175" s="356"/>
      <c r="AO175" s="356"/>
      <c r="AP175" s="356"/>
      <c r="AQ175" s="356"/>
      <c r="AR175" s="356"/>
      <c r="AS175" s="356"/>
      <c r="AT175" s="356"/>
      <c r="AU175" s="356"/>
      <c r="AV175" s="356"/>
      <c r="AW175" s="356"/>
      <c r="AX175" s="356"/>
      <c r="AY175" s="356"/>
      <c r="AZ175" s="356"/>
      <c r="BA175" s="356"/>
      <c r="BB175" s="356"/>
      <c r="BC175" s="356"/>
      <c r="BD175" s="356"/>
      <c r="BE175" s="356"/>
      <c r="BF175" s="356"/>
      <c r="BG175" s="356"/>
      <c r="BH175" s="356"/>
      <c r="BI175" s="356"/>
      <c r="BJ175" s="356"/>
      <c r="BK175" s="356"/>
      <c r="BL175" s="356"/>
      <c r="BM175" s="356"/>
      <c r="BN175" s="356"/>
      <c r="BO175" s="356"/>
      <c r="BP175" s="356"/>
      <c r="BQ175" s="356"/>
      <c r="BR175" s="356"/>
      <c r="BS175" s="356"/>
      <c r="BT175" s="356"/>
      <c r="BU175" s="356"/>
      <c r="BV175" s="356"/>
      <c r="BW175" s="356"/>
      <c r="BX175" s="356"/>
      <c r="BY175" s="356"/>
      <c r="BZ175" s="356"/>
      <c r="CA175" s="356"/>
      <c r="CB175" s="356"/>
      <c r="CC175" s="356"/>
      <c r="CD175" s="356"/>
      <c r="CE175" s="356"/>
      <c r="CF175" s="356"/>
      <c r="CG175" s="356"/>
      <c r="CH175" s="356"/>
      <c r="CI175" s="356"/>
      <c r="CJ175" s="356"/>
      <c r="CK175" s="356"/>
      <c r="CL175" s="356"/>
      <c r="CM175" s="356"/>
      <c r="CN175" s="356"/>
      <c r="CO175" s="356"/>
      <c r="CP175" s="356"/>
      <c r="CQ175" s="356"/>
      <c r="CR175" s="356"/>
      <c r="CS175" s="356"/>
      <c r="CT175" s="356"/>
      <c r="CU175" s="356"/>
      <c r="CV175" s="356"/>
      <c r="CW175" s="356"/>
      <c r="CX175" s="356"/>
      <c r="CY175" s="356"/>
      <c r="CZ175" s="356"/>
      <c r="DA175" s="356"/>
      <c r="DB175" s="356"/>
      <c r="DC175" s="356"/>
      <c r="DD175" s="356"/>
      <c r="DE175" s="356"/>
      <c r="DF175" s="356"/>
      <c r="DG175" s="356"/>
      <c r="DH175" s="356"/>
      <c r="DI175" s="356"/>
      <c r="DJ175" s="356"/>
      <c r="DK175" s="356"/>
      <c r="DL175" s="356"/>
      <c r="DM175" s="356"/>
      <c r="DN175" s="356"/>
      <c r="DO175" s="356"/>
      <c r="DP175" s="356"/>
      <c r="DQ175" s="356"/>
      <c r="DR175" s="356"/>
      <c r="DS175" s="356"/>
      <c r="DT175" s="356"/>
      <c r="DU175" s="356"/>
      <c r="DV175" s="356"/>
      <c r="DW175" s="356"/>
      <c r="DX175" s="356"/>
      <c r="DY175" s="356"/>
      <c r="DZ175" s="356"/>
      <c r="EA175" s="356"/>
      <c r="EB175" s="356"/>
      <c r="EC175" s="356"/>
      <c r="ED175" s="356"/>
      <c r="EE175" s="356"/>
      <c r="EF175" s="356"/>
      <c r="EG175" s="356"/>
      <c r="EH175" s="356"/>
      <c r="EI175" s="356"/>
      <c r="EJ175" s="356"/>
      <c r="EK175" s="356"/>
      <c r="EL175" s="356"/>
      <c r="EM175" s="356"/>
      <c r="EN175" s="356"/>
      <c r="EO175" s="356"/>
      <c r="EP175" s="356"/>
      <c r="EQ175" s="356"/>
      <c r="ER175" s="356"/>
      <c r="ES175" s="356"/>
      <c r="ET175" s="356"/>
      <c r="EU175" s="356"/>
      <c r="EV175" s="356"/>
      <c r="EW175" s="356"/>
      <c r="EX175" s="356"/>
      <c r="EY175" s="356"/>
      <c r="EZ175" s="356"/>
      <c r="FA175" s="356"/>
      <c r="FB175" s="356"/>
      <c r="FC175" s="356"/>
      <c r="FD175" s="356"/>
      <c r="FE175" s="356"/>
      <c r="FF175" s="356"/>
      <c r="FG175" s="356"/>
      <c r="FH175" s="356"/>
      <c r="FI175" s="356"/>
      <c r="FJ175" s="356"/>
      <c r="FK175" s="356"/>
      <c r="FL175" s="356"/>
      <c r="FM175" s="356"/>
      <c r="FN175" s="356"/>
      <c r="FO175" s="356"/>
      <c r="FP175" s="356"/>
      <c r="FQ175" s="356"/>
      <c r="FR175" s="356"/>
      <c r="FS175" s="356"/>
      <c r="FT175" s="356"/>
      <c r="FU175" s="356"/>
      <c r="FV175" s="356"/>
      <c r="FW175" s="356"/>
      <c r="FX175" s="356"/>
      <c r="FY175" s="356"/>
      <c r="FZ175" s="356"/>
      <c r="GA175" s="356"/>
      <c r="GB175" s="356"/>
      <c r="GC175" s="356"/>
      <c r="GD175" s="356"/>
      <c r="GE175" s="356"/>
      <c r="GF175" s="356"/>
      <c r="GG175" s="356"/>
      <c r="GH175" s="356"/>
      <c r="GI175" s="356"/>
      <c r="GJ175" s="356"/>
      <c r="GK175" s="356"/>
      <c r="GL175" s="356"/>
      <c r="GM175" s="356"/>
      <c r="GN175" s="356"/>
      <c r="GO175" s="356"/>
      <c r="GP175" s="301">
        <f t="shared" si="162"/>
        <v>0</v>
      </c>
      <c r="GQ175" s="301">
        <f t="shared" si="162"/>
        <v>0</v>
      </c>
      <c r="GR175" s="301">
        <f t="shared" si="162"/>
        <v>0</v>
      </c>
      <c r="GS175" s="301">
        <f t="shared" si="162"/>
        <v>0</v>
      </c>
      <c r="GT175" s="301">
        <f t="shared" si="162"/>
        <v>0</v>
      </c>
      <c r="GU175" s="303">
        <f t="shared" si="162"/>
        <v>0</v>
      </c>
      <c r="GV175" s="302">
        <f t="shared" si="162"/>
        <v>0</v>
      </c>
      <c r="GW175" s="302">
        <f t="shared" si="162"/>
        <v>0</v>
      </c>
      <c r="GX175" s="302">
        <f t="shared" si="162"/>
        <v>0</v>
      </c>
      <c r="GY175" s="302">
        <f t="shared" si="162"/>
        <v>0</v>
      </c>
      <c r="GZ175" s="302">
        <f t="shared" si="162"/>
        <v>0</v>
      </c>
      <c r="HA175" s="302">
        <f t="shared" si="162"/>
        <v>0</v>
      </c>
      <c r="HB175" s="302">
        <f t="shared" si="162"/>
        <v>0</v>
      </c>
      <c r="HC175" s="302">
        <f t="shared" si="162"/>
        <v>0</v>
      </c>
      <c r="HD175" s="302">
        <f t="shared" si="162"/>
        <v>0</v>
      </c>
      <c r="HE175" s="302">
        <f t="shared" si="162"/>
        <v>0</v>
      </c>
      <c r="HF175" s="304"/>
      <c r="HG175" s="305"/>
    </row>
    <row r="176" spans="1:215" s="306" customFormat="1" ht="15" customHeight="1">
      <c r="A176" s="291"/>
      <c r="B176" s="356"/>
      <c r="C176" s="356"/>
      <c r="D176" s="356"/>
      <c r="E176" s="356"/>
      <c r="F176" s="356"/>
      <c r="G176" s="356"/>
      <c r="H176" s="356"/>
      <c r="I176" s="356"/>
      <c r="J176" s="356"/>
      <c r="K176" s="356"/>
      <c r="L176" s="356"/>
      <c r="M176" s="356"/>
      <c r="N176" s="356"/>
      <c r="O176" s="356"/>
      <c r="P176" s="356"/>
      <c r="Q176" s="357"/>
      <c r="R176" s="356"/>
      <c r="S176" s="358"/>
      <c r="T176" s="295">
        <f t="shared" si="161"/>
        <v>0</v>
      </c>
      <c r="U176" s="356"/>
      <c r="V176" s="358"/>
      <c r="W176" s="356"/>
      <c r="X176" s="356"/>
      <c r="Y176" s="356"/>
      <c r="Z176" s="356"/>
      <c r="AA176" s="356"/>
      <c r="AB176" s="356"/>
      <c r="AC176" s="356"/>
      <c r="AD176" s="356"/>
      <c r="AE176" s="356"/>
      <c r="AF176" s="356"/>
      <c r="AG176" s="356"/>
      <c r="AH176" s="356"/>
      <c r="AI176" s="356"/>
      <c r="AJ176" s="356"/>
      <c r="AK176" s="356"/>
      <c r="AL176" s="356"/>
      <c r="AM176" s="356"/>
      <c r="AN176" s="356"/>
      <c r="AO176" s="356"/>
      <c r="AP176" s="356"/>
      <c r="AQ176" s="356"/>
      <c r="AR176" s="356"/>
      <c r="AS176" s="356"/>
      <c r="AT176" s="356"/>
      <c r="AU176" s="356"/>
      <c r="AV176" s="356"/>
      <c r="AW176" s="356"/>
      <c r="AX176" s="356"/>
      <c r="AY176" s="356"/>
      <c r="AZ176" s="356"/>
      <c r="BA176" s="356"/>
      <c r="BB176" s="356"/>
      <c r="BC176" s="356"/>
      <c r="BD176" s="356"/>
      <c r="BE176" s="356"/>
      <c r="BF176" s="356"/>
      <c r="BG176" s="356"/>
      <c r="BH176" s="356"/>
      <c r="BI176" s="356"/>
      <c r="BJ176" s="356"/>
      <c r="BK176" s="356"/>
      <c r="BL176" s="356"/>
      <c r="BM176" s="356"/>
      <c r="BN176" s="356"/>
      <c r="BO176" s="356"/>
      <c r="BP176" s="356"/>
      <c r="BQ176" s="356"/>
      <c r="BR176" s="356"/>
      <c r="BS176" s="356"/>
      <c r="BT176" s="356"/>
      <c r="BU176" s="356"/>
      <c r="BV176" s="356"/>
      <c r="BW176" s="356"/>
      <c r="BX176" s="356"/>
      <c r="BY176" s="356"/>
      <c r="BZ176" s="356"/>
      <c r="CA176" s="356"/>
      <c r="CB176" s="356"/>
      <c r="CC176" s="356"/>
      <c r="CD176" s="356"/>
      <c r="CE176" s="356"/>
      <c r="CF176" s="356"/>
      <c r="CG176" s="356"/>
      <c r="CH176" s="356"/>
      <c r="CI176" s="356"/>
      <c r="CJ176" s="356"/>
      <c r="CK176" s="356"/>
      <c r="CL176" s="356"/>
      <c r="CM176" s="356"/>
      <c r="CN176" s="356"/>
      <c r="CO176" s="356"/>
      <c r="CP176" s="356"/>
      <c r="CQ176" s="356"/>
      <c r="CR176" s="356"/>
      <c r="CS176" s="356"/>
      <c r="CT176" s="356"/>
      <c r="CU176" s="356"/>
      <c r="CV176" s="356"/>
      <c r="CW176" s="356"/>
      <c r="CX176" s="356"/>
      <c r="CY176" s="356"/>
      <c r="CZ176" s="356"/>
      <c r="DA176" s="356"/>
      <c r="DB176" s="356"/>
      <c r="DC176" s="356"/>
      <c r="DD176" s="356"/>
      <c r="DE176" s="356"/>
      <c r="DF176" s="356"/>
      <c r="DG176" s="356"/>
      <c r="DH176" s="356"/>
      <c r="DI176" s="356"/>
      <c r="DJ176" s="356"/>
      <c r="DK176" s="356"/>
      <c r="DL176" s="356"/>
      <c r="DM176" s="356"/>
      <c r="DN176" s="356"/>
      <c r="DO176" s="356"/>
      <c r="DP176" s="356"/>
      <c r="DQ176" s="356"/>
      <c r="DR176" s="356"/>
      <c r="DS176" s="356"/>
      <c r="DT176" s="356"/>
      <c r="DU176" s="356"/>
      <c r="DV176" s="356"/>
      <c r="DW176" s="356"/>
      <c r="DX176" s="356"/>
      <c r="DY176" s="356"/>
      <c r="DZ176" s="356"/>
      <c r="EA176" s="356"/>
      <c r="EB176" s="356"/>
      <c r="EC176" s="356"/>
      <c r="ED176" s="356"/>
      <c r="EE176" s="356"/>
      <c r="EF176" s="356"/>
      <c r="EG176" s="356"/>
      <c r="EH176" s="356"/>
      <c r="EI176" s="356"/>
      <c r="EJ176" s="356"/>
      <c r="EK176" s="356"/>
      <c r="EL176" s="356"/>
      <c r="EM176" s="356"/>
      <c r="EN176" s="356"/>
      <c r="EO176" s="356"/>
      <c r="EP176" s="356"/>
      <c r="EQ176" s="356"/>
      <c r="ER176" s="356"/>
      <c r="ES176" s="356"/>
      <c r="ET176" s="356"/>
      <c r="EU176" s="356"/>
      <c r="EV176" s="356"/>
      <c r="EW176" s="356"/>
      <c r="EX176" s="356"/>
      <c r="EY176" s="356"/>
      <c r="EZ176" s="356"/>
      <c r="FA176" s="356"/>
      <c r="FB176" s="356"/>
      <c r="FC176" s="356"/>
      <c r="FD176" s="356"/>
      <c r="FE176" s="356"/>
      <c r="FF176" s="356"/>
      <c r="FG176" s="356"/>
      <c r="FH176" s="356"/>
      <c r="FI176" s="356"/>
      <c r="FJ176" s="356"/>
      <c r="FK176" s="356"/>
      <c r="FL176" s="356"/>
      <c r="FM176" s="356"/>
      <c r="FN176" s="356"/>
      <c r="FO176" s="356"/>
      <c r="FP176" s="356"/>
      <c r="FQ176" s="356"/>
      <c r="FR176" s="356"/>
      <c r="FS176" s="356"/>
      <c r="FT176" s="356"/>
      <c r="FU176" s="356"/>
      <c r="FV176" s="356"/>
      <c r="FW176" s="356"/>
      <c r="FX176" s="356"/>
      <c r="FY176" s="356"/>
      <c r="FZ176" s="356"/>
      <c r="GA176" s="356"/>
      <c r="GB176" s="356"/>
      <c r="GC176" s="356"/>
      <c r="GD176" s="356"/>
      <c r="GE176" s="356"/>
      <c r="GF176" s="356"/>
      <c r="GG176" s="356"/>
      <c r="GH176" s="356"/>
      <c r="GI176" s="356"/>
      <c r="GJ176" s="356"/>
      <c r="GK176" s="356"/>
      <c r="GL176" s="356"/>
      <c r="GM176" s="356"/>
      <c r="GN176" s="356"/>
      <c r="GO176" s="356"/>
      <c r="GP176" s="360"/>
      <c r="GQ176" s="360"/>
      <c r="GR176" s="360"/>
      <c r="GS176" s="360"/>
      <c r="GT176" s="360"/>
      <c r="GU176" s="360"/>
      <c r="GV176" s="361"/>
      <c r="GW176" s="361"/>
      <c r="GX176" s="361"/>
      <c r="GY176" s="361"/>
      <c r="GZ176" s="361"/>
      <c r="HA176" s="361"/>
      <c r="HB176" s="361"/>
      <c r="HC176" s="361"/>
      <c r="HD176" s="361"/>
      <c r="HE176" s="361"/>
      <c r="HF176" s="362"/>
      <c r="HG176" s="363"/>
    </row>
    <row r="177" spans="1:215">
      <c r="A177" s="291"/>
      <c r="B177" s="356"/>
      <c r="C177" s="356"/>
      <c r="D177" s="356"/>
      <c r="E177" s="356"/>
      <c r="F177" s="356"/>
      <c r="G177" s="356"/>
      <c r="H177" s="356"/>
      <c r="I177" s="356"/>
      <c r="J177" s="356"/>
      <c r="K177" s="356"/>
      <c r="L177" s="356"/>
      <c r="M177" s="356"/>
      <c r="N177" s="356"/>
      <c r="O177" s="356"/>
      <c r="P177" s="356"/>
      <c r="Q177" s="357"/>
      <c r="R177" s="356"/>
      <c r="S177" s="358"/>
      <c r="T177" s="295">
        <f t="shared" si="161"/>
        <v>0</v>
      </c>
      <c r="U177" s="356"/>
      <c r="V177" s="358"/>
      <c r="W177" s="356"/>
      <c r="X177" s="356"/>
      <c r="Y177" s="356"/>
      <c r="Z177" s="356"/>
      <c r="AA177" s="356"/>
      <c r="AB177" s="356"/>
      <c r="AC177" s="356"/>
      <c r="AD177" s="356"/>
      <c r="AE177" s="356"/>
      <c r="AF177" s="356"/>
      <c r="AG177" s="356"/>
      <c r="AH177" s="356"/>
      <c r="AI177" s="356"/>
      <c r="AJ177" s="356"/>
      <c r="AK177" s="356"/>
      <c r="AL177" s="356"/>
      <c r="AM177" s="356"/>
      <c r="AN177" s="356"/>
      <c r="AO177" s="356"/>
      <c r="AP177" s="356"/>
      <c r="AQ177" s="356"/>
      <c r="AR177" s="356"/>
      <c r="AS177" s="356"/>
      <c r="AT177" s="356"/>
      <c r="AU177" s="356"/>
      <c r="AV177" s="356"/>
      <c r="AW177" s="356"/>
      <c r="AX177" s="356"/>
      <c r="AY177" s="356"/>
      <c r="AZ177" s="356"/>
      <c r="BA177" s="356"/>
      <c r="BB177" s="356"/>
      <c r="BC177" s="356"/>
      <c r="BD177" s="356"/>
      <c r="BE177" s="356"/>
      <c r="BF177" s="356"/>
      <c r="BG177" s="356"/>
      <c r="BH177" s="356"/>
      <c r="BI177" s="356"/>
      <c r="BJ177" s="356"/>
      <c r="BK177" s="356"/>
      <c r="BL177" s="356"/>
      <c r="BM177" s="356"/>
      <c r="BN177" s="356"/>
      <c r="BO177" s="356"/>
      <c r="BP177" s="356"/>
      <c r="BQ177" s="356"/>
      <c r="BR177" s="356"/>
      <c r="BS177" s="356"/>
      <c r="BT177" s="356"/>
      <c r="BU177" s="356"/>
      <c r="BV177" s="356"/>
      <c r="BW177" s="356"/>
      <c r="BX177" s="356"/>
      <c r="BY177" s="356"/>
      <c r="BZ177" s="356"/>
      <c r="CA177" s="356"/>
      <c r="CB177" s="356"/>
      <c r="CC177" s="356"/>
      <c r="CD177" s="356"/>
      <c r="CE177" s="356"/>
      <c r="CF177" s="356"/>
      <c r="CG177" s="356"/>
      <c r="CH177" s="356"/>
      <c r="CI177" s="356"/>
      <c r="CJ177" s="356"/>
      <c r="CK177" s="356"/>
      <c r="CL177" s="356"/>
      <c r="CM177" s="356"/>
      <c r="CN177" s="356"/>
      <c r="CO177" s="356"/>
      <c r="CP177" s="356"/>
      <c r="CQ177" s="356"/>
      <c r="CR177" s="356"/>
      <c r="CS177" s="356"/>
      <c r="CT177" s="356"/>
      <c r="CU177" s="356"/>
      <c r="CV177" s="356"/>
      <c r="CW177" s="356"/>
      <c r="CX177" s="356"/>
      <c r="CY177" s="356"/>
      <c r="CZ177" s="356"/>
      <c r="DA177" s="356"/>
      <c r="DB177" s="356"/>
      <c r="DC177" s="356"/>
      <c r="DD177" s="356"/>
      <c r="DE177" s="356"/>
      <c r="DF177" s="356"/>
      <c r="DG177" s="356"/>
      <c r="DH177" s="356"/>
      <c r="DI177" s="356"/>
      <c r="DJ177" s="356"/>
      <c r="DK177" s="356"/>
      <c r="DL177" s="356"/>
      <c r="DM177" s="356"/>
      <c r="DN177" s="356"/>
      <c r="DO177" s="356"/>
      <c r="DP177" s="356"/>
      <c r="DQ177" s="356"/>
      <c r="DR177" s="356"/>
      <c r="DS177" s="356"/>
      <c r="DT177" s="356"/>
      <c r="DU177" s="356"/>
      <c r="DV177" s="356"/>
      <c r="DW177" s="356"/>
      <c r="DX177" s="356"/>
      <c r="DY177" s="356"/>
      <c r="DZ177" s="356"/>
      <c r="EA177" s="356"/>
      <c r="EB177" s="356"/>
      <c r="EC177" s="356"/>
      <c r="ED177" s="356"/>
      <c r="EE177" s="356"/>
      <c r="EF177" s="356"/>
      <c r="EG177" s="356"/>
      <c r="EH177" s="356"/>
      <c r="EI177" s="356"/>
      <c r="EJ177" s="356"/>
      <c r="EK177" s="356"/>
      <c r="EL177" s="356"/>
      <c r="EM177" s="356"/>
      <c r="EN177" s="356"/>
      <c r="EO177" s="356"/>
      <c r="EP177" s="356"/>
      <c r="EQ177" s="356"/>
      <c r="ER177" s="356"/>
      <c r="ES177" s="356"/>
      <c r="ET177" s="356"/>
      <c r="EU177" s="356"/>
      <c r="EV177" s="356"/>
      <c r="EW177" s="356"/>
      <c r="EX177" s="356"/>
      <c r="EY177" s="356"/>
      <c r="EZ177" s="356"/>
      <c r="FA177" s="356"/>
      <c r="FB177" s="356"/>
      <c r="FC177" s="356"/>
      <c r="FD177" s="356"/>
      <c r="FE177" s="356"/>
      <c r="FF177" s="356"/>
      <c r="FG177" s="356"/>
      <c r="FH177" s="356"/>
      <c r="FI177" s="356"/>
      <c r="FJ177" s="356"/>
      <c r="FK177" s="356"/>
      <c r="FL177" s="356"/>
      <c r="FM177" s="356"/>
      <c r="FN177" s="356"/>
      <c r="FO177" s="356"/>
      <c r="FP177" s="356"/>
      <c r="FQ177" s="356"/>
      <c r="FR177" s="356"/>
      <c r="FS177" s="356"/>
      <c r="FT177" s="356"/>
      <c r="FU177" s="356"/>
      <c r="FV177" s="356"/>
      <c r="FW177" s="356"/>
      <c r="FX177" s="356"/>
      <c r="FY177" s="356"/>
      <c r="FZ177" s="356"/>
      <c r="GA177" s="356"/>
      <c r="GB177" s="356"/>
      <c r="GC177" s="356"/>
      <c r="GD177" s="356"/>
      <c r="GE177" s="356"/>
      <c r="GF177" s="356"/>
      <c r="GG177" s="356"/>
      <c r="GH177" s="356"/>
      <c r="GI177" s="356"/>
      <c r="GJ177" s="356"/>
      <c r="GK177" s="356"/>
      <c r="GL177" s="356"/>
      <c r="GM177" s="356"/>
      <c r="GN177" s="356"/>
      <c r="GO177" s="356"/>
    </row>
    <row r="178" spans="1:215">
      <c r="A178" s="291"/>
      <c r="B178" s="356"/>
      <c r="C178" s="356"/>
      <c r="D178" s="356"/>
      <c r="E178" s="356"/>
      <c r="F178" s="356"/>
      <c r="G178" s="356"/>
      <c r="H178" s="356"/>
      <c r="I178" s="356"/>
      <c r="J178" s="356"/>
      <c r="K178" s="356"/>
      <c r="L178" s="356"/>
      <c r="M178" s="356"/>
      <c r="N178" s="356"/>
      <c r="O178" s="356"/>
      <c r="P178" s="356"/>
      <c r="Q178" s="357"/>
      <c r="R178" s="356"/>
      <c r="S178" s="358"/>
      <c r="T178" s="295">
        <f t="shared" si="161"/>
        <v>0</v>
      </c>
      <c r="U178" s="356"/>
      <c r="V178" s="356"/>
      <c r="W178" s="356"/>
      <c r="X178" s="356"/>
      <c r="Y178" s="356"/>
      <c r="Z178" s="356"/>
      <c r="AA178" s="356"/>
      <c r="AB178" s="356"/>
      <c r="AC178" s="356"/>
      <c r="AD178" s="356"/>
      <c r="AE178" s="356"/>
      <c r="AF178" s="356"/>
      <c r="AG178" s="356"/>
      <c r="AH178" s="356"/>
      <c r="AI178" s="356"/>
      <c r="AJ178" s="356"/>
      <c r="AK178" s="356"/>
      <c r="AL178" s="356"/>
      <c r="AM178" s="356"/>
      <c r="AN178" s="356"/>
      <c r="AO178" s="356"/>
      <c r="AP178" s="356"/>
      <c r="AQ178" s="356"/>
      <c r="AR178" s="356"/>
      <c r="AS178" s="356"/>
      <c r="AT178" s="356"/>
      <c r="AU178" s="356"/>
      <c r="AV178" s="356"/>
      <c r="AW178" s="356"/>
      <c r="AX178" s="356"/>
      <c r="AY178" s="356"/>
      <c r="AZ178" s="356"/>
      <c r="BA178" s="356"/>
      <c r="BB178" s="356"/>
      <c r="BC178" s="356"/>
      <c r="BD178" s="356"/>
      <c r="BE178" s="356"/>
      <c r="BF178" s="356"/>
      <c r="BG178" s="356"/>
      <c r="BH178" s="356"/>
      <c r="BI178" s="356"/>
      <c r="BJ178" s="356"/>
      <c r="BK178" s="356"/>
      <c r="BL178" s="356"/>
      <c r="BM178" s="356"/>
      <c r="BN178" s="356"/>
      <c r="BO178" s="356"/>
      <c r="BP178" s="356"/>
      <c r="BQ178" s="356"/>
      <c r="BR178" s="356"/>
      <c r="BS178" s="356"/>
      <c r="BT178" s="356"/>
      <c r="BU178" s="356"/>
      <c r="BV178" s="356"/>
      <c r="BW178" s="356"/>
      <c r="BX178" s="356"/>
      <c r="BY178" s="356"/>
      <c r="BZ178" s="356"/>
      <c r="CA178" s="356"/>
      <c r="CB178" s="356"/>
      <c r="CC178" s="356"/>
      <c r="CD178" s="356"/>
      <c r="CE178" s="356"/>
      <c r="CF178" s="356"/>
      <c r="CG178" s="356"/>
      <c r="CH178" s="356"/>
      <c r="CI178" s="356"/>
      <c r="CJ178" s="356"/>
      <c r="CK178" s="356"/>
      <c r="CL178" s="356"/>
      <c r="CM178" s="356"/>
      <c r="CN178" s="356"/>
      <c r="CO178" s="356"/>
      <c r="CP178" s="356"/>
      <c r="CQ178" s="356"/>
      <c r="CR178" s="356"/>
      <c r="CS178" s="356"/>
      <c r="CT178" s="356"/>
      <c r="CU178" s="356"/>
      <c r="CV178" s="356"/>
      <c r="CW178" s="356"/>
      <c r="CX178" s="356"/>
      <c r="CY178" s="356"/>
      <c r="CZ178" s="356"/>
      <c r="DA178" s="356"/>
      <c r="DB178" s="356"/>
      <c r="DC178" s="356"/>
      <c r="DD178" s="356"/>
      <c r="DE178" s="356"/>
      <c r="DF178" s="356"/>
      <c r="DG178" s="356"/>
      <c r="DH178" s="356"/>
      <c r="DI178" s="356"/>
      <c r="DJ178" s="356"/>
      <c r="DK178" s="356"/>
      <c r="DL178" s="356"/>
      <c r="DM178" s="356"/>
      <c r="DN178" s="356"/>
      <c r="DO178" s="356"/>
      <c r="DP178" s="356"/>
      <c r="DQ178" s="356"/>
      <c r="DR178" s="356"/>
      <c r="DS178" s="356"/>
      <c r="DT178" s="356"/>
      <c r="DU178" s="356"/>
      <c r="DV178" s="356"/>
      <c r="DW178" s="356"/>
      <c r="DX178" s="356"/>
      <c r="DY178" s="356"/>
      <c r="DZ178" s="356"/>
      <c r="EA178" s="356"/>
      <c r="EB178" s="356"/>
      <c r="EC178" s="356"/>
      <c r="ED178" s="356"/>
      <c r="EE178" s="356"/>
      <c r="EF178" s="356"/>
      <c r="EG178" s="356"/>
      <c r="EH178" s="356"/>
      <c r="EI178" s="356"/>
      <c r="EJ178" s="356"/>
      <c r="EK178" s="356"/>
      <c r="EL178" s="356"/>
      <c r="EM178" s="356"/>
      <c r="EN178" s="356"/>
      <c r="EO178" s="356"/>
      <c r="EP178" s="356"/>
      <c r="EQ178" s="356"/>
      <c r="ER178" s="356"/>
      <c r="ES178" s="356"/>
      <c r="ET178" s="356"/>
      <c r="EU178" s="356"/>
      <c r="EV178" s="356"/>
      <c r="EW178" s="356"/>
      <c r="EX178" s="356"/>
      <c r="EY178" s="356"/>
      <c r="EZ178" s="356"/>
      <c r="FA178" s="356"/>
      <c r="FB178" s="356"/>
      <c r="FC178" s="356"/>
      <c r="FD178" s="356"/>
      <c r="FE178" s="356"/>
      <c r="FF178" s="356"/>
      <c r="FG178" s="356"/>
      <c r="FH178" s="356"/>
      <c r="FI178" s="356"/>
      <c r="FJ178" s="356"/>
      <c r="FK178" s="356"/>
      <c r="FL178" s="356"/>
      <c r="FM178" s="356"/>
      <c r="FN178" s="356"/>
      <c r="FO178" s="356"/>
      <c r="FP178" s="356"/>
      <c r="FQ178" s="356"/>
      <c r="FR178" s="356"/>
      <c r="FS178" s="356"/>
      <c r="FT178" s="356"/>
      <c r="FU178" s="356"/>
      <c r="FV178" s="356"/>
      <c r="FW178" s="356"/>
      <c r="FX178" s="356"/>
      <c r="FY178" s="356"/>
      <c r="FZ178" s="356"/>
      <c r="GA178" s="356"/>
      <c r="GB178" s="356"/>
      <c r="GC178" s="356"/>
      <c r="GD178" s="356"/>
      <c r="GE178" s="356"/>
      <c r="GF178" s="356"/>
      <c r="GG178" s="356"/>
      <c r="GH178" s="356"/>
      <c r="GI178" s="356"/>
      <c r="GJ178" s="356"/>
      <c r="GK178" s="356"/>
      <c r="GL178" s="356"/>
      <c r="GM178" s="356"/>
      <c r="GN178" s="356"/>
      <c r="GO178" s="356"/>
    </row>
    <row r="179" spans="1:215">
      <c r="A179" s="291"/>
      <c r="B179" s="356"/>
      <c r="C179" s="356"/>
      <c r="D179" s="356"/>
      <c r="E179" s="356"/>
      <c r="F179" s="356"/>
      <c r="G179" s="356"/>
      <c r="H179" s="356"/>
      <c r="I179" s="356"/>
      <c r="J179" s="356"/>
      <c r="K179" s="356"/>
      <c r="L179" s="356"/>
      <c r="M179" s="356"/>
      <c r="N179" s="356"/>
      <c r="O179" s="356"/>
      <c r="P179" s="356"/>
      <c r="Q179" s="357"/>
      <c r="R179" s="356"/>
      <c r="S179" s="358"/>
      <c r="T179" s="295">
        <f t="shared" si="161"/>
        <v>0</v>
      </c>
      <c r="U179" s="356"/>
      <c r="V179" s="356"/>
      <c r="W179" s="356"/>
      <c r="X179" s="356"/>
      <c r="Y179" s="356"/>
      <c r="Z179" s="356"/>
      <c r="AA179" s="356"/>
      <c r="AB179" s="356"/>
      <c r="AC179" s="356"/>
      <c r="AD179" s="356"/>
      <c r="AE179" s="356"/>
      <c r="AF179" s="356"/>
      <c r="AG179" s="356"/>
      <c r="AH179" s="356"/>
      <c r="AI179" s="356"/>
      <c r="AJ179" s="356"/>
      <c r="AK179" s="356"/>
      <c r="AL179" s="356"/>
      <c r="AM179" s="356"/>
      <c r="AN179" s="356"/>
      <c r="AO179" s="356"/>
      <c r="AP179" s="356"/>
      <c r="AQ179" s="356"/>
      <c r="AR179" s="356"/>
      <c r="AS179" s="356"/>
      <c r="AT179" s="356"/>
      <c r="AU179" s="356"/>
      <c r="AV179" s="356"/>
      <c r="AW179" s="356"/>
      <c r="AX179" s="356"/>
      <c r="AY179" s="356"/>
      <c r="AZ179" s="356"/>
      <c r="BA179" s="356"/>
      <c r="BB179" s="356"/>
      <c r="BC179" s="356"/>
      <c r="BD179" s="356"/>
      <c r="BE179" s="356"/>
      <c r="BF179" s="356"/>
      <c r="BG179" s="356"/>
      <c r="BH179" s="356"/>
      <c r="BI179" s="356"/>
      <c r="BJ179" s="356"/>
      <c r="BK179" s="356"/>
      <c r="BL179" s="356"/>
      <c r="BM179" s="356"/>
      <c r="BN179" s="356"/>
      <c r="BO179" s="356"/>
      <c r="BP179" s="356"/>
      <c r="BQ179" s="356"/>
      <c r="BR179" s="356"/>
      <c r="BS179" s="356"/>
      <c r="BT179" s="356"/>
      <c r="BU179" s="356"/>
      <c r="BV179" s="356"/>
      <c r="BW179" s="356"/>
      <c r="BX179" s="356"/>
      <c r="BY179" s="356"/>
      <c r="BZ179" s="356"/>
      <c r="CA179" s="356"/>
      <c r="CB179" s="356"/>
      <c r="CC179" s="356"/>
      <c r="CD179" s="356"/>
      <c r="CE179" s="356"/>
      <c r="CF179" s="356"/>
      <c r="CG179" s="356"/>
      <c r="CH179" s="356"/>
      <c r="CI179" s="356"/>
      <c r="CJ179" s="356"/>
      <c r="CK179" s="356"/>
      <c r="CL179" s="356"/>
      <c r="CM179" s="356"/>
      <c r="CN179" s="356"/>
      <c r="CO179" s="356"/>
      <c r="CP179" s="356"/>
      <c r="CQ179" s="356"/>
      <c r="CR179" s="356"/>
      <c r="CS179" s="356"/>
      <c r="CT179" s="356"/>
      <c r="CU179" s="356"/>
      <c r="CV179" s="356"/>
      <c r="CW179" s="356"/>
      <c r="CX179" s="356"/>
      <c r="CY179" s="356"/>
      <c r="CZ179" s="356"/>
      <c r="DA179" s="356"/>
      <c r="DB179" s="356"/>
      <c r="DC179" s="356"/>
      <c r="DD179" s="356"/>
      <c r="DE179" s="356"/>
      <c r="DF179" s="356"/>
      <c r="DG179" s="356"/>
      <c r="DH179" s="356"/>
      <c r="DI179" s="356"/>
      <c r="DJ179" s="356"/>
      <c r="DK179" s="356"/>
      <c r="DL179" s="356"/>
      <c r="DM179" s="356"/>
      <c r="DN179" s="356"/>
      <c r="DO179" s="356"/>
      <c r="DP179" s="356"/>
      <c r="DQ179" s="356"/>
      <c r="DR179" s="356"/>
      <c r="DS179" s="356"/>
      <c r="DT179" s="356"/>
      <c r="DU179" s="356"/>
      <c r="DV179" s="356"/>
      <c r="DW179" s="356"/>
      <c r="DX179" s="356"/>
      <c r="DY179" s="356"/>
      <c r="DZ179" s="356"/>
      <c r="EA179" s="356"/>
      <c r="EB179" s="356"/>
      <c r="EC179" s="356"/>
      <c r="ED179" s="356"/>
      <c r="EE179" s="356"/>
      <c r="EF179" s="356"/>
      <c r="EG179" s="356"/>
      <c r="EH179" s="356"/>
      <c r="EI179" s="356"/>
      <c r="EJ179" s="356"/>
      <c r="EK179" s="356"/>
      <c r="EL179" s="356"/>
      <c r="EM179" s="356"/>
      <c r="EN179" s="356"/>
      <c r="EO179" s="356"/>
      <c r="EP179" s="356"/>
      <c r="EQ179" s="356"/>
      <c r="ER179" s="356"/>
      <c r="ES179" s="356"/>
      <c r="ET179" s="356"/>
      <c r="EU179" s="356"/>
      <c r="EV179" s="356"/>
      <c r="EW179" s="356"/>
      <c r="EX179" s="356"/>
      <c r="EY179" s="356"/>
      <c r="EZ179" s="356"/>
      <c r="FA179" s="356"/>
      <c r="FB179" s="356"/>
      <c r="FC179" s="356"/>
      <c r="FD179" s="356"/>
      <c r="FE179" s="356"/>
      <c r="FF179" s="356"/>
      <c r="FG179" s="356"/>
      <c r="FH179" s="356"/>
      <c r="FI179" s="356"/>
      <c r="FJ179" s="356"/>
      <c r="FK179" s="356"/>
      <c r="FL179" s="356"/>
      <c r="FM179" s="356"/>
      <c r="FN179" s="356"/>
      <c r="FO179" s="356"/>
      <c r="FP179" s="356"/>
      <c r="FQ179" s="356"/>
      <c r="FR179" s="356"/>
      <c r="FS179" s="356"/>
      <c r="FT179" s="356"/>
      <c r="FU179" s="356"/>
      <c r="FV179" s="356"/>
      <c r="FW179" s="356"/>
      <c r="FX179" s="356"/>
      <c r="FY179" s="356"/>
      <c r="FZ179" s="356"/>
      <c r="GA179" s="356"/>
      <c r="GB179" s="356"/>
      <c r="GC179" s="356"/>
      <c r="GD179" s="356"/>
      <c r="GE179" s="356"/>
      <c r="GF179" s="356"/>
      <c r="GG179" s="356"/>
      <c r="GH179" s="356"/>
      <c r="GI179" s="356"/>
      <c r="GJ179" s="356"/>
      <c r="GK179" s="356"/>
      <c r="GL179" s="356"/>
      <c r="GM179" s="356"/>
      <c r="GN179" s="356"/>
      <c r="GO179" s="356"/>
      <c r="HG179" s="306"/>
    </row>
    <row r="180" spans="1:215">
      <c r="A180" s="291"/>
      <c r="B180" s="356"/>
      <c r="C180" s="356"/>
      <c r="D180" s="356"/>
      <c r="E180" s="356"/>
      <c r="F180" s="356"/>
      <c r="G180" s="356"/>
      <c r="H180" s="356"/>
      <c r="I180" s="356"/>
      <c r="J180" s="356"/>
      <c r="K180" s="356"/>
      <c r="L180" s="356"/>
      <c r="M180" s="356"/>
      <c r="N180" s="356"/>
      <c r="O180" s="356"/>
      <c r="P180" s="356"/>
      <c r="Q180" s="357"/>
      <c r="R180" s="356"/>
      <c r="S180" s="358"/>
      <c r="T180" s="295">
        <f t="shared" si="161"/>
        <v>0</v>
      </c>
      <c r="U180" s="356"/>
      <c r="V180" s="356"/>
      <c r="W180" s="356"/>
      <c r="X180" s="356"/>
      <c r="Y180" s="356"/>
      <c r="Z180" s="356"/>
      <c r="AA180" s="356"/>
      <c r="AB180" s="356"/>
      <c r="AC180" s="356"/>
      <c r="AD180" s="356"/>
      <c r="AE180" s="356"/>
      <c r="AF180" s="356"/>
      <c r="AG180" s="356"/>
      <c r="AH180" s="356"/>
      <c r="AI180" s="356"/>
      <c r="AJ180" s="356"/>
      <c r="AK180" s="356"/>
      <c r="AL180" s="356"/>
      <c r="AM180" s="356"/>
      <c r="AN180" s="356"/>
      <c r="AO180" s="356"/>
      <c r="AP180" s="356"/>
      <c r="AQ180" s="356"/>
      <c r="AR180" s="356"/>
      <c r="AS180" s="356"/>
      <c r="AT180" s="356"/>
      <c r="AU180" s="356"/>
      <c r="AV180" s="356"/>
      <c r="AW180" s="356"/>
      <c r="AX180" s="356"/>
      <c r="AY180" s="356"/>
      <c r="AZ180" s="356"/>
      <c r="BA180" s="356"/>
      <c r="BB180" s="356"/>
      <c r="BC180" s="356"/>
      <c r="BD180" s="356"/>
      <c r="BE180" s="356"/>
      <c r="BF180" s="356"/>
      <c r="BG180" s="356"/>
      <c r="BH180" s="356"/>
      <c r="BI180" s="356"/>
      <c r="BJ180" s="356"/>
      <c r="BK180" s="356"/>
      <c r="BL180" s="356"/>
      <c r="BM180" s="356"/>
      <c r="BN180" s="356"/>
      <c r="BO180" s="356"/>
      <c r="BP180" s="356"/>
      <c r="BQ180" s="356"/>
      <c r="BR180" s="356"/>
      <c r="BS180" s="356"/>
      <c r="BT180" s="356"/>
      <c r="BU180" s="356"/>
      <c r="BV180" s="356"/>
      <c r="BW180" s="356"/>
      <c r="BX180" s="356"/>
      <c r="BY180" s="356"/>
      <c r="BZ180" s="356"/>
      <c r="CA180" s="356"/>
      <c r="CB180" s="356"/>
      <c r="CC180" s="356"/>
      <c r="CD180" s="356"/>
      <c r="CE180" s="356"/>
      <c r="CF180" s="356"/>
      <c r="CG180" s="356"/>
      <c r="CH180" s="356"/>
      <c r="CI180" s="356"/>
      <c r="CJ180" s="356"/>
      <c r="CK180" s="356"/>
      <c r="CL180" s="356"/>
      <c r="CM180" s="356"/>
      <c r="CN180" s="356"/>
      <c r="CO180" s="356"/>
      <c r="CP180" s="356"/>
      <c r="CQ180" s="356"/>
      <c r="CR180" s="356"/>
      <c r="CS180" s="356"/>
      <c r="CT180" s="356"/>
      <c r="CU180" s="356"/>
      <c r="CV180" s="356"/>
      <c r="CW180" s="356"/>
      <c r="CX180" s="356"/>
      <c r="CY180" s="356"/>
      <c r="CZ180" s="356"/>
      <c r="DA180" s="356"/>
      <c r="DB180" s="356"/>
      <c r="DC180" s="356"/>
      <c r="DD180" s="356"/>
      <c r="DE180" s="356"/>
      <c r="DF180" s="356"/>
      <c r="DG180" s="356"/>
      <c r="DH180" s="356"/>
      <c r="DI180" s="356"/>
      <c r="DJ180" s="356"/>
      <c r="DK180" s="356"/>
      <c r="DL180" s="356"/>
      <c r="DM180" s="356"/>
      <c r="DN180" s="356"/>
      <c r="DO180" s="356"/>
      <c r="DP180" s="356"/>
      <c r="DQ180" s="356"/>
      <c r="DR180" s="356"/>
      <c r="DS180" s="356"/>
      <c r="DT180" s="356"/>
      <c r="DU180" s="356"/>
      <c r="DV180" s="356"/>
      <c r="DW180" s="356"/>
      <c r="DX180" s="356"/>
      <c r="DY180" s="356"/>
      <c r="DZ180" s="356"/>
      <c r="EA180" s="356"/>
      <c r="EB180" s="356"/>
      <c r="EC180" s="356"/>
      <c r="ED180" s="356"/>
      <c r="EE180" s="356"/>
      <c r="EF180" s="356"/>
      <c r="EG180" s="356"/>
      <c r="EH180" s="356"/>
      <c r="EI180" s="356"/>
      <c r="EJ180" s="356"/>
      <c r="EK180" s="356"/>
      <c r="EL180" s="356"/>
      <c r="EM180" s="356"/>
      <c r="EN180" s="356"/>
      <c r="EO180" s="356"/>
      <c r="EP180" s="356"/>
      <c r="EQ180" s="356"/>
      <c r="ER180" s="356"/>
      <c r="ES180" s="356"/>
      <c r="ET180" s="356"/>
      <c r="EU180" s="356"/>
      <c r="EV180" s="356"/>
      <c r="EW180" s="356"/>
      <c r="EX180" s="356"/>
      <c r="EY180" s="356"/>
      <c r="EZ180" s="356"/>
      <c r="FA180" s="356"/>
      <c r="FB180" s="356"/>
      <c r="FC180" s="356"/>
      <c r="FD180" s="356"/>
      <c r="FE180" s="356"/>
      <c r="FF180" s="356"/>
      <c r="FG180" s="356"/>
      <c r="FH180" s="356"/>
      <c r="FI180" s="356"/>
      <c r="FJ180" s="356"/>
      <c r="FK180" s="356"/>
      <c r="FL180" s="356"/>
      <c r="FM180" s="356"/>
      <c r="FN180" s="356"/>
      <c r="FO180" s="356"/>
      <c r="FP180" s="356"/>
      <c r="FQ180" s="356"/>
      <c r="FR180" s="356"/>
      <c r="FS180" s="356"/>
      <c r="FT180" s="356"/>
      <c r="FU180" s="356"/>
      <c r="FV180" s="356"/>
      <c r="FW180" s="356"/>
      <c r="FX180" s="356"/>
      <c r="FY180" s="356"/>
      <c r="FZ180" s="356"/>
      <c r="GA180" s="356"/>
      <c r="GB180" s="356"/>
      <c r="GC180" s="356"/>
      <c r="GD180" s="356"/>
      <c r="GE180" s="356"/>
      <c r="GF180" s="356"/>
      <c r="GG180" s="356"/>
      <c r="GH180" s="356"/>
      <c r="GI180" s="356"/>
      <c r="GJ180" s="356"/>
      <c r="GK180" s="356"/>
      <c r="GL180" s="356"/>
      <c r="GM180" s="356"/>
      <c r="GN180" s="356"/>
      <c r="GO180" s="356"/>
      <c r="GP180" s="364">
        <f t="shared" ref="GP180:HF180" si="163">SUM(GP10:GP175)</f>
        <v>12110</v>
      </c>
      <c r="GQ180" s="364">
        <f t="shared" si="163"/>
        <v>18847</v>
      </c>
      <c r="GR180" s="364">
        <f t="shared" si="163"/>
        <v>18577</v>
      </c>
      <c r="GS180" s="364">
        <f t="shared" si="163"/>
        <v>17905</v>
      </c>
      <c r="GT180" s="364">
        <f t="shared" si="163"/>
        <v>16324</v>
      </c>
      <c r="GU180" s="364">
        <f t="shared" si="163"/>
        <v>15683</v>
      </c>
      <c r="GV180" s="364">
        <f t="shared" si="163"/>
        <v>14684</v>
      </c>
      <c r="GW180" s="364">
        <f t="shared" si="163"/>
        <v>9391</v>
      </c>
      <c r="GX180" s="364">
        <f t="shared" si="163"/>
        <v>0</v>
      </c>
      <c r="GY180" s="364">
        <f t="shared" si="163"/>
        <v>0</v>
      </c>
      <c r="GZ180" s="364">
        <f t="shared" si="163"/>
        <v>0</v>
      </c>
      <c r="HA180" s="364">
        <f t="shared" si="163"/>
        <v>0</v>
      </c>
      <c r="HB180" s="364">
        <f t="shared" si="163"/>
        <v>0</v>
      </c>
      <c r="HC180" s="364">
        <f t="shared" si="163"/>
        <v>0</v>
      </c>
      <c r="HD180" s="364">
        <f t="shared" si="163"/>
        <v>0</v>
      </c>
      <c r="HE180" s="364">
        <f t="shared" si="163"/>
        <v>0</v>
      </c>
      <c r="HF180" s="364" t="e">
        <f t="shared" ca="1" si="163"/>
        <v>#VALUE!</v>
      </c>
    </row>
    <row r="181" spans="1:215">
      <c r="A181" s="291"/>
      <c r="B181" s="356"/>
      <c r="C181" s="356"/>
      <c r="D181" s="356"/>
      <c r="E181" s="356"/>
      <c r="F181" s="356"/>
      <c r="G181" s="356"/>
      <c r="H181" s="356"/>
      <c r="I181" s="356"/>
      <c r="J181" s="356"/>
      <c r="K181" s="356"/>
      <c r="L181" s="356"/>
      <c r="M181" s="356"/>
      <c r="N181" s="356"/>
      <c r="O181" s="356"/>
      <c r="P181" s="356"/>
      <c r="Q181" s="357"/>
      <c r="R181" s="356"/>
      <c r="S181" s="358"/>
      <c r="T181" s="295">
        <f t="shared" si="161"/>
        <v>0</v>
      </c>
      <c r="U181" s="356"/>
      <c r="V181" s="356"/>
      <c r="W181" s="356"/>
      <c r="X181" s="356"/>
      <c r="Y181" s="356"/>
      <c r="Z181" s="356"/>
      <c r="AA181" s="356"/>
      <c r="AB181" s="356"/>
      <c r="AC181" s="356"/>
      <c r="AD181" s="356"/>
      <c r="AE181" s="356"/>
      <c r="AF181" s="356"/>
      <c r="AG181" s="356"/>
      <c r="AH181" s="356"/>
      <c r="AI181" s="356"/>
      <c r="AJ181" s="356"/>
      <c r="AK181" s="356"/>
      <c r="AL181" s="356"/>
      <c r="AM181" s="356"/>
      <c r="AN181" s="356"/>
      <c r="AO181" s="356"/>
      <c r="AP181" s="356"/>
      <c r="AQ181" s="356"/>
      <c r="AR181" s="356"/>
      <c r="AS181" s="356"/>
      <c r="AT181" s="356"/>
      <c r="AU181" s="356"/>
      <c r="AV181" s="356"/>
      <c r="AW181" s="356"/>
      <c r="AX181" s="356"/>
      <c r="AY181" s="356"/>
      <c r="AZ181" s="356"/>
      <c r="BA181" s="356"/>
      <c r="BB181" s="356"/>
      <c r="BC181" s="356"/>
      <c r="BD181" s="356"/>
      <c r="BE181" s="356"/>
      <c r="BF181" s="356"/>
      <c r="BG181" s="356"/>
      <c r="BH181" s="356"/>
      <c r="BI181" s="356"/>
      <c r="BJ181" s="356"/>
      <c r="BK181" s="356"/>
      <c r="BL181" s="356"/>
      <c r="BM181" s="356"/>
      <c r="BN181" s="356"/>
      <c r="BO181" s="356"/>
      <c r="BP181" s="356"/>
      <c r="BQ181" s="356"/>
      <c r="BR181" s="356"/>
      <c r="BS181" s="356"/>
      <c r="BT181" s="356"/>
      <c r="BU181" s="356"/>
      <c r="BV181" s="356"/>
      <c r="BW181" s="356"/>
      <c r="BX181" s="356"/>
      <c r="BY181" s="356"/>
      <c r="BZ181" s="356"/>
      <c r="CA181" s="356"/>
      <c r="CB181" s="356"/>
      <c r="CC181" s="356"/>
      <c r="CD181" s="356"/>
      <c r="CE181" s="356"/>
      <c r="CF181" s="356"/>
      <c r="CG181" s="356"/>
      <c r="CH181" s="356"/>
      <c r="CI181" s="356"/>
      <c r="CJ181" s="356"/>
      <c r="CK181" s="356"/>
      <c r="CL181" s="356"/>
      <c r="CM181" s="356"/>
      <c r="CN181" s="356"/>
      <c r="CO181" s="356"/>
      <c r="CP181" s="356"/>
      <c r="CQ181" s="356"/>
      <c r="CR181" s="356"/>
      <c r="CS181" s="356"/>
      <c r="CT181" s="356"/>
      <c r="CU181" s="356"/>
      <c r="CV181" s="356"/>
      <c r="CW181" s="356"/>
      <c r="CX181" s="356"/>
      <c r="CY181" s="356"/>
      <c r="CZ181" s="356"/>
      <c r="DA181" s="356"/>
      <c r="DB181" s="356"/>
      <c r="DC181" s="356"/>
      <c r="DD181" s="356"/>
      <c r="DE181" s="356"/>
      <c r="DF181" s="356"/>
      <c r="DG181" s="356"/>
      <c r="DH181" s="356"/>
      <c r="DI181" s="356"/>
      <c r="DJ181" s="356"/>
      <c r="DK181" s="356"/>
      <c r="DL181" s="356"/>
      <c r="DM181" s="356"/>
      <c r="DN181" s="356"/>
      <c r="DO181" s="356"/>
      <c r="DP181" s="356"/>
      <c r="DQ181" s="356"/>
      <c r="DR181" s="356"/>
      <c r="DS181" s="356"/>
      <c r="DT181" s="356"/>
      <c r="DU181" s="356"/>
      <c r="DV181" s="356"/>
      <c r="DW181" s="356"/>
      <c r="DX181" s="356"/>
      <c r="DY181" s="356"/>
      <c r="DZ181" s="356"/>
      <c r="EA181" s="356"/>
      <c r="EB181" s="356"/>
      <c r="EC181" s="356"/>
      <c r="ED181" s="356"/>
      <c r="EE181" s="356"/>
      <c r="EF181" s="356"/>
      <c r="EG181" s="356"/>
      <c r="EH181" s="356"/>
      <c r="EI181" s="356"/>
      <c r="EJ181" s="356"/>
      <c r="EK181" s="356"/>
      <c r="EL181" s="356"/>
      <c r="EM181" s="356"/>
      <c r="EN181" s="356"/>
      <c r="EO181" s="356"/>
      <c r="EP181" s="356"/>
      <c r="EQ181" s="356"/>
      <c r="ER181" s="356"/>
      <c r="ES181" s="356"/>
      <c r="ET181" s="356"/>
      <c r="EU181" s="356"/>
      <c r="EV181" s="356"/>
      <c r="EW181" s="356"/>
      <c r="EX181" s="356"/>
      <c r="EY181" s="356"/>
      <c r="EZ181" s="356"/>
      <c r="FA181" s="356"/>
      <c r="FB181" s="356"/>
      <c r="FC181" s="356"/>
      <c r="FD181" s="356"/>
      <c r="FE181" s="356"/>
      <c r="FF181" s="356"/>
      <c r="FG181" s="356"/>
      <c r="FH181" s="356"/>
      <c r="FI181" s="356"/>
      <c r="FJ181" s="356"/>
      <c r="FK181" s="356"/>
      <c r="FL181" s="356"/>
      <c r="FM181" s="356"/>
      <c r="FN181" s="356"/>
      <c r="FO181" s="356"/>
      <c r="FP181" s="356"/>
      <c r="FQ181" s="356"/>
      <c r="FR181" s="356"/>
      <c r="FS181" s="356"/>
      <c r="FT181" s="356"/>
      <c r="FU181" s="356"/>
      <c r="FV181" s="356"/>
      <c r="FW181" s="356"/>
      <c r="FX181" s="356"/>
      <c r="FY181" s="356"/>
      <c r="FZ181" s="356"/>
      <c r="GA181" s="356"/>
      <c r="GB181" s="356"/>
      <c r="GC181" s="356"/>
      <c r="GD181" s="356"/>
      <c r="GE181" s="356"/>
      <c r="GF181" s="356"/>
      <c r="GG181" s="356"/>
      <c r="GH181" s="356"/>
      <c r="GI181" s="356"/>
      <c r="GJ181" s="356"/>
      <c r="GK181" s="356"/>
      <c r="GL181" s="356"/>
      <c r="GM181" s="356"/>
      <c r="GN181" s="356"/>
      <c r="GO181" s="356"/>
      <c r="GP181" s="365">
        <f t="shared" ref="GP181:HE181" si="164">SUMPRODUCT(GP10:GP175,$AA$10:$AA$175)</f>
        <v>1597440.5190970548</v>
      </c>
      <c r="GQ181" s="365">
        <f t="shared" si="164"/>
        <v>2572410.7033308218</v>
      </c>
      <c r="GR181" s="365">
        <f t="shared" si="164"/>
        <v>2520794.9882945903</v>
      </c>
      <c r="GS181" s="365">
        <f t="shared" si="164"/>
        <v>2409202.4705640734</v>
      </c>
      <c r="GT181" s="365">
        <f t="shared" si="164"/>
        <v>2196108.8660548995</v>
      </c>
      <c r="GU181" s="365">
        <f t="shared" si="164"/>
        <v>2047958.5710466101</v>
      </c>
      <c r="GV181" s="365">
        <f t="shared" si="164"/>
        <v>1848159.899357816</v>
      </c>
      <c r="GW181" s="365">
        <f t="shared" si="164"/>
        <v>1153940.7909348761</v>
      </c>
      <c r="GX181" s="365">
        <f t="shared" si="164"/>
        <v>0</v>
      </c>
      <c r="GY181" s="365">
        <f t="shared" si="164"/>
        <v>0</v>
      </c>
      <c r="GZ181" s="365">
        <f t="shared" si="164"/>
        <v>0</v>
      </c>
      <c r="HA181" s="365">
        <f t="shared" si="164"/>
        <v>0</v>
      </c>
      <c r="HB181" s="365">
        <f t="shared" si="164"/>
        <v>0</v>
      </c>
      <c r="HC181" s="365">
        <f t="shared" si="164"/>
        <v>0</v>
      </c>
      <c r="HD181" s="365">
        <f t="shared" si="164"/>
        <v>0</v>
      </c>
      <c r="HE181" s="365">
        <f t="shared" si="164"/>
        <v>0</v>
      </c>
      <c r="HF181" s="366">
        <f>SUM(FQ181:HE181)</f>
        <v>16346016.808680741</v>
      </c>
    </row>
    <row r="182" spans="1:215">
      <c r="A182" s="291"/>
      <c r="B182" s="356"/>
      <c r="C182" s="356"/>
      <c r="D182" s="356"/>
      <c r="E182" s="356"/>
      <c r="F182" s="356"/>
      <c r="G182" s="356"/>
      <c r="H182" s="356"/>
      <c r="I182" s="356"/>
      <c r="J182" s="356"/>
      <c r="K182" s="356"/>
      <c r="L182" s="356"/>
      <c r="M182" s="356"/>
      <c r="N182" s="356"/>
      <c r="O182" s="356"/>
      <c r="P182" s="356"/>
      <c r="Q182" s="357"/>
      <c r="R182" s="356"/>
      <c r="S182" s="358"/>
      <c r="T182" s="295">
        <f t="shared" si="161"/>
        <v>0</v>
      </c>
      <c r="U182" s="356"/>
      <c r="V182" s="356"/>
      <c r="W182" s="356"/>
      <c r="X182" s="356"/>
      <c r="Y182" s="356"/>
      <c r="Z182" s="356"/>
      <c r="AA182" s="356"/>
      <c r="AB182" s="356"/>
      <c r="AC182" s="356"/>
      <c r="AD182" s="356"/>
      <c r="AE182" s="356"/>
      <c r="AF182" s="356"/>
      <c r="AG182" s="356"/>
      <c r="AH182" s="356"/>
      <c r="AI182" s="356"/>
      <c r="AJ182" s="356"/>
      <c r="AK182" s="356"/>
      <c r="AL182" s="356"/>
      <c r="AM182" s="356"/>
      <c r="AN182" s="356"/>
      <c r="AO182" s="356"/>
      <c r="AP182" s="356"/>
      <c r="AQ182" s="356"/>
      <c r="AR182" s="356"/>
      <c r="AS182" s="356"/>
      <c r="AT182" s="356"/>
      <c r="AU182" s="356"/>
      <c r="AV182" s="356"/>
      <c r="AW182" s="356"/>
      <c r="AX182" s="356"/>
      <c r="AY182" s="356"/>
      <c r="AZ182" s="356"/>
      <c r="BA182" s="356"/>
      <c r="BB182" s="356"/>
      <c r="BC182" s="356"/>
      <c r="BD182" s="356"/>
      <c r="BE182" s="356"/>
      <c r="BF182" s="356"/>
      <c r="BG182" s="356"/>
      <c r="BH182" s="356"/>
      <c r="BI182" s="356"/>
      <c r="BJ182" s="356"/>
      <c r="BK182" s="356"/>
      <c r="BL182" s="356"/>
      <c r="BM182" s="356"/>
      <c r="BN182" s="356"/>
      <c r="BO182" s="356"/>
      <c r="BP182" s="356"/>
      <c r="BQ182" s="356"/>
      <c r="BR182" s="356"/>
      <c r="BS182" s="356"/>
      <c r="BT182" s="356"/>
      <c r="BU182" s="356"/>
      <c r="BV182" s="356"/>
      <c r="BW182" s="356"/>
      <c r="BX182" s="356"/>
      <c r="BY182" s="356"/>
      <c r="BZ182" s="356"/>
      <c r="CA182" s="356"/>
      <c r="CB182" s="356"/>
      <c r="CC182" s="356"/>
      <c r="CD182" s="356"/>
      <c r="CE182" s="356"/>
      <c r="CF182" s="356"/>
      <c r="CG182" s="356"/>
      <c r="CH182" s="356"/>
      <c r="CI182" s="356"/>
      <c r="CJ182" s="356"/>
      <c r="CK182" s="356"/>
      <c r="CL182" s="356"/>
      <c r="CM182" s="356"/>
      <c r="CN182" s="356"/>
      <c r="CO182" s="356"/>
      <c r="CP182" s="356"/>
      <c r="CQ182" s="356"/>
      <c r="CR182" s="356"/>
      <c r="CS182" s="356"/>
      <c r="CT182" s="356"/>
      <c r="CU182" s="356"/>
      <c r="CV182" s="356"/>
      <c r="CW182" s="356"/>
      <c r="CX182" s="356"/>
      <c r="CY182" s="356"/>
      <c r="CZ182" s="356"/>
      <c r="DA182" s="356"/>
      <c r="DB182" s="356"/>
      <c r="DC182" s="356"/>
      <c r="DD182" s="356"/>
      <c r="DE182" s="356"/>
      <c r="DF182" s="356"/>
      <c r="DG182" s="356"/>
      <c r="DH182" s="356"/>
      <c r="DI182" s="356"/>
      <c r="DJ182" s="356"/>
      <c r="DK182" s="356"/>
      <c r="DL182" s="356"/>
      <c r="DM182" s="356"/>
      <c r="DN182" s="356"/>
      <c r="DO182" s="356"/>
      <c r="DP182" s="356"/>
      <c r="DQ182" s="356"/>
      <c r="DR182" s="356"/>
      <c r="DS182" s="356"/>
      <c r="DT182" s="356"/>
      <c r="DU182" s="356"/>
      <c r="DV182" s="356"/>
      <c r="DW182" s="356"/>
      <c r="DX182" s="356"/>
      <c r="DY182" s="356"/>
      <c r="DZ182" s="356"/>
      <c r="EA182" s="356"/>
      <c r="EB182" s="356"/>
      <c r="EC182" s="356"/>
      <c r="ED182" s="356"/>
      <c r="EE182" s="356"/>
      <c r="EF182" s="356"/>
      <c r="EG182" s="356"/>
      <c r="EH182" s="356"/>
      <c r="EI182" s="356"/>
      <c r="EJ182" s="356"/>
      <c r="EK182" s="356"/>
      <c r="EL182" s="356"/>
      <c r="EM182" s="356"/>
      <c r="EN182" s="356"/>
      <c r="EO182" s="356"/>
      <c r="EP182" s="356"/>
      <c r="EQ182" s="356"/>
      <c r="ER182" s="356"/>
      <c r="ES182" s="356"/>
      <c r="ET182" s="356"/>
      <c r="EU182" s="356"/>
      <c r="EV182" s="356"/>
      <c r="EW182" s="356"/>
      <c r="EX182" s="356"/>
      <c r="EY182" s="356"/>
      <c r="EZ182" s="356"/>
      <c r="FA182" s="356"/>
      <c r="FB182" s="356"/>
      <c r="FC182" s="356"/>
      <c r="FD182" s="356"/>
      <c r="FE182" s="356"/>
      <c r="FF182" s="356"/>
      <c r="FG182" s="356"/>
      <c r="FH182" s="356"/>
      <c r="FI182" s="356"/>
      <c r="FJ182" s="356"/>
      <c r="FK182" s="356"/>
      <c r="FL182" s="356"/>
      <c r="FM182" s="356"/>
      <c r="FN182" s="356"/>
      <c r="FO182" s="356"/>
      <c r="FP182" s="356"/>
      <c r="FQ182" s="356"/>
      <c r="FR182" s="356"/>
      <c r="FS182" s="356"/>
      <c r="FT182" s="356"/>
      <c r="FU182" s="356"/>
      <c r="FV182" s="356"/>
      <c r="FW182" s="356"/>
      <c r="FX182" s="356"/>
      <c r="FY182" s="356"/>
      <c r="FZ182" s="356"/>
      <c r="GA182" s="356"/>
      <c r="GB182" s="356"/>
      <c r="GC182" s="356"/>
      <c r="GD182" s="356"/>
      <c r="GE182" s="356"/>
      <c r="GF182" s="356"/>
      <c r="GG182" s="356"/>
      <c r="GH182" s="356"/>
      <c r="GI182" s="356"/>
      <c r="GJ182" s="356"/>
      <c r="GK182" s="356"/>
      <c r="GL182" s="356"/>
      <c r="GM182" s="356"/>
      <c r="GN182" s="356"/>
      <c r="GO182" s="356"/>
    </row>
    <row r="183" spans="1:215">
      <c r="A183" s="291"/>
      <c r="B183" s="356"/>
      <c r="C183" s="356"/>
      <c r="D183" s="356"/>
      <c r="E183" s="356"/>
      <c r="F183" s="356"/>
      <c r="G183" s="356"/>
      <c r="H183" s="356"/>
      <c r="I183" s="356"/>
      <c r="J183" s="356"/>
      <c r="K183" s="356"/>
      <c r="L183" s="356"/>
      <c r="M183" s="356"/>
      <c r="N183" s="356"/>
      <c r="O183" s="356"/>
      <c r="P183" s="356"/>
      <c r="Q183" s="357"/>
      <c r="R183" s="356"/>
      <c r="S183" s="358"/>
      <c r="T183" s="358"/>
      <c r="U183" s="356"/>
      <c r="V183" s="356"/>
      <c r="W183" s="356"/>
      <c r="X183" s="356"/>
      <c r="Y183" s="356"/>
      <c r="Z183" s="356"/>
      <c r="AA183" s="356"/>
      <c r="AB183" s="356"/>
      <c r="AC183" s="356"/>
      <c r="AD183" s="356"/>
      <c r="AE183" s="356"/>
      <c r="AF183" s="356"/>
      <c r="AG183" s="356"/>
      <c r="AH183" s="356"/>
      <c r="AI183" s="356"/>
      <c r="AJ183" s="356"/>
      <c r="AK183" s="356"/>
      <c r="AL183" s="356"/>
      <c r="AM183" s="356"/>
      <c r="AN183" s="356"/>
      <c r="AO183" s="356"/>
      <c r="AP183" s="356"/>
      <c r="AQ183" s="356"/>
      <c r="AR183" s="356"/>
      <c r="AS183" s="356"/>
      <c r="AT183" s="356"/>
      <c r="AU183" s="356"/>
      <c r="AV183" s="356"/>
      <c r="AW183" s="356"/>
      <c r="AX183" s="356"/>
      <c r="AY183" s="356"/>
      <c r="AZ183" s="356"/>
      <c r="BA183" s="356"/>
      <c r="BB183" s="356"/>
      <c r="BC183" s="356"/>
      <c r="BD183" s="356"/>
      <c r="BE183" s="356"/>
      <c r="BF183" s="356"/>
      <c r="BG183" s="356"/>
      <c r="BH183" s="356"/>
      <c r="BI183" s="356"/>
      <c r="BJ183" s="356"/>
      <c r="BK183" s="356"/>
      <c r="BL183" s="356"/>
      <c r="BM183" s="356"/>
      <c r="BN183" s="356"/>
      <c r="BO183" s="356"/>
      <c r="BP183" s="356"/>
      <c r="BQ183" s="356"/>
      <c r="BR183" s="356"/>
      <c r="BS183" s="356"/>
      <c r="BT183" s="356"/>
      <c r="BU183" s="356"/>
      <c r="BV183" s="356"/>
      <c r="BW183" s="356"/>
      <c r="BX183" s="356"/>
      <c r="BY183" s="356"/>
      <c r="BZ183" s="356"/>
      <c r="CA183" s="356"/>
      <c r="CB183" s="356"/>
      <c r="CC183" s="356"/>
      <c r="CD183" s="356"/>
      <c r="CE183" s="356"/>
      <c r="CF183" s="356"/>
      <c r="CG183" s="356"/>
      <c r="CH183" s="356"/>
      <c r="CI183" s="356"/>
      <c r="CJ183" s="356"/>
      <c r="CK183" s="356"/>
      <c r="CL183" s="356"/>
      <c r="CM183" s="356"/>
      <c r="CN183" s="356"/>
      <c r="CO183" s="356"/>
      <c r="CP183" s="356"/>
      <c r="CQ183" s="356"/>
      <c r="CR183" s="356"/>
      <c r="CS183" s="356"/>
      <c r="CT183" s="356"/>
      <c r="CU183" s="356"/>
      <c r="CV183" s="356"/>
      <c r="CW183" s="356"/>
      <c r="CX183" s="356"/>
      <c r="CY183" s="356"/>
      <c r="CZ183" s="356"/>
      <c r="DA183" s="356"/>
      <c r="DB183" s="356"/>
      <c r="DC183" s="356"/>
      <c r="DD183" s="356"/>
      <c r="DE183" s="356"/>
      <c r="DF183" s="356"/>
      <c r="DG183" s="356"/>
      <c r="DH183" s="356"/>
      <c r="DI183" s="356"/>
      <c r="DJ183" s="356"/>
      <c r="DK183" s="356"/>
      <c r="DL183" s="356"/>
      <c r="DM183" s="356"/>
      <c r="DN183" s="356"/>
      <c r="DO183" s="356"/>
      <c r="DP183" s="356"/>
      <c r="DQ183" s="356"/>
      <c r="DR183" s="356"/>
      <c r="DS183" s="356"/>
      <c r="DT183" s="356"/>
      <c r="DU183" s="356"/>
      <c r="DV183" s="356"/>
      <c r="DW183" s="356"/>
      <c r="DX183" s="356"/>
      <c r="DY183" s="356"/>
      <c r="DZ183" s="356"/>
      <c r="EA183" s="356"/>
      <c r="EB183" s="356"/>
      <c r="EC183" s="356"/>
      <c r="ED183" s="356"/>
      <c r="EE183" s="356"/>
      <c r="EF183" s="356"/>
      <c r="EG183" s="356"/>
      <c r="EH183" s="356"/>
      <c r="EI183" s="356"/>
      <c r="EJ183" s="356"/>
      <c r="EK183" s="356"/>
      <c r="EL183" s="356"/>
      <c r="EM183" s="356"/>
      <c r="EN183" s="356"/>
      <c r="EO183" s="356"/>
      <c r="EP183" s="356"/>
      <c r="EQ183" s="356"/>
      <c r="ER183" s="356"/>
      <c r="ES183" s="356"/>
      <c r="ET183" s="356"/>
      <c r="EU183" s="356"/>
      <c r="EV183" s="356"/>
      <c r="EW183" s="356"/>
      <c r="EX183" s="356"/>
      <c r="EY183" s="356"/>
      <c r="EZ183" s="356"/>
      <c r="FA183" s="356"/>
      <c r="FB183" s="356"/>
      <c r="FC183" s="356"/>
      <c r="FD183" s="356"/>
      <c r="FE183" s="356"/>
      <c r="FF183" s="356"/>
      <c r="FG183" s="356"/>
      <c r="FH183" s="356"/>
      <c r="FI183" s="356"/>
      <c r="FJ183" s="356"/>
      <c r="FK183" s="356"/>
      <c r="FL183" s="356"/>
      <c r="FM183" s="356"/>
      <c r="FN183" s="356"/>
      <c r="FO183" s="356"/>
      <c r="FP183" s="356"/>
      <c r="FQ183" s="356"/>
      <c r="FR183" s="356"/>
      <c r="FS183" s="356"/>
      <c r="FT183" s="356"/>
      <c r="FU183" s="356"/>
      <c r="FV183" s="356"/>
      <c r="FW183" s="356"/>
      <c r="FX183" s="356"/>
      <c r="FY183" s="356"/>
      <c r="FZ183" s="356"/>
      <c r="GA183" s="356"/>
      <c r="GB183" s="356"/>
      <c r="GC183" s="356"/>
      <c r="GD183" s="356"/>
      <c r="GE183" s="356"/>
      <c r="GF183" s="356"/>
      <c r="GG183" s="356"/>
      <c r="GH183" s="356"/>
      <c r="GI183" s="356"/>
      <c r="GJ183" s="356"/>
      <c r="GK183" s="356"/>
      <c r="GL183" s="356"/>
      <c r="GM183" s="356"/>
      <c r="GN183" s="356"/>
      <c r="GO183" s="356"/>
    </row>
    <row r="184" spans="1:215">
      <c r="A184" s="291"/>
      <c r="B184" s="367" t="s">
        <v>332</v>
      </c>
      <c r="C184" s="368" t="s">
        <v>250</v>
      </c>
      <c r="D184" s="368" t="s">
        <v>251</v>
      </c>
      <c r="E184" s="368" t="s">
        <v>338</v>
      </c>
      <c r="F184" s="368" t="s">
        <v>182</v>
      </c>
      <c r="G184" s="368" t="s">
        <v>518</v>
      </c>
      <c r="H184" s="368" t="s">
        <v>519</v>
      </c>
      <c r="I184" s="356"/>
      <c r="J184" s="356"/>
      <c r="K184" s="356"/>
      <c r="L184" s="356"/>
      <c r="M184" s="356"/>
      <c r="N184" s="356"/>
      <c r="O184" s="356"/>
      <c r="P184" s="356"/>
      <c r="Q184" s="357"/>
      <c r="R184" s="356"/>
      <c r="S184" s="358"/>
      <c r="T184" s="358"/>
      <c r="U184" s="356"/>
      <c r="V184" s="356"/>
      <c r="W184" s="356"/>
      <c r="X184" s="356"/>
      <c r="Y184" s="356"/>
      <c r="Z184" s="356"/>
      <c r="AA184" s="356"/>
      <c r="AB184" s="356"/>
      <c r="AC184" s="356"/>
      <c r="AD184" s="356"/>
      <c r="AE184" s="356"/>
      <c r="AF184" s="356"/>
      <c r="AG184" s="356"/>
      <c r="AH184" s="356"/>
      <c r="AI184" s="356"/>
      <c r="AJ184" s="356"/>
      <c r="AK184" s="356"/>
      <c r="AL184" s="356"/>
      <c r="AM184" s="356"/>
      <c r="AN184" s="356"/>
      <c r="AO184" s="356"/>
      <c r="AP184" s="356"/>
      <c r="AQ184" s="356"/>
      <c r="AR184" s="356"/>
      <c r="AS184" s="356"/>
      <c r="AT184" s="356"/>
      <c r="AU184" s="356"/>
      <c r="AV184" s="356"/>
      <c r="AW184" s="356"/>
      <c r="AX184" s="356"/>
      <c r="AY184" s="356"/>
      <c r="AZ184" s="356"/>
      <c r="BA184" s="356"/>
      <c r="BB184" s="356"/>
      <c r="BC184" s="356"/>
      <c r="BD184" s="356"/>
      <c r="BE184" s="356"/>
      <c r="BF184" s="356"/>
      <c r="BG184" s="356"/>
      <c r="BH184" s="356"/>
      <c r="BI184" s="356"/>
      <c r="BJ184" s="356"/>
      <c r="BK184" s="356"/>
      <c r="BL184" s="356"/>
      <c r="BM184" s="356"/>
      <c r="BN184" s="356"/>
      <c r="BO184" s="356"/>
      <c r="BP184" s="356"/>
      <c r="BQ184" s="356"/>
      <c r="BR184" s="356"/>
      <c r="BS184" s="356"/>
      <c r="BT184" s="356"/>
      <c r="BU184" s="356"/>
      <c r="BV184" s="356"/>
      <c r="BW184" s="356"/>
      <c r="BX184" s="356"/>
      <c r="BY184" s="356"/>
      <c r="BZ184" s="356"/>
      <c r="CA184" s="356"/>
      <c r="CB184" s="356"/>
      <c r="CC184" s="356"/>
      <c r="CD184" s="356"/>
      <c r="CE184" s="356"/>
      <c r="CF184" s="356"/>
      <c r="CG184" s="356"/>
      <c r="CH184" s="356"/>
      <c r="CI184" s="356"/>
      <c r="CJ184" s="356"/>
      <c r="CK184" s="356"/>
      <c r="CL184" s="356"/>
      <c r="CM184" s="356"/>
      <c r="CN184" s="356"/>
      <c r="CO184" s="356"/>
      <c r="CP184" s="356"/>
      <c r="CQ184" s="356"/>
      <c r="CR184" s="356"/>
      <c r="CS184" s="356"/>
      <c r="CT184" s="356"/>
      <c r="CU184" s="356"/>
      <c r="CV184" s="356"/>
      <c r="CW184" s="356"/>
      <c r="CX184" s="356"/>
      <c r="CY184" s="356"/>
      <c r="CZ184" s="356"/>
      <c r="DA184" s="356"/>
      <c r="DB184" s="356"/>
      <c r="DC184" s="356"/>
      <c r="DD184" s="356"/>
      <c r="DE184" s="356"/>
      <c r="DF184" s="356"/>
      <c r="DG184" s="356"/>
      <c r="DH184" s="356"/>
      <c r="DI184" s="356"/>
      <c r="DJ184" s="356"/>
      <c r="DK184" s="356"/>
      <c r="DL184" s="356"/>
      <c r="DM184" s="356"/>
      <c r="DN184" s="356"/>
      <c r="DO184" s="356"/>
      <c r="DP184" s="356"/>
      <c r="DQ184" s="356"/>
      <c r="DR184" s="356"/>
      <c r="DS184" s="356"/>
      <c r="DT184" s="356"/>
      <c r="DU184" s="356"/>
      <c r="DV184" s="356"/>
      <c r="DW184" s="356"/>
      <c r="DX184" s="356"/>
      <c r="DY184" s="356"/>
      <c r="DZ184" s="356"/>
      <c r="EA184" s="356"/>
      <c r="EB184" s="356"/>
      <c r="EC184" s="356"/>
      <c r="ED184" s="356"/>
      <c r="EE184" s="356"/>
      <c r="EF184" s="356"/>
      <c r="EG184" s="356"/>
      <c r="EH184" s="356"/>
      <c r="EI184" s="356"/>
      <c r="EJ184" s="356"/>
      <c r="EK184" s="356"/>
      <c r="EL184" s="356"/>
      <c r="EM184" s="356"/>
      <c r="EN184" s="356"/>
      <c r="EO184" s="356"/>
      <c r="EP184" s="356"/>
      <c r="EQ184" s="356"/>
      <c r="ER184" s="356"/>
      <c r="ES184" s="356"/>
      <c r="ET184" s="356"/>
      <c r="EU184" s="356"/>
      <c r="EV184" s="356"/>
      <c r="EW184" s="356"/>
      <c r="EX184" s="356"/>
      <c r="EY184" s="356"/>
      <c r="EZ184" s="356"/>
      <c r="FA184" s="356"/>
      <c r="FB184" s="356"/>
      <c r="FC184" s="356"/>
      <c r="FD184" s="356"/>
      <c r="FE184" s="356"/>
      <c r="FF184" s="356"/>
      <c r="FG184" s="356"/>
      <c r="FH184" s="356"/>
      <c r="FI184" s="356"/>
      <c r="FJ184" s="356"/>
      <c r="FK184" s="356"/>
      <c r="FL184" s="356"/>
      <c r="FM184" s="356"/>
      <c r="FN184" s="356"/>
      <c r="FO184" s="356"/>
      <c r="FP184" s="356"/>
      <c r="FQ184" s="356"/>
      <c r="FR184" s="356"/>
      <c r="FS184" s="356"/>
      <c r="FT184" s="356"/>
      <c r="FU184" s="356"/>
      <c r="FV184" s="356"/>
      <c r="FW184" s="356"/>
      <c r="FX184" s="356"/>
      <c r="FY184" s="356"/>
      <c r="FZ184" s="356"/>
      <c r="GA184" s="356"/>
      <c r="GB184" s="356"/>
      <c r="GC184" s="356"/>
      <c r="GD184" s="356"/>
      <c r="GE184" s="356"/>
      <c r="GF184" s="356"/>
      <c r="GG184" s="356"/>
      <c r="GH184" s="356"/>
      <c r="GI184" s="356"/>
      <c r="GJ184" s="356"/>
      <c r="GK184" s="356"/>
      <c r="GL184" s="356"/>
      <c r="GM184" s="356"/>
      <c r="GN184" s="356"/>
      <c r="GO184" s="356"/>
    </row>
    <row r="185" spans="1:215">
      <c r="A185" s="291"/>
      <c r="B185" s="148" t="s">
        <v>520</v>
      </c>
      <c r="C185" s="369" t="s">
        <v>253</v>
      </c>
      <c r="D185" s="369" t="s">
        <v>240</v>
      </c>
      <c r="E185" s="369" t="s">
        <v>521</v>
      </c>
      <c r="F185" s="369" t="s">
        <v>184</v>
      </c>
      <c r="G185" s="370">
        <v>37</v>
      </c>
      <c r="H185" s="148" t="s">
        <v>259</v>
      </c>
      <c r="U185" s="225"/>
      <c r="V185" s="225"/>
      <c r="W185" s="225"/>
    </row>
    <row r="186" spans="1:215">
      <c r="A186" s="291"/>
      <c r="B186" s="148" t="s">
        <v>522</v>
      </c>
      <c r="C186" s="369" t="s">
        <v>238</v>
      </c>
      <c r="D186" s="369" t="s">
        <v>240</v>
      </c>
      <c r="E186" s="369" t="s">
        <v>521</v>
      </c>
      <c r="F186" s="369" t="s">
        <v>186</v>
      </c>
      <c r="G186" s="370">
        <v>163</v>
      </c>
      <c r="H186" s="148" t="s">
        <v>259</v>
      </c>
      <c r="U186" s="225"/>
      <c r="V186" s="225"/>
      <c r="W186" s="225"/>
    </row>
    <row r="187" spans="1:215">
      <c r="B187" s="148" t="s">
        <v>523</v>
      </c>
      <c r="C187" s="369" t="s">
        <v>238</v>
      </c>
      <c r="D187" s="369" t="s">
        <v>239</v>
      </c>
      <c r="E187" s="369" t="s">
        <v>524</v>
      </c>
      <c r="F187" s="369" t="s">
        <v>186</v>
      </c>
      <c r="G187" s="370">
        <v>207</v>
      </c>
      <c r="H187" s="148" t="s">
        <v>259</v>
      </c>
      <c r="Q187" s="131"/>
      <c r="R187" s="131"/>
    </row>
    <row r="188" spans="1:215" ht="15" customHeight="1">
      <c r="B188" s="148" t="s">
        <v>525</v>
      </c>
      <c r="C188" s="369" t="s">
        <v>238</v>
      </c>
      <c r="D188" s="369" t="s">
        <v>243</v>
      </c>
      <c r="E188" s="369" t="s">
        <v>526</v>
      </c>
      <c r="F188" s="369" t="s">
        <v>186</v>
      </c>
      <c r="G188" s="370">
        <v>258</v>
      </c>
      <c r="H188" s="148" t="s">
        <v>259</v>
      </c>
    </row>
    <row r="189" spans="1:215" ht="15" customHeight="1">
      <c r="B189" s="148" t="s">
        <v>527</v>
      </c>
      <c r="C189" s="369" t="s">
        <v>238</v>
      </c>
      <c r="D189" s="369" t="s">
        <v>241</v>
      </c>
      <c r="E189" s="369" t="s">
        <v>528</v>
      </c>
      <c r="F189" s="369" t="s">
        <v>186</v>
      </c>
      <c r="G189" s="370">
        <v>282</v>
      </c>
      <c r="H189" s="148" t="s">
        <v>259</v>
      </c>
    </row>
    <row r="190" spans="1:215" ht="15" customHeight="1">
      <c r="B190" s="148" t="s">
        <v>529</v>
      </c>
      <c r="C190" s="369" t="s">
        <v>238</v>
      </c>
      <c r="D190" s="369" t="s">
        <v>242</v>
      </c>
      <c r="E190" s="369" t="s">
        <v>530</v>
      </c>
      <c r="F190" s="369" t="s">
        <v>186</v>
      </c>
      <c r="G190" s="370">
        <v>316</v>
      </c>
      <c r="H190" s="148" t="s">
        <v>259</v>
      </c>
    </row>
    <row r="191" spans="1:215" ht="15" customHeight="1">
      <c r="B191" s="148" t="s">
        <v>531</v>
      </c>
      <c r="C191" s="369" t="s">
        <v>244</v>
      </c>
      <c r="D191" s="369" t="s">
        <v>240</v>
      </c>
      <c r="E191" s="369" t="s">
        <v>521</v>
      </c>
      <c r="F191" s="369" t="s">
        <v>184</v>
      </c>
      <c r="G191" s="370">
        <v>39</v>
      </c>
      <c r="H191" s="148" t="s">
        <v>259</v>
      </c>
    </row>
    <row r="192" spans="1:215" ht="15" customHeight="1">
      <c r="B192" s="148" t="s">
        <v>532</v>
      </c>
      <c r="C192" s="369" t="s">
        <v>244</v>
      </c>
      <c r="D192" s="369" t="s">
        <v>239</v>
      </c>
      <c r="E192" s="369" t="s">
        <v>524</v>
      </c>
      <c r="F192" s="369" t="s">
        <v>184</v>
      </c>
      <c r="G192" s="370">
        <v>44</v>
      </c>
      <c r="H192" s="148" t="s">
        <v>259</v>
      </c>
    </row>
    <row r="193" spans="2:115" ht="15" customHeight="1">
      <c r="B193" s="148" t="s">
        <v>533</v>
      </c>
      <c r="C193" s="369" t="s">
        <v>244</v>
      </c>
      <c r="D193" s="369" t="s">
        <v>243</v>
      </c>
      <c r="E193" s="369" t="s">
        <v>526</v>
      </c>
      <c r="F193" s="369" t="s">
        <v>184</v>
      </c>
      <c r="G193" s="370">
        <v>46</v>
      </c>
      <c r="H193" s="148" t="s">
        <v>259</v>
      </c>
      <c r="AB193" s="371"/>
      <c r="AC193" s="226"/>
      <c r="AD193" s="226"/>
      <c r="AE193" s="226"/>
      <c r="AF193" s="372"/>
      <c r="AG193" s="372"/>
      <c r="AH193" s="372"/>
      <c r="AI193" s="372"/>
      <c r="AJ193" s="372"/>
      <c r="AK193" s="372"/>
      <c r="AL193" s="372"/>
      <c r="AM193" s="372"/>
      <c r="AN193" s="372"/>
      <c r="AO193" s="372"/>
      <c r="AP193" s="372"/>
      <c r="AQ193" s="372"/>
      <c r="AR193" s="372"/>
      <c r="AS193" s="372"/>
      <c r="AT193" s="372"/>
      <c r="AU193" s="372"/>
      <c r="AV193" s="372"/>
      <c r="AW193" s="372"/>
      <c r="AX193" s="372"/>
      <c r="AY193" s="372"/>
      <c r="AZ193" s="372"/>
      <c r="BA193" s="372"/>
      <c r="BB193" s="372"/>
      <c r="BC193" s="372"/>
      <c r="BD193" s="372"/>
      <c r="BE193" s="372"/>
      <c r="BF193" s="372"/>
      <c r="BG193" s="372"/>
      <c r="BH193" s="372"/>
      <c r="BI193" s="372"/>
      <c r="BJ193" s="372"/>
      <c r="BK193" s="372"/>
      <c r="BL193" s="372"/>
      <c r="BM193" s="372"/>
      <c r="BN193" s="372"/>
      <c r="BO193" s="372"/>
      <c r="BP193" s="372"/>
      <c r="BQ193" s="372"/>
      <c r="BR193" s="372"/>
      <c r="BS193" s="372"/>
      <c r="BT193" s="372"/>
      <c r="BU193" s="372"/>
      <c r="BV193" s="372"/>
      <c r="BW193" s="373"/>
      <c r="BX193" s="373"/>
      <c r="BY193" s="373"/>
      <c r="BZ193" s="373"/>
      <c r="CA193" s="373"/>
      <c r="CB193" s="373"/>
      <c r="CC193" s="373"/>
      <c r="CD193" s="373"/>
      <c r="CI193" s="373"/>
      <c r="CJ193" s="373"/>
      <c r="CK193" s="373"/>
      <c r="CL193" s="373"/>
      <c r="CM193" s="373"/>
      <c r="CN193" s="373"/>
      <c r="CO193" s="373"/>
      <c r="CP193" s="373"/>
      <c r="CQ193" s="373"/>
      <c r="CR193" s="373"/>
      <c r="CS193" s="373"/>
      <c r="CT193" s="373"/>
      <c r="CU193" s="373"/>
      <c r="CV193" s="373"/>
      <c r="CW193" s="373"/>
      <c r="CX193" s="374"/>
      <c r="DG193" s="226"/>
      <c r="DH193" s="226"/>
      <c r="DI193" s="226"/>
      <c r="DJ193" s="226"/>
      <c r="DK193" s="226"/>
    </row>
    <row r="194" spans="2:115" ht="15" customHeight="1">
      <c r="B194" s="148" t="s">
        <v>534</v>
      </c>
      <c r="C194" s="369" t="s">
        <v>244</v>
      </c>
      <c r="D194" s="369" t="s">
        <v>241</v>
      </c>
      <c r="E194" s="369" t="s">
        <v>528</v>
      </c>
      <c r="F194" s="369" t="s">
        <v>184</v>
      </c>
      <c r="G194" s="370">
        <v>53</v>
      </c>
      <c r="H194" s="148" t="s">
        <v>259</v>
      </c>
    </row>
    <row r="195" spans="2:115" ht="15" customHeight="1">
      <c r="B195" s="148" t="s">
        <v>535</v>
      </c>
      <c r="C195" s="369" t="s">
        <v>244</v>
      </c>
      <c r="D195" s="369" t="s">
        <v>242</v>
      </c>
      <c r="E195" s="369" t="s">
        <v>530</v>
      </c>
      <c r="F195" s="369" t="s">
        <v>184</v>
      </c>
      <c r="G195" s="370">
        <v>61</v>
      </c>
      <c r="H195" s="148" t="s">
        <v>259</v>
      </c>
    </row>
    <row r="196" spans="2:115" ht="15" customHeight="1">
      <c r="B196" s="148" t="s">
        <v>536</v>
      </c>
      <c r="C196" s="369" t="s">
        <v>245</v>
      </c>
      <c r="D196" s="369" t="s">
        <v>239</v>
      </c>
      <c r="E196" s="369" t="s">
        <v>524</v>
      </c>
      <c r="F196" s="369" t="s">
        <v>184</v>
      </c>
      <c r="G196" s="370">
        <v>25</v>
      </c>
      <c r="H196" s="148" t="s">
        <v>259</v>
      </c>
    </row>
    <row r="197" spans="2:115" ht="15" customHeight="1">
      <c r="B197" s="148" t="s">
        <v>537</v>
      </c>
      <c r="C197" s="369" t="s">
        <v>245</v>
      </c>
      <c r="D197" s="369" t="s">
        <v>240</v>
      </c>
      <c r="E197" s="369" t="s">
        <v>521</v>
      </c>
      <c r="F197" s="369" t="s">
        <v>184</v>
      </c>
      <c r="G197" s="370">
        <v>22</v>
      </c>
      <c r="H197" s="148" t="s">
        <v>259</v>
      </c>
    </row>
    <row r="198" spans="2:115" ht="15" customHeight="1">
      <c r="B198" s="148" t="s">
        <v>538</v>
      </c>
      <c r="C198" s="369" t="s">
        <v>245</v>
      </c>
      <c r="D198" s="369" t="s">
        <v>243</v>
      </c>
      <c r="E198" s="369" t="s">
        <v>526</v>
      </c>
      <c r="F198" s="369" t="s">
        <v>184</v>
      </c>
      <c r="G198" s="370">
        <v>32</v>
      </c>
      <c r="H198" s="148" t="s">
        <v>259</v>
      </c>
    </row>
    <row r="199" spans="2:115" ht="15" customHeight="1">
      <c r="B199" s="148" t="s">
        <v>539</v>
      </c>
      <c r="C199" s="369" t="s">
        <v>245</v>
      </c>
      <c r="D199" s="369" t="s">
        <v>241</v>
      </c>
      <c r="E199" s="369" t="s">
        <v>528</v>
      </c>
      <c r="F199" s="369" t="s">
        <v>184</v>
      </c>
      <c r="G199" s="370">
        <v>37</v>
      </c>
      <c r="H199" s="148" t="s">
        <v>259</v>
      </c>
    </row>
    <row r="200" spans="2:115" ht="15" customHeight="1">
      <c r="B200" s="148" t="s">
        <v>540</v>
      </c>
      <c r="C200" s="369" t="s">
        <v>245</v>
      </c>
      <c r="D200" s="369" t="s">
        <v>242</v>
      </c>
      <c r="E200" s="369" t="s">
        <v>530</v>
      </c>
      <c r="F200" s="369" t="s">
        <v>184</v>
      </c>
      <c r="G200" s="370">
        <v>45</v>
      </c>
      <c r="H200" s="148" t="s">
        <v>259</v>
      </c>
    </row>
    <row r="201" spans="2:115" ht="15" customHeight="1">
      <c r="B201" s="148" t="s">
        <v>541</v>
      </c>
      <c r="C201" s="369" t="s">
        <v>246</v>
      </c>
      <c r="D201" s="369" t="s">
        <v>240</v>
      </c>
      <c r="E201" s="369" t="s">
        <v>521</v>
      </c>
      <c r="F201" s="369" t="s">
        <v>184</v>
      </c>
      <c r="G201" s="370">
        <v>45</v>
      </c>
      <c r="H201" s="148" t="s">
        <v>259</v>
      </c>
    </row>
    <row r="202" spans="2:115" ht="15" customHeight="1">
      <c r="B202" s="148" t="s">
        <v>542</v>
      </c>
      <c r="C202" s="369" t="s">
        <v>246</v>
      </c>
      <c r="D202" s="369" t="s">
        <v>243</v>
      </c>
      <c r="E202" s="369" t="s">
        <v>526</v>
      </c>
      <c r="F202" s="369" t="s">
        <v>184</v>
      </c>
      <c r="G202" s="370">
        <v>52</v>
      </c>
      <c r="H202" s="148" t="s">
        <v>259</v>
      </c>
    </row>
    <row r="203" spans="2:115" ht="15" customHeight="1">
      <c r="B203" s="148" t="s">
        <v>543</v>
      </c>
      <c r="C203" s="369" t="s">
        <v>246</v>
      </c>
      <c r="D203" s="369" t="s">
        <v>239</v>
      </c>
      <c r="E203" s="369" t="s">
        <v>524</v>
      </c>
      <c r="F203" s="369" t="s">
        <v>184</v>
      </c>
      <c r="G203" s="370">
        <v>49</v>
      </c>
      <c r="H203" s="148" t="s">
        <v>259</v>
      </c>
    </row>
    <row r="204" spans="2:115" ht="15" customHeight="1">
      <c r="B204" s="148" t="s">
        <v>544</v>
      </c>
      <c r="C204" s="369" t="s">
        <v>246</v>
      </c>
      <c r="D204" s="369" t="s">
        <v>241</v>
      </c>
      <c r="E204" s="369" t="s">
        <v>528</v>
      </c>
      <c r="F204" s="369" t="s">
        <v>184</v>
      </c>
      <c r="G204" s="370">
        <v>62</v>
      </c>
      <c r="H204" s="148" t="s">
        <v>259</v>
      </c>
    </row>
    <row r="205" spans="2:115" ht="15" customHeight="1">
      <c r="B205" s="148" t="s">
        <v>545</v>
      </c>
      <c r="C205" s="369" t="s">
        <v>246</v>
      </c>
      <c r="D205" s="369" t="s">
        <v>242</v>
      </c>
      <c r="E205" s="369" t="s">
        <v>530</v>
      </c>
      <c r="F205" s="369" t="s">
        <v>184</v>
      </c>
      <c r="G205" s="370">
        <v>75</v>
      </c>
      <c r="H205" s="148" t="s">
        <v>259</v>
      </c>
    </row>
    <row r="206" spans="2:115" ht="15" customHeight="1">
      <c r="B206" s="148" t="s">
        <v>546</v>
      </c>
      <c r="C206" s="369" t="s">
        <v>247</v>
      </c>
      <c r="D206" s="369" t="s">
        <v>240</v>
      </c>
      <c r="E206" s="369" t="s">
        <v>521</v>
      </c>
      <c r="F206" s="369" t="s">
        <v>184</v>
      </c>
      <c r="G206" s="370">
        <v>28</v>
      </c>
      <c r="H206" s="148" t="s">
        <v>259</v>
      </c>
    </row>
    <row r="207" spans="2:115" ht="15" customHeight="1">
      <c r="B207" s="148" t="s">
        <v>547</v>
      </c>
      <c r="C207" s="369" t="s">
        <v>247</v>
      </c>
      <c r="D207" s="369" t="s">
        <v>243</v>
      </c>
      <c r="E207" s="369" t="s">
        <v>526</v>
      </c>
      <c r="F207" s="369" t="s">
        <v>184</v>
      </c>
      <c r="G207" s="370">
        <v>39</v>
      </c>
      <c r="H207" s="148" t="s">
        <v>259</v>
      </c>
    </row>
    <row r="208" spans="2:115" ht="15" customHeight="1">
      <c r="B208" s="148" t="s">
        <v>548</v>
      </c>
      <c r="C208" s="369" t="s">
        <v>247</v>
      </c>
      <c r="D208" s="369" t="s">
        <v>239</v>
      </c>
      <c r="E208" s="369" t="s">
        <v>524</v>
      </c>
      <c r="F208" s="369" t="s">
        <v>184</v>
      </c>
      <c r="G208" s="370">
        <v>33</v>
      </c>
      <c r="H208" s="148" t="s">
        <v>259</v>
      </c>
    </row>
    <row r="209" spans="2:8" ht="15" customHeight="1">
      <c r="B209" s="148" t="s">
        <v>549</v>
      </c>
      <c r="C209" s="369" t="s">
        <v>247</v>
      </c>
      <c r="D209" s="369" t="s">
        <v>241</v>
      </c>
      <c r="E209" s="369" t="s">
        <v>528</v>
      </c>
      <c r="F209" s="369" t="s">
        <v>184</v>
      </c>
      <c r="G209" s="370">
        <v>49</v>
      </c>
      <c r="H209" s="148" t="s">
        <v>259</v>
      </c>
    </row>
    <row r="210" spans="2:8" ht="15" customHeight="1">
      <c r="B210" s="148" t="s">
        <v>550</v>
      </c>
      <c r="C210" s="369" t="s">
        <v>247</v>
      </c>
      <c r="D210" s="369" t="s">
        <v>242</v>
      </c>
      <c r="E210" s="369" t="s">
        <v>530</v>
      </c>
      <c r="F210" s="369" t="s">
        <v>184</v>
      </c>
      <c r="G210" s="370">
        <v>59</v>
      </c>
      <c r="H210" s="148" t="s">
        <v>259</v>
      </c>
    </row>
    <row r="211" spans="2:8" ht="15" customHeight="1">
      <c r="B211" s="148" t="s">
        <v>551</v>
      </c>
      <c r="C211" s="369" t="s">
        <v>248</v>
      </c>
      <c r="D211" s="369" t="s">
        <v>239</v>
      </c>
      <c r="E211" s="369" t="s">
        <v>524</v>
      </c>
      <c r="F211" s="369" t="s">
        <v>184</v>
      </c>
      <c r="G211" s="370">
        <v>33</v>
      </c>
      <c r="H211" s="148" t="s">
        <v>259</v>
      </c>
    </row>
    <row r="212" spans="2:8" ht="15" customHeight="1">
      <c r="B212" s="148" t="s">
        <v>552</v>
      </c>
      <c r="C212" s="369" t="s">
        <v>248</v>
      </c>
      <c r="D212" s="369" t="s">
        <v>240</v>
      </c>
      <c r="E212" s="369" t="s">
        <v>521</v>
      </c>
      <c r="F212" s="369" t="s">
        <v>184</v>
      </c>
      <c r="G212" s="370">
        <v>29</v>
      </c>
      <c r="H212" s="148" t="s">
        <v>259</v>
      </c>
    </row>
    <row r="213" spans="2:8" ht="15" customHeight="1">
      <c r="B213" s="148" t="s">
        <v>553</v>
      </c>
      <c r="C213" s="369" t="s">
        <v>248</v>
      </c>
      <c r="D213" s="369" t="s">
        <v>243</v>
      </c>
      <c r="E213" s="369" t="s">
        <v>526</v>
      </c>
      <c r="F213" s="369" t="s">
        <v>184</v>
      </c>
      <c r="G213" s="370">
        <v>42</v>
      </c>
      <c r="H213" s="148" t="s">
        <v>259</v>
      </c>
    </row>
    <row r="214" spans="2:8" ht="15" customHeight="1">
      <c r="B214" s="148" t="s">
        <v>554</v>
      </c>
      <c r="C214" s="369" t="s">
        <v>248</v>
      </c>
      <c r="D214" s="369" t="s">
        <v>241</v>
      </c>
      <c r="E214" s="369" t="s">
        <v>528</v>
      </c>
      <c r="F214" s="369" t="s">
        <v>184</v>
      </c>
      <c r="G214" s="370">
        <v>52</v>
      </c>
      <c r="H214" s="148" t="s">
        <v>259</v>
      </c>
    </row>
    <row r="215" spans="2:8" ht="15" customHeight="1">
      <c r="B215" s="148" t="s">
        <v>555</v>
      </c>
      <c r="C215" s="369" t="s">
        <v>248</v>
      </c>
      <c r="D215" s="369" t="s">
        <v>242</v>
      </c>
      <c r="E215" s="369" t="s">
        <v>530</v>
      </c>
      <c r="F215" s="369" t="s">
        <v>184</v>
      </c>
      <c r="G215" s="370">
        <v>60</v>
      </c>
      <c r="H215" s="148" t="s">
        <v>259</v>
      </c>
    </row>
    <row r="216" spans="2:8" ht="15" customHeight="1">
      <c r="B216" s="148" t="s">
        <v>556</v>
      </c>
      <c r="C216" s="369" t="s">
        <v>249</v>
      </c>
      <c r="D216" s="369" t="s">
        <v>239</v>
      </c>
      <c r="E216" s="369" t="s">
        <v>524</v>
      </c>
      <c r="F216" s="369" t="s">
        <v>184</v>
      </c>
      <c r="G216" s="370">
        <v>44</v>
      </c>
      <c r="H216" s="148" t="s">
        <v>259</v>
      </c>
    </row>
    <row r="217" spans="2:8" ht="15" customHeight="1">
      <c r="B217" s="148" t="s">
        <v>557</v>
      </c>
      <c r="C217" s="369" t="s">
        <v>249</v>
      </c>
      <c r="D217" s="369" t="s">
        <v>240</v>
      </c>
      <c r="E217" s="369" t="s">
        <v>521</v>
      </c>
      <c r="F217" s="369" t="s">
        <v>184</v>
      </c>
      <c r="G217" s="370">
        <v>31</v>
      </c>
      <c r="H217" s="148" t="s">
        <v>259</v>
      </c>
    </row>
    <row r="218" spans="2:8" ht="15" customHeight="1">
      <c r="B218" s="148" t="s">
        <v>558</v>
      </c>
      <c r="C218" s="369" t="s">
        <v>249</v>
      </c>
      <c r="D218" s="369" t="s">
        <v>241</v>
      </c>
      <c r="E218" s="369" t="s">
        <v>528</v>
      </c>
      <c r="F218" s="369" t="s">
        <v>184</v>
      </c>
      <c r="G218" s="370">
        <v>63</v>
      </c>
      <c r="H218" s="148" t="s">
        <v>259</v>
      </c>
    </row>
    <row r="219" spans="2:8" ht="15" customHeight="1">
      <c r="B219" s="148" t="s">
        <v>559</v>
      </c>
      <c r="C219" s="369" t="s">
        <v>249</v>
      </c>
      <c r="D219" s="369" t="s">
        <v>242</v>
      </c>
      <c r="E219" s="369" t="s">
        <v>530</v>
      </c>
      <c r="F219" s="369" t="s">
        <v>184</v>
      </c>
      <c r="G219" s="370">
        <v>71</v>
      </c>
      <c r="H219" s="148" t="s">
        <v>259</v>
      </c>
    </row>
    <row r="220" spans="2:8" ht="15" customHeight="1">
      <c r="B220" s="148" t="s">
        <v>560</v>
      </c>
      <c r="C220" s="369" t="s">
        <v>249</v>
      </c>
      <c r="D220" s="369" t="s">
        <v>243</v>
      </c>
      <c r="E220" s="369" t="s">
        <v>526</v>
      </c>
      <c r="F220" s="369" t="s">
        <v>184</v>
      </c>
      <c r="G220" s="370">
        <v>52</v>
      </c>
      <c r="H220" s="148" t="s">
        <v>259</v>
      </c>
    </row>
    <row r="221" spans="2:8" ht="15" customHeight="1">
      <c r="B221" s="148" t="s">
        <v>561</v>
      </c>
      <c r="C221" s="369" t="s">
        <v>562</v>
      </c>
      <c r="D221" s="369" t="s">
        <v>239</v>
      </c>
      <c r="E221" s="369" t="s">
        <v>524</v>
      </c>
      <c r="F221" s="369" t="s">
        <v>184</v>
      </c>
      <c r="G221" s="370">
        <v>41</v>
      </c>
      <c r="H221" s="148" t="s">
        <v>259</v>
      </c>
    </row>
    <row r="222" spans="2:8" ht="15" customHeight="1">
      <c r="B222" s="148" t="s">
        <v>563</v>
      </c>
      <c r="C222" s="369" t="s">
        <v>562</v>
      </c>
      <c r="D222" s="369" t="s">
        <v>240</v>
      </c>
      <c r="E222" s="369" t="s">
        <v>521</v>
      </c>
      <c r="F222" s="369" t="s">
        <v>184</v>
      </c>
      <c r="G222" s="370">
        <v>33</v>
      </c>
      <c r="H222" s="148" t="s">
        <v>259</v>
      </c>
    </row>
    <row r="223" spans="2:8" ht="15" customHeight="1">
      <c r="B223" s="148" t="s">
        <v>564</v>
      </c>
      <c r="C223" s="369" t="s">
        <v>562</v>
      </c>
      <c r="D223" s="369" t="s">
        <v>241</v>
      </c>
      <c r="E223" s="369" t="s">
        <v>528</v>
      </c>
      <c r="F223" s="369" t="s">
        <v>184</v>
      </c>
      <c r="G223" s="370">
        <v>59</v>
      </c>
      <c r="H223" s="148" t="s">
        <v>259</v>
      </c>
    </row>
    <row r="224" spans="2:8" ht="15" customHeight="1">
      <c r="B224" s="148" t="s">
        <v>565</v>
      </c>
      <c r="C224" s="369" t="s">
        <v>562</v>
      </c>
      <c r="D224" s="369" t="s">
        <v>242</v>
      </c>
      <c r="E224" s="369" t="s">
        <v>530</v>
      </c>
      <c r="F224" s="369" t="s">
        <v>184</v>
      </c>
      <c r="G224" s="370">
        <v>75</v>
      </c>
      <c r="H224" s="148" t="s">
        <v>259</v>
      </c>
    </row>
    <row r="225" spans="2:8" ht="15" customHeight="1">
      <c r="B225" s="148" t="s">
        <v>566</v>
      </c>
      <c r="C225" s="369" t="s">
        <v>562</v>
      </c>
      <c r="D225" s="369" t="s">
        <v>243</v>
      </c>
      <c r="E225" s="369" t="s">
        <v>526</v>
      </c>
      <c r="F225" s="369" t="s">
        <v>184</v>
      </c>
      <c r="G225" s="370">
        <v>49</v>
      </c>
      <c r="H225" s="148" t="s">
        <v>259</v>
      </c>
    </row>
    <row r="226" spans="2:8" ht="15" customHeight="1">
      <c r="B226" s="148" t="s">
        <v>567</v>
      </c>
      <c r="C226" s="369" t="s">
        <v>509</v>
      </c>
      <c r="D226" s="369" t="s">
        <v>239</v>
      </c>
      <c r="E226" s="369" t="s">
        <v>524</v>
      </c>
      <c r="F226" s="369" t="s">
        <v>184</v>
      </c>
      <c r="G226" s="370">
        <v>40</v>
      </c>
      <c r="H226" s="148" t="s">
        <v>259</v>
      </c>
    </row>
    <row r="227" spans="2:8" ht="15" customHeight="1">
      <c r="B227" s="148" t="s">
        <v>568</v>
      </c>
      <c r="C227" s="369" t="s">
        <v>509</v>
      </c>
      <c r="D227" s="369" t="s">
        <v>240</v>
      </c>
      <c r="E227" s="369" t="s">
        <v>521</v>
      </c>
      <c r="F227" s="369" t="s">
        <v>184</v>
      </c>
      <c r="G227" s="370">
        <v>40</v>
      </c>
      <c r="H227" s="148" t="s">
        <v>259</v>
      </c>
    </row>
    <row r="228" spans="2:8" ht="15" customHeight="1">
      <c r="B228" s="148" t="s">
        <v>569</v>
      </c>
      <c r="C228" s="369" t="s">
        <v>509</v>
      </c>
      <c r="D228" s="369" t="s">
        <v>241</v>
      </c>
      <c r="E228" s="369" t="s">
        <v>528</v>
      </c>
      <c r="F228" s="369" t="s">
        <v>184</v>
      </c>
      <c r="G228" s="375">
        <v>61</v>
      </c>
      <c r="H228" s="148" t="s">
        <v>259</v>
      </c>
    </row>
    <row r="229" spans="2:8" ht="15" customHeight="1">
      <c r="B229" s="148" t="s">
        <v>570</v>
      </c>
      <c r="C229" s="369" t="s">
        <v>509</v>
      </c>
      <c r="D229" s="369" t="s">
        <v>242</v>
      </c>
      <c r="E229" s="369" t="s">
        <v>530</v>
      </c>
      <c r="F229" s="369" t="s">
        <v>184</v>
      </c>
      <c r="G229" s="375">
        <v>75</v>
      </c>
      <c r="H229" s="148" t="s">
        <v>259</v>
      </c>
    </row>
    <row r="230" spans="2:8" ht="15" customHeight="1">
      <c r="B230" s="148" t="s">
        <v>571</v>
      </c>
      <c r="C230" s="369" t="s">
        <v>509</v>
      </c>
      <c r="D230" s="369" t="s">
        <v>243</v>
      </c>
      <c r="E230" s="369" t="s">
        <v>526</v>
      </c>
      <c r="F230" s="369" t="s">
        <v>184</v>
      </c>
      <c r="G230" s="375">
        <v>51</v>
      </c>
      <c r="H230" s="148" t="s">
        <v>259</v>
      </c>
    </row>
    <row r="231" spans="2:8" ht="15" customHeight="1">
      <c r="B231" s="148" t="s">
        <v>572</v>
      </c>
      <c r="C231" s="369" t="s">
        <v>573</v>
      </c>
      <c r="D231" s="369" t="s">
        <v>239</v>
      </c>
      <c r="E231" s="369" t="s">
        <v>524</v>
      </c>
      <c r="F231" s="369" t="s">
        <v>184</v>
      </c>
      <c r="G231" s="370">
        <v>44</v>
      </c>
      <c r="H231" s="148" t="s">
        <v>259</v>
      </c>
    </row>
    <row r="232" spans="2:8" ht="15" customHeight="1">
      <c r="B232" s="148" t="s">
        <v>574</v>
      </c>
      <c r="C232" s="369" t="s">
        <v>573</v>
      </c>
      <c r="D232" s="369" t="s">
        <v>240</v>
      </c>
      <c r="E232" s="369" t="s">
        <v>521</v>
      </c>
      <c r="F232" s="369" t="s">
        <v>184</v>
      </c>
      <c r="G232" s="370">
        <v>33</v>
      </c>
      <c r="H232" s="148" t="s">
        <v>259</v>
      </c>
    </row>
    <row r="233" spans="2:8" ht="15" customHeight="1">
      <c r="B233" s="148" t="s">
        <v>575</v>
      </c>
      <c r="C233" s="369" t="s">
        <v>573</v>
      </c>
      <c r="D233" s="369" t="s">
        <v>241</v>
      </c>
      <c r="E233" s="369" t="s">
        <v>528</v>
      </c>
      <c r="F233" s="369" t="s">
        <v>184</v>
      </c>
      <c r="G233" s="370">
        <v>62</v>
      </c>
      <c r="H233" s="148" t="s">
        <v>259</v>
      </c>
    </row>
    <row r="234" spans="2:8" ht="15" customHeight="1">
      <c r="B234" s="148" t="s">
        <v>576</v>
      </c>
      <c r="C234" s="369" t="s">
        <v>573</v>
      </c>
      <c r="D234" s="369" t="s">
        <v>242</v>
      </c>
      <c r="E234" s="369" t="s">
        <v>530</v>
      </c>
      <c r="F234" s="369" t="s">
        <v>184</v>
      </c>
      <c r="G234" s="370">
        <v>72</v>
      </c>
      <c r="H234" s="148" t="s">
        <v>259</v>
      </c>
    </row>
    <row r="235" spans="2:8" ht="15" customHeight="1">
      <c r="B235" s="148" t="s">
        <v>577</v>
      </c>
      <c r="C235" s="369" t="s">
        <v>573</v>
      </c>
      <c r="D235" s="369" t="s">
        <v>243</v>
      </c>
      <c r="E235" s="369" t="s">
        <v>526</v>
      </c>
      <c r="F235" s="369" t="s">
        <v>184</v>
      </c>
      <c r="G235" s="370">
        <v>52</v>
      </c>
      <c r="H235" s="148" t="s">
        <v>259</v>
      </c>
    </row>
    <row r="236" spans="2:8" ht="15" customHeight="1">
      <c r="B236" s="148" t="s">
        <v>578</v>
      </c>
      <c r="C236" s="369" t="s">
        <v>579</v>
      </c>
      <c r="D236" s="369" t="s">
        <v>239</v>
      </c>
      <c r="E236" s="369" t="s">
        <v>524</v>
      </c>
      <c r="F236" s="369" t="s">
        <v>184</v>
      </c>
      <c r="G236" s="370">
        <v>32</v>
      </c>
      <c r="H236" s="148" t="s">
        <v>259</v>
      </c>
    </row>
    <row r="237" spans="2:8" ht="15" customHeight="1">
      <c r="B237" s="148" t="s">
        <v>580</v>
      </c>
      <c r="C237" s="369" t="s">
        <v>579</v>
      </c>
      <c r="D237" s="369" t="s">
        <v>240</v>
      </c>
      <c r="E237" s="369" t="s">
        <v>521</v>
      </c>
      <c r="F237" s="369" t="s">
        <v>184</v>
      </c>
      <c r="G237" s="370">
        <v>28</v>
      </c>
      <c r="H237" s="148" t="s">
        <v>259</v>
      </c>
    </row>
    <row r="238" spans="2:8" ht="15" customHeight="1">
      <c r="B238" s="148" t="s">
        <v>581</v>
      </c>
      <c r="C238" s="369" t="s">
        <v>579</v>
      </c>
      <c r="D238" s="369" t="s">
        <v>241</v>
      </c>
      <c r="E238" s="369" t="s">
        <v>528</v>
      </c>
      <c r="F238" s="369" t="s">
        <v>184</v>
      </c>
      <c r="G238" s="370">
        <v>49</v>
      </c>
      <c r="H238" s="148" t="s">
        <v>259</v>
      </c>
    </row>
    <row r="239" spans="2:8" ht="15" customHeight="1">
      <c r="B239" s="148" t="s">
        <v>582</v>
      </c>
      <c r="C239" s="369" t="s">
        <v>579</v>
      </c>
      <c r="D239" s="369" t="s">
        <v>242</v>
      </c>
      <c r="E239" s="369" t="s">
        <v>530</v>
      </c>
      <c r="F239" s="369" t="s">
        <v>184</v>
      </c>
      <c r="G239" s="370">
        <v>59</v>
      </c>
      <c r="H239" s="148" t="s">
        <v>259</v>
      </c>
    </row>
    <row r="240" spans="2:8" ht="15" customHeight="1">
      <c r="B240" s="148" t="s">
        <v>583</v>
      </c>
      <c r="C240" s="369" t="s">
        <v>579</v>
      </c>
      <c r="D240" s="369" t="s">
        <v>243</v>
      </c>
      <c r="E240" s="369" t="s">
        <v>526</v>
      </c>
      <c r="F240" s="369" t="s">
        <v>184</v>
      </c>
      <c r="G240" s="370">
        <v>39</v>
      </c>
      <c r="H240" s="148" t="s">
        <v>259</v>
      </c>
    </row>
    <row r="241" spans="2:8" ht="15" customHeight="1">
      <c r="B241" s="148" t="s">
        <v>584</v>
      </c>
      <c r="C241" s="369" t="s">
        <v>585</v>
      </c>
      <c r="D241" s="369" t="s">
        <v>239</v>
      </c>
      <c r="E241" s="369" t="s">
        <v>524</v>
      </c>
      <c r="F241" s="369" t="s">
        <v>184</v>
      </c>
      <c r="G241" s="370">
        <v>32</v>
      </c>
      <c r="H241" s="148" t="s">
        <v>259</v>
      </c>
    </row>
    <row r="242" spans="2:8" ht="15" customHeight="1">
      <c r="B242" s="148" t="s">
        <v>586</v>
      </c>
      <c r="C242" s="369" t="s">
        <v>585</v>
      </c>
      <c r="D242" s="369" t="s">
        <v>240</v>
      </c>
      <c r="E242" s="369" t="s">
        <v>521</v>
      </c>
      <c r="F242" s="369" t="s">
        <v>184</v>
      </c>
      <c r="G242" s="370">
        <v>26</v>
      </c>
      <c r="H242" s="148" t="s">
        <v>259</v>
      </c>
    </row>
    <row r="243" spans="2:8" ht="15" customHeight="1">
      <c r="B243" s="148" t="s">
        <v>587</v>
      </c>
      <c r="C243" s="369" t="s">
        <v>585</v>
      </c>
      <c r="D243" s="369" t="s">
        <v>241</v>
      </c>
      <c r="E243" s="369" t="s">
        <v>528</v>
      </c>
      <c r="F243" s="369" t="s">
        <v>184</v>
      </c>
      <c r="G243" s="370">
        <v>43</v>
      </c>
      <c r="H243" s="148" t="s">
        <v>259</v>
      </c>
    </row>
    <row r="244" spans="2:8" ht="15" customHeight="1">
      <c r="B244" s="148" t="s">
        <v>588</v>
      </c>
      <c r="C244" s="369" t="s">
        <v>585</v>
      </c>
      <c r="D244" s="369" t="s">
        <v>242</v>
      </c>
      <c r="E244" s="369" t="s">
        <v>530</v>
      </c>
      <c r="F244" s="369" t="s">
        <v>184</v>
      </c>
      <c r="G244" s="370">
        <v>59</v>
      </c>
      <c r="H244" s="148" t="s">
        <v>259</v>
      </c>
    </row>
    <row r="245" spans="2:8" ht="15" customHeight="1">
      <c r="B245" s="148" t="s">
        <v>589</v>
      </c>
      <c r="C245" s="369" t="s">
        <v>585</v>
      </c>
      <c r="D245" s="369" t="s">
        <v>243</v>
      </c>
      <c r="E245" s="369" t="s">
        <v>526</v>
      </c>
      <c r="F245" s="369" t="s">
        <v>184</v>
      </c>
      <c r="G245" s="370">
        <v>38</v>
      </c>
      <c r="H245" s="148" t="s">
        <v>259</v>
      </c>
    </row>
    <row r="246" spans="2:8" ht="15" customHeight="1">
      <c r="B246" s="148" t="s">
        <v>590</v>
      </c>
      <c r="C246" s="369" t="s">
        <v>477</v>
      </c>
      <c r="D246" s="369" t="s">
        <v>384</v>
      </c>
      <c r="E246" s="369" t="s">
        <v>591</v>
      </c>
      <c r="F246" s="369" t="s">
        <v>184</v>
      </c>
      <c r="G246" s="370">
        <v>76</v>
      </c>
      <c r="H246" s="148" t="s">
        <v>261</v>
      </c>
    </row>
    <row r="247" spans="2:8" ht="15" customHeight="1">
      <c r="B247" s="148" t="s">
        <v>592</v>
      </c>
      <c r="C247" s="369" t="s">
        <v>477</v>
      </c>
      <c r="D247" s="369" t="s">
        <v>368</v>
      </c>
      <c r="E247" s="369" t="s">
        <v>593</v>
      </c>
      <c r="F247" s="369" t="s">
        <v>184</v>
      </c>
      <c r="G247" s="370">
        <v>78</v>
      </c>
      <c r="H247" s="148" t="s">
        <v>261</v>
      </c>
    </row>
    <row r="248" spans="2:8" ht="15" customHeight="1">
      <c r="B248" s="148" t="s">
        <v>594</v>
      </c>
      <c r="C248" s="369" t="s">
        <v>477</v>
      </c>
      <c r="D248" s="369" t="s">
        <v>376</v>
      </c>
      <c r="E248" s="369" t="s">
        <v>595</v>
      </c>
      <c r="F248" s="369" t="s">
        <v>184</v>
      </c>
      <c r="G248" s="370">
        <v>127</v>
      </c>
      <c r="H248" s="148" t="s">
        <v>261</v>
      </c>
    </row>
    <row r="249" spans="2:8" ht="15" customHeight="1">
      <c r="B249" s="148" t="s">
        <v>596</v>
      </c>
      <c r="C249" s="369" t="s">
        <v>477</v>
      </c>
      <c r="D249" s="369" t="s">
        <v>357</v>
      </c>
      <c r="E249" s="369" t="s">
        <v>597</v>
      </c>
      <c r="F249" s="369" t="s">
        <v>184</v>
      </c>
      <c r="G249" s="370">
        <v>261</v>
      </c>
      <c r="H249" s="148" t="s">
        <v>261</v>
      </c>
    </row>
    <row r="250" spans="2:8" ht="15" customHeight="1">
      <c r="B250" s="148" t="s">
        <v>598</v>
      </c>
      <c r="C250" s="369" t="s">
        <v>477</v>
      </c>
      <c r="D250" s="369" t="s">
        <v>242</v>
      </c>
      <c r="E250" s="369" t="s">
        <v>599</v>
      </c>
      <c r="F250" s="369" t="s">
        <v>184</v>
      </c>
      <c r="G250" s="370">
        <v>261</v>
      </c>
      <c r="H250" s="148" t="s">
        <v>261</v>
      </c>
    </row>
    <row r="251" spans="2:8" ht="15" customHeight="1">
      <c r="B251" s="148" t="s">
        <v>600</v>
      </c>
      <c r="C251" s="369" t="s">
        <v>477</v>
      </c>
      <c r="D251" s="369" t="s">
        <v>364</v>
      </c>
      <c r="E251" s="369" t="s">
        <v>601</v>
      </c>
      <c r="F251" s="369" t="s">
        <v>184</v>
      </c>
      <c r="G251" s="370">
        <v>104</v>
      </c>
      <c r="H251" s="148" t="s">
        <v>261</v>
      </c>
    </row>
    <row r="252" spans="2:8" ht="15" customHeight="1">
      <c r="B252" s="148" t="s">
        <v>602</v>
      </c>
      <c r="C252" s="369" t="s">
        <v>477</v>
      </c>
      <c r="D252" s="369" t="s">
        <v>361</v>
      </c>
      <c r="E252" s="369" t="s">
        <v>603</v>
      </c>
      <c r="F252" s="369" t="s">
        <v>184</v>
      </c>
      <c r="G252" s="370">
        <v>162</v>
      </c>
      <c r="H252" s="148" t="s">
        <v>261</v>
      </c>
    </row>
    <row r="253" spans="2:8" ht="15" customHeight="1">
      <c r="B253" s="148" t="s">
        <v>604</v>
      </c>
      <c r="C253" s="369" t="s">
        <v>605</v>
      </c>
      <c r="D253" s="369" t="s">
        <v>239</v>
      </c>
      <c r="E253" s="369" t="s">
        <v>524</v>
      </c>
      <c r="F253" s="369" t="s">
        <v>184</v>
      </c>
      <c r="G253" s="370">
        <v>33</v>
      </c>
      <c r="H253" s="148" t="s">
        <v>259</v>
      </c>
    </row>
    <row r="254" spans="2:8" ht="15" customHeight="1">
      <c r="B254" s="148" t="s">
        <v>606</v>
      </c>
      <c r="C254" s="369" t="s">
        <v>605</v>
      </c>
      <c r="D254" s="369" t="s">
        <v>240</v>
      </c>
      <c r="E254" s="369" t="s">
        <v>521</v>
      </c>
      <c r="F254" s="369" t="s">
        <v>184</v>
      </c>
      <c r="G254" s="370">
        <v>29</v>
      </c>
      <c r="H254" s="148" t="s">
        <v>259</v>
      </c>
    </row>
    <row r="255" spans="2:8" ht="15" customHeight="1">
      <c r="B255" s="148" t="s">
        <v>607</v>
      </c>
      <c r="C255" s="369" t="s">
        <v>605</v>
      </c>
      <c r="D255" s="369" t="s">
        <v>241</v>
      </c>
      <c r="E255" s="369" t="s">
        <v>528</v>
      </c>
      <c r="F255" s="369" t="s">
        <v>184</v>
      </c>
      <c r="G255" s="370">
        <v>52</v>
      </c>
      <c r="H255" s="148" t="s">
        <v>259</v>
      </c>
    </row>
    <row r="256" spans="2:8" ht="15" customHeight="1">
      <c r="B256" s="148" t="s">
        <v>608</v>
      </c>
      <c r="C256" s="369" t="s">
        <v>605</v>
      </c>
      <c r="D256" s="369" t="s">
        <v>242</v>
      </c>
      <c r="E256" s="369" t="s">
        <v>530</v>
      </c>
      <c r="F256" s="369" t="s">
        <v>184</v>
      </c>
      <c r="G256" s="370">
        <v>60</v>
      </c>
      <c r="H256" s="148" t="s">
        <v>259</v>
      </c>
    </row>
    <row r="257" spans="2:8" ht="15" customHeight="1">
      <c r="B257" s="148" t="s">
        <v>609</v>
      </c>
      <c r="C257" s="369" t="s">
        <v>605</v>
      </c>
      <c r="D257" s="369" t="s">
        <v>243</v>
      </c>
      <c r="E257" s="369" t="s">
        <v>526</v>
      </c>
      <c r="F257" s="369" t="s">
        <v>184</v>
      </c>
      <c r="G257" s="370">
        <v>43</v>
      </c>
      <c r="H257" s="148" t="s">
        <v>259</v>
      </c>
    </row>
    <row r="258" spans="2:8" ht="15" customHeight="1">
      <c r="B258" s="148" t="s">
        <v>610</v>
      </c>
      <c r="C258" s="369" t="s">
        <v>611</v>
      </c>
      <c r="D258" s="369" t="s">
        <v>239</v>
      </c>
      <c r="E258" s="369" t="s">
        <v>524</v>
      </c>
      <c r="F258" s="369" t="s">
        <v>184</v>
      </c>
      <c r="G258" s="370">
        <v>33</v>
      </c>
      <c r="H258" s="148" t="s">
        <v>259</v>
      </c>
    </row>
    <row r="259" spans="2:8" ht="15" customHeight="1">
      <c r="B259" s="148" t="s">
        <v>612</v>
      </c>
      <c r="C259" s="369" t="s">
        <v>611</v>
      </c>
      <c r="D259" s="369" t="s">
        <v>240</v>
      </c>
      <c r="E259" s="369" t="s">
        <v>521</v>
      </c>
      <c r="F259" s="369" t="s">
        <v>184</v>
      </c>
      <c r="G259" s="370">
        <v>29</v>
      </c>
      <c r="H259" s="148" t="s">
        <v>259</v>
      </c>
    </row>
    <row r="260" spans="2:8" ht="15" customHeight="1">
      <c r="B260" s="148" t="s">
        <v>613</v>
      </c>
      <c r="C260" s="369" t="s">
        <v>611</v>
      </c>
      <c r="D260" s="369" t="s">
        <v>241</v>
      </c>
      <c r="E260" s="369" t="s">
        <v>528</v>
      </c>
      <c r="F260" s="369" t="s">
        <v>184</v>
      </c>
      <c r="G260" s="370">
        <v>52</v>
      </c>
      <c r="H260" s="148" t="s">
        <v>259</v>
      </c>
    </row>
    <row r="261" spans="2:8" ht="15" customHeight="1">
      <c r="B261" s="148" t="s">
        <v>614</v>
      </c>
      <c r="C261" s="369" t="s">
        <v>611</v>
      </c>
      <c r="D261" s="369" t="s">
        <v>242</v>
      </c>
      <c r="E261" s="369" t="s">
        <v>530</v>
      </c>
      <c r="F261" s="369" t="s">
        <v>184</v>
      </c>
      <c r="G261" s="370">
        <v>60</v>
      </c>
      <c r="H261" s="148" t="s">
        <v>259</v>
      </c>
    </row>
    <row r="262" spans="2:8" ht="15" customHeight="1">
      <c r="B262" s="148" t="s">
        <v>615</v>
      </c>
      <c r="C262" s="369" t="s">
        <v>611</v>
      </c>
      <c r="D262" s="369" t="s">
        <v>243</v>
      </c>
      <c r="E262" s="369" t="s">
        <v>526</v>
      </c>
      <c r="F262" s="369" t="s">
        <v>184</v>
      </c>
      <c r="G262" s="370">
        <v>43</v>
      </c>
      <c r="H262" s="148" t="s">
        <v>259</v>
      </c>
    </row>
    <row r="263" spans="2:8" ht="15" customHeight="1">
      <c r="B263" s="148" t="s">
        <v>616</v>
      </c>
      <c r="C263" s="369" t="s">
        <v>484</v>
      </c>
      <c r="D263" s="369" t="s">
        <v>239</v>
      </c>
      <c r="E263" s="369" t="s">
        <v>524</v>
      </c>
      <c r="F263" s="369" t="s">
        <v>184</v>
      </c>
      <c r="G263" s="370">
        <v>35</v>
      </c>
      <c r="H263" s="148" t="s">
        <v>259</v>
      </c>
    </row>
    <row r="264" spans="2:8" ht="15" customHeight="1">
      <c r="B264" s="148" t="s">
        <v>617</v>
      </c>
      <c r="C264" s="369" t="s">
        <v>484</v>
      </c>
      <c r="D264" s="369" t="s">
        <v>240</v>
      </c>
      <c r="E264" s="369" t="s">
        <v>521</v>
      </c>
      <c r="F264" s="369" t="s">
        <v>184</v>
      </c>
      <c r="G264" s="370">
        <v>31</v>
      </c>
      <c r="H264" s="148" t="s">
        <v>259</v>
      </c>
    </row>
    <row r="265" spans="2:8" ht="15" customHeight="1">
      <c r="B265" s="148" t="s">
        <v>618</v>
      </c>
      <c r="C265" s="369" t="s">
        <v>484</v>
      </c>
      <c r="D265" s="369" t="s">
        <v>241</v>
      </c>
      <c r="E265" s="369" t="s">
        <v>528</v>
      </c>
      <c r="F265" s="369" t="s">
        <v>184</v>
      </c>
      <c r="G265" s="370">
        <v>59</v>
      </c>
      <c r="H265" s="148" t="s">
        <v>259</v>
      </c>
    </row>
    <row r="266" spans="2:8" ht="15" customHeight="1">
      <c r="B266" s="148" t="s">
        <v>619</v>
      </c>
      <c r="C266" s="369" t="s">
        <v>484</v>
      </c>
      <c r="D266" s="369" t="s">
        <v>242</v>
      </c>
      <c r="E266" s="369" t="s">
        <v>530</v>
      </c>
      <c r="F266" s="369" t="s">
        <v>184</v>
      </c>
      <c r="G266" s="370">
        <v>66</v>
      </c>
      <c r="H266" s="148" t="s">
        <v>259</v>
      </c>
    </row>
    <row r="267" spans="2:8" ht="15" customHeight="1">
      <c r="B267" s="148" t="s">
        <v>620</v>
      </c>
      <c r="C267" s="369" t="s">
        <v>484</v>
      </c>
      <c r="D267" s="369" t="s">
        <v>243</v>
      </c>
      <c r="E267" s="369" t="s">
        <v>526</v>
      </c>
      <c r="F267" s="369" t="s">
        <v>184</v>
      </c>
      <c r="G267" s="370">
        <v>49</v>
      </c>
      <c r="H267" s="148" t="s">
        <v>259</v>
      </c>
    </row>
    <row r="268" spans="2:8" ht="15" customHeight="1">
      <c r="B268" s="148" t="s">
        <v>621</v>
      </c>
      <c r="C268" s="369" t="s">
        <v>622</v>
      </c>
      <c r="D268" s="369" t="s">
        <v>239</v>
      </c>
      <c r="E268" s="369" t="s">
        <v>524</v>
      </c>
      <c r="F268" s="369" t="s">
        <v>184</v>
      </c>
      <c r="G268" s="370">
        <v>33</v>
      </c>
      <c r="H268" s="148" t="s">
        <v>259</v>
      </c>
    </row>
    <row r="269" spans="2:8" ht="15" customHeight="1">
      <c r="B269" s="148" t="s">
        <v>623</v>
      </c>
      <c r="C269" s="369" t="s">
        <v>622</v>
      </c>
      <c r="D269" s="369" t="s">
        <v>240</v>
      </c>
      <c r="E269" s="369" t="s">
        <v>521</v>
      </c>
      <c r="F269" s="369" t="s">
        <v>184</v>
      </c>
      <c r="G269" s="370">
        <v>29</v>
      </c>
      <c r="H269" s="148" t="s">
        <v>259</v>
      </c>
    </row>
    <row r="270" spans="2:8" ht="15" customHeight="1">
      <c r="B270" s="148" t="s">
        <v>624</v>
      </c>
      <c r="C270" s="369" t="s">
        <v>622</v>
      </c>
      <c r="D270" s="369" t="s">
        <v>241</v>
      </c>
      <c r="E270" s="369" t="s">
        <v>528</v>
      </c>
      <c r="F270" s="369" t="s">
        <v>184</v>
      </c>
      <c r="G270" s="370">
        <v>49</v>
      </c>
      <c r="H270" s="148" t="s">
        <v>259</v>
      </c>
    </row>
    <row r="271" spans="2:8" ht="15" customHeight="1">
      <c r="B271" s="148" t="s">
        <v>625</v>
      </c>
      <c r="C271" s="369" t="s">
        <v>622</v>
      </c>
      <c r="D271" s="369" t="s">
        <v>242</v>
      </c>
      <c r="E271" s="369" t="s">
        <v>530</v>
      </c>
      <c r="F271" s="369" t="s">
        <v>184</v>
      </c>
      <c r="G271" s="370">
        <v>60</v>
      </c>
      <c r="H271" s="148" t="s">
        <v>259</v>
      </c>
    </row>
    <row r="272" spans="2:8" ht="15" customHeight="1">
      <c r="B272" s="148" t="s">
        <v>626</v>
      </c>
      <c r="C272" s="369" t="s">
        <v>622</v>
      </c>
      <c r="D272" s="369" t="s">
        <v>243</v>
      </c>
      <c r="E272" s="369" t="s">
        <v>526</v>
      </c>
      <c r="F272" s="369" t="s">
        <v>184</v>
      </c>
      <c r="G272" s="370">
        <v>41</v>
      </c>
      <c r="H272" s="148" t="s">
        <v>259</v>
      </c>
    </row>
    <row r="273" spans="2:8" ht="15" customHeight="1">
      <c r="B273" s="148" t="s">
        <v>627</v>
      </c>
      <c r="C273" s="369" t="s">
        <v>628</v>
      </c>
      <c r="D273" s="369" t="s">
        <v>239</v>
      </c>
      <c r="E273" s="369" t="s">
        <v>524</v>
      </c>
      <c r="F273" s="369" t="s">
        <v>184</v>
      </c>
      <c r="G273" s="370">
        <v>40</v>
      </c>
      <c r="H273" s="148" t="s">
        <v>259</v>
      </c>
    </row>
    <row r="274" spans="2:8" ht="15" customHeight="1">
      <c r="B274" s="148" t="s">
        <v>629</v>
      </c>
      <c r="C274" s="369" t="s">
        <v>628</v>
      </c>
      <c r="D274" s="369" t="s">
        <v>240</v>
      </c>
      <c r="E274" s="369" t="s">
        <v>521</v>
      </c>
      <c r="F274" s="369" t="s">
        <v>184</v>
      </c>
      <c r="G274" s="370">
        <v>34</v>
      </c>
      <c r="H274" s="148" t="s">
        <v>259</v>
      </c>
    </row>
    <row r="275" spans="2:8" ht="15" customHeight="1">
      <c r="B275" s="148" t="s">
        <v>630</v>
      </c>
      <c r="C275" s="369" t="s">
        <v>628</v>
      </c>
      <c r="D275" s="369" t="s">
        <v>241</v>
      </c>
      <c r="E275" s="369" t="s">
        <v>528</v>
      </c>
      <c r="F275" s="369" t="s">
        <v>184</v>
      </c>
      <c r="G275" s="370">
        <v>50</v>
      </c>
      <c r="H275" s="148" t="s">
        <v>259</v>
      </c>
    </row>
    <row r="276" spans="2:8" ht="15" customHeight="1">
      <c r="B276" s="148" t="s">
        <v>631</v>
      </c>
      <c r="C276" s="369" t="s">
        <v>628</v>
      </c>
      <c r="D276" s="369" t="s">
        <v>242</v>
      </c>
      <c r="E276" s="369" t="s">
        <v>530</v>
      </c>
      <c r="F276" s="369" t="s">
        <v>184</v>
      </c>
      <c r="G276" s="370">
        <v>60</v>
      </c>
      <c r="H276" s="148" t="s">
        <v>259</v>
      </c>
    </row>
    <row r="277" spans="2:8" ht="15" customHeight="1">
      <c r="B277" s="148" t="s">
        <v>632</v>
      </c>
      <c r="C277" s="369" t="s">
        <v>628</v>
      </c>
      <c r="D277" s="369" t="s">
        <v>243</v>
      </c>
      <c r="E277" s="369" t="s">
        <v>526</v>
      </c>
      <c r="F277" s="369" t="s">
        <v>184</v>
      </c>
      <c r="G277" s="370">
        <v>44</v>
      </c>
      <c r="H277" s="148" t="s">
        <v>259</v>
      </c>
    </row>
    <row r="278" spans="2:8" ht="15" customHeight="1">
      <c r="B278" s="148" t="s">
        <v>633</v>
      </c>
      <c r="C278" s="369" t="s">
        <v>634</v>
      </c>
      <c r="D278" s="369" t="s">
        <v>239</v>
      </c>
      <c r="E278" s="369" t="s">
        <v>524</v>
      </c>
      <c r="F278" s="369" t="s">
        <v>184</v>
      </c>
      <c r="G278" s="370">
        <v>25</v>
      </c>
      <c r="H278" s="148" t="s">
        <v>259</v>
      </c>
    </row>
    <row r="279" spans="2:8" ht="15" customHeight="1">
      <c r="B279" s="148" t="s">
        <v>635</v>
      </c>
      <c r="C279" s="369" t="s">
        <v>634</v>
      </c>
      <c r="D279" s="369" t="s">
        <v>240</v>
      </c>
      <c r="E279" s="369" t="s">
        <v>521</v>
      </c>
      <c r="F279" s="369" t="s">
        <v>184</v>
      </c>
      <c r="G279" s="370">
        <v>22</v>
      </c>
      <c r="H279" s="148" t="s">
        <v>259</v>
      </c>
    </row>
    <row r="280" spans="2:8" ht="15" customHeight="1">
      <c r="B280" s="148" t="s">
        <v>636</v>
      </c>
      <c r="C280" s="369" t="s">
        <v>634</v>
      </c>
      <c r="D280" s="369" t="s">
        <v>241</v>
      </c>
      <c r="E280" s="369" t="s">
        <v>528</v>
      </c>
      <c r="F280" s="369" t="s">
        <v>184</v>
      </c>
      <c r="G280" s="370">
        <v>37</v>
      </c>
      <c r="H280" s="148" t="s">
        <v>259</v>
      </c>
    </row>
    <row r="281" spans="2:8" ht="15" customHeight="1">
      <c r="B281" s="148" t="s">
        <v>637</v>
      </c>
      <c r="C281" s="369" t="s">
        <v>634</v>
      </c>
      <c r="D281" s="369" t="s">
        <v>242</v>
      </c>
      <c r="E281" s="369" t="s">
        <v>530</v>
      </c>
      <c r="F281" s="369" t="s">
        <v>184</v>
      </c>
      <c r="G281" s="370">
        <v>45</v>
      </c>
      <c r="H281" s="148" t="s">
        <v>259</v>
      </c>
    </row>
    <row r="282" spans="2:8" ht="15" customHeight="1">
      <c r="B282" s="148" t="s">
        <v>638</v>
      </c>
      <c r="C282" s="369" t="s">
        <v>634</v>
      </c>
      <c r="D282" s="369" t="s">
        <v>243</v>
      </c>
      <c r="E282" s="369" t="s">
        <v>526</v>
      </c>
      <c r="F282" s="369" t="s">
        <v>184</v>
      </c>
      <c r="G282" s="370">
        <v>32</v>
      </c>
      <c r="H282" s="148" t="s">
        <v>259</v>
      </c>
    </row>
    <row r="283" spans="2:8" ht="15" customHeight="1">
      <c r="B283" s="148" t="s">
        <v>639</v>
      </c>
      <c r="C283" s="369" t="s">
        <v>640</v>
      </c>
      <c r="D283" s="369" t="s">
        <v>239</v>
      </c>
      <c r="E283" s="369" t="s">
        <v>524</v>
      </c>
      <c r="F283" s="369" t="s">
        <v>184</v>
      </c>
      <c r="G283" s="370">
        <v>43</v>
      </c>
      <c r="H283" s="148" t="s">
        <v>259</v>
      </c>
    </row>
    <row r="284" spans="2:8" ht="15" customHeight="1">
      <c r="B284" s="148" t="s">
        <v>641</v>
      </c>
      <c r="C284" s="369" t="s">
        <v>640</v>
      </c>
      <c r="D284" s="369" t="s">
        <v>240</v>
      </c>
      <c r="E284" s="369" t="s">
        <v>521</v>
      </c>
      <c r="F284" s="369" t="s">
        <v>184</v>
      </c>
      <c r="G284" s="370">
        <v>35</v>
      </c>
      <c r="H284" s="148" t="s">
        <v>259</v>
      </c>
    </row>
    <row r="285" spans="2:8" ht="15" customHeight="1">
      <c r="B285" s="148" t="s">
        <v>642</v>
      </c>
      <c r="C285" s="369" t="s">
        <v>640</v>
      </c>
      <c r="D285" s="369" t="s">
        <v>241</v>
      </c>
      <c r="E285" s="369" t="s">
        <v>528</v>
      </c>
      <c r="F285" s="369" t="s">
        <v>184</v>
      </c>
      <c r="G285" s="370">
        <v>52</v>
      </c>
      <c r="H285" s="148" t="s">
        <v>259</v>
      </c>
    </row>
    <row r="286" spans="2:8" ht="15" customHeight="1">
      <c r="B286" s="148" t="s">
        <v>643</v>
      </c>
      <c r="C286" s="369" t="s">
        <v>640</v>
      </c>
      <c r="D286" s="369" t="s">
        <v>242</v>
      </c>
      <c r="E286" s="369" t="s">
        <v>530</v>
      </c>
      <c r="F286" s="369" t="s">
        <v>184</v>
      </c>
      <c r="G286" s="370">
        <v>58</v>
      </c>
      <c r="H286" s="148" t="s">
        <v>259</v>
      </c>
    </row>
    <row r="287" spans="2:8" ht="15" customHeight="1">
      <c r="B287" s="148" t="s">
        <v>644</v>
      </c>
      <c r="C287" s="369" t="s">
        <v>640</v>
      </c>
      <c r="D287" s="369" t="s">
        <v>243</v>
      </c>
      <c r="E287" s="369" t="s">
        <v>526</v>
      </c>
      <c r="F287" s="369" t="s">
        <v>184</v>
      </c>
      <c r="G287" s="370">
        <v>49</v>
      </c>
      <c r="H287" s="148" t="s">
        <v>259</v>
      </c>
    </row>
    <row r="288" spans="2:8" ht="15" customHeight="1">
      <c r="B288" s="148" t="s">
        <v>645</v>
      </c>
      <c r="C288" s="369" t="s">
        <v>646</v>
      </c>
      <c r="D288" s="369" t="s">
        <v>239</v>
      </c>
      <c r="E288" s="369" t="s">
        <v>524</v>
      </c>
      <c r="F288" s="369" t="s">
        <v>184</v>
      </c>
      <c r="G288" s="370">
        <v>39</v>
      </c>
      <c r="H288" s="148" t="s">
        <v>259</v>
      </c>
    </row>
    <row r="289" spans="2:8" ht="15" customHeight="1">
      <c r="B289" s="148" t="s">
        <v>647</v>
      </c>
      <c r="C289" s="369" t="s">
        <v>646</v>
      </c>
      <c r="D289" s="369" t="s">
        <v>240</v>
      </c>
      <c r="E289" s="369" t="s">
        <v>521</v>
      </c>
      <c r="F289" s="369" t="s">
        <v>184</v>
      </c>
      <c r="G289" s="370">
        <v>32</v>
      </c>
      <c r="H289" s="148" t="s">
        <v>259</v>
      </c>
    </row>
    <row r="290" spans="2:8" ht="15" customHeight="1">
      <c r="B290" s="148" t="s">
        <v>648</v>
      </c>
      <c r="C290" s="369" t="s">
        <v>646</v>
      </c>
      <c r="D290" s="369" t="s">
        <v>241</v>
      </c>
      <c r="E290" s="369" t="s">
        <v>528</v>
      </c>
      <c r="F290" s="369" t="s">
        <v>184</v>
      </c>
      <c r="G290" s="370">
        <v>52</v>
      </c>
      <c r="H290" s="148" t="s">
        <v>259</v>
      </c>
    </row>
    <row r="291" spans="2:8" ht="15" customHeight="1">
      <c r="B291" s="148" t="s">
        <v>649</v>
      </c>
      <c r="C291" s="369" t="s">
        <v>646</v>
      </c>
      <c r="D291" s="369" t="s">
        <v>242</v>
      </c>
      <c r="E291" s="369" t="s">
        <v>530</v>
      </c>
      <c r="F291" s="369" t="s">
        <v>184</v>
      </c>
      <c r="G291" s="370">
        <v>60</v>
      </c>
      <c r="H291" s="148" t="s">
        <v>259</v>
      </c>
    </row>
    <row r="292" spans="2:8" ht="15" customHeight="1">
      <c r="B292" s="148" t="s">
        <v>650</v>
      </c>
      <c r="C292" s="369" t="s">
        <v>646</v>
      </c>
      <c r="D292" s="369" t="s">
        <v>243</v>
      </c>
      <c r="E292" s="369" t="s">
        <v>526</v>
      </c>
      <c r="F292" s="369" t="s">
        <v>184</v>
      </c>
      <c r="G292" s="370">
        <v>43</v>
      </c>
      <c r="H292" s="148" t="s">
        <v>259</v>
      </c>
    </row>
    <row r="293" spans="2:8" ht="15" customHeight="1">
      <c r="B293" s="148" t="s">
        <v>651</v>
      </c>
      <c r="C293" s="369" t="s">
        <v>652</v>
      </c>
      <c r="D293" s="369" t="s">
        <v>239</v>
      </c>
      <c r="E293" s="369" t="s">
        <v>524</v>
      </c>
      <c r="F293" s="369" t="s">
        <v>184</v>
      </c>
      <c r="G293" s="370">
        <v>34</v>
      </c>
      <c r="H293" s="148" t="s">
        <v>259</v>
      </c>
    </row>
    <row r="294" spans="2:8" ht="15" customHeight="1">
      <c r="B294" s="148" t="s">
        <v>653</v>
      </c>
      <c r="C294" s="369" t="s">
        <v>652</v>
      </c>
      <c r="D294" s="369" t="s">
        <v>240</v>
      </c>
      <c r="E294" s="369" t="s">
        <v>521</v>
      </c>
      <c r="F294" s="369" t="s">
        <v>184</v>
      </c>
      <c r="G294" s="370">
        <v>31</v>
      </c>
      <c r="H294" s="148" t="s">
        <v>259</v>
      </c>
    </row>
    <row r="295" spans="2:8" ht="15" customHeight="1">
      <c r="B295" s="148" t="s">
        <v>654</v>
      </c>
      <c r="C295" s="369" t="s">
        <v>652</v>
      </c>
      <c r="D295" s="369" t="s">
        <v>241</v>
      </c>
      <c r="E295" s="369" t="s">
        <v>528</v>
      </c>
      <c r="F295" s="369" t="s">
        <v>184</v>
      </c>
      <c r="G295" s="370">
        <v>49</v>
      </c>
      <c r="H295" s="148" t="s">
        <v>259</v>
      </c>
    </row>
    <row r="296" spans="2:8" ht="15" customHeight="1">
      <c r="B296" s="148" t="s">
        <v>655</v>
      </c>
      <c r="C296" s="369" t="s">
        <v>652</v>
      </c>
      <c r="D296" s="369" t="s">
        <v>242</v>
      </c>
      <c r="E296" s="369" t="s">
        <v>530</v>
      </c>
      <c r="F296" s="369" t="s">
        <v>184</v>
      </c>
      <c r="G296" s="370">
        <v>59</v>
      </c>
      <c r="H296" s="148" t="s">
        <v>259</v>
      </c>
    </row>
    <row r="297" spans="2:8" ht="15" customHeight="1">
      <c r="B297" s="148" t="s">
        <v>656</v>
      </c>
      <c r="C297" s="369" t="s">
        <v>652</v>
      </c>
      <c r="D297" s="369" t="s">
        <v>243</v>
      </c>
      <c r="E297" s="369" t="s">
        <v>526</v>
      </c>
      <c r="F297" s="369" t="s">
        <v>184</v>
      </c>
      <c r="G297" s="370">
        <v>39</v>
      </c>
      <c r="H297" s="148" t="s">
        <v>259</v>
      </c>
    </row>
    <row r="298" spans="2:8" ht="15" customHeight="1">
      <c r="B298" s="148" t="s">
        <v>657</v>
      </c>
      <c r="C298" s="369" t="s">
        <v>658</v>
      </c>
      <c r="D298" s="369" t="s">
        <v>239</v>
      </c>
      <c r="E298" s="369" t="s">
        <v>524</v>
      </c>
      <c r="F298" s="369" t="s">
        <v>184</v>
      </c>
      <c r="G298" s="370">
        <v>29</v>
      </c>
      <c r="H298" s="148" t="s">
        <v>259</v>
      </c>
    </row>
    <row r="299" spans="2:8" ht="15" customHeight="1">
      <c r="B299" s="148" t="s">
        <v>659</v>
      </c>
      <c r="C299" s="369" t="s">
        <v>658</v>
      </c>
      <c r="D299" s="369" t="s">
        <v>240</v>
      </c>
      <c r="E299" s="369" t="s">
        <v>521</v>
      </c>
      <c r="F299" s="369" t="s">
        <v>184</v>
      </c>
      <c r="G299" s="370">
        <v>25</v>
      </c>
      <c r="H299" s="148" t="s">
        <v>259</v>
      </c>
    </row>
    <row r="300" spans="2:8" ht="15" customHeight="1">
      <c r="B300" s="148" t="s">
        <v>660</v>
      </c>
      <c r="C300" s="369" t="s">
        <v>658</v>
      </c>
      <c r="D300" s="369" t="s">
        <v>241</v>
      </c>
      <c r="E300" s="369" t="s">
        <v>528</v>
      </c>
      <c r="F300" s="369" t="s">
        <v>184</v>
      </c>
      <c r="G300" s="370">
        <v>41</v>
      </c>
      <c r="H300" s="148" t="s">
        <v>259</v>
      </c>
    </row>
    <row r="301" spans="2:8" ht="15" customHeight="1">
      <c r="B301" s="148" t="s">
        <v>661</v>
      </c>
      <c r="C301" s="369" t="s">
        <v>658</v>
      </c>
      <c r="D301" s="369" t="s">
        <v>242</v>
      </c>
      <c r="E301" s="369" t="s">
        <v>530</v>
      </c>
      <c r="F301" s="369" t="s">
        <v>184</v>
      </c>
      <c r="G301" s="370">
        <v>46</v>
      </c>
      <c r="H301" s="148" t="s">
        <v>259</v>
      </c>
    </row>
    <row r="302" spans="2:8" ht="15" customHeight="1">
      <c r="B302" s="148" t="s">
        <v>662</v>
      </c>
      <c r="C302" s="369" t="s">
        <v>658</v>
      </c>
      <c r="D302" s="369" t="s">
        <v>243</v>
      </c>
      <c r="E302" s="369" t="s">
        <v>526</v>
      </c>
      <c r="F302" s="369" t="s">
        <v>184</v>
      </c>
      <c r="G302" s="370">
        <v>34</v>
      </c>
      <c r="H302" s="148" t="s">
        <v>259</v>
      </c>
    </row>
    <row r="303" spans="2:8" ht="15" customHeight="1">
      <c r="B303" s="148" t="s">
        <v>663</v>
      </c>
      <c r="C303" s="369" t="s">
        <v>664</v>
      </c>
      <c r="D303" s="369" t="s">
        <v>239</v>
      </c>
      <c r="E303" s="369" t="s">
        <v>524</v>
      </c>
      <c r="F303" s="369" t="s">
        <v>184</v>
      </c>
      <c r="G303" s="370">
        <v>25</v>
      </c>
      <c r="H303" s="148" t="s">
        <v>259</v>
      </c>
    </row>
    <row r="304" spans="2:8" ht="15" customHeight="1">
      <c r="B304" s="148" t="s">
        <v>665</v>
      </c>
      <c r="C304" s="369" t="s">
        <v>664</v>
      </c>
      <c r="D304" s="369" t="s">
        <v>240</v>
      </c>
      <c r="E304" s="369" t="s">
        <v>521</v>
      </c>
      <c r="F304" s="369" t="s">
        <v>184</v>
      </c>
      <c r="G304" s="370">
        <v>22</v>
      </c>
      <c r="H304" s="148" t="s">
        <v>259</v>
      </c>
    </row>
    <row r="305" spans="2:8" ht="15" customHeight="1">
      <c r="B305" s="148" t="s">
        <v>666</v>
      </c>
      <c r="C305" s="369" t="s">
        <v>664</v>
      </c>
      <c r="D305" s="369" t="s">
        <v>241</v>
      </c>
      <c r="E305" s="369" t="s">
        <v>528</v>
      </c>
      <c r="F305" s="369" t="s">
        <v>184</v>
      </c>
      <c r="G305" s="370">
        <v>37</v>
      </c>
      <c r="H305" s="148" t="s">
        <v>259</v>
      </c>
    </row>
    <row r="306" spans="2:8" ht="15" customHeight="1">
      <c r="B306" s="148" t="s">
        <v>667</v>
      </c>
      <c r="C306" s="369" t="s">
        <v>664</v>
      </c>
      <c r="D306" s="369" t="s">
        <v>242</v>
      </c>
      <c r="E306" s="369" t="s">
        <v>530</v>
      </c>
      <c r="F306" s="369" t="s">
        <v>184</v>
      </c>
      <c r="G306" s="370">
        <v>45</v>
      </c>
      <c r="H306" s="148" t="s">
        <v>259</v>
      </c>
    </row>
    <row r="307" spans="2:8" ht="15" customHeight="1">
      <c r="B307" s="148" t="s">
        <v>668</v>
      </c>
      <c r="C307" s="369" t="s">
        <v>664</v>
      </c>
      <c r="D307" s="369" t="s">
        <v>243</v>
      </c>
      <c r="E307" s="369" t="s">
        <v>526</v>
      </c>
      <c r="F307" s="369" t="s">
        <v>184</v>
      </c>
      <c r="G307" s="370">
        <v>32</v>
      </c>
      <c r="H307" s="148" t="s">
        <v>259</v>
      </c>
    </row>
    <row r="308" spans="2:8" ht="15" customHeight="1">
      <c r="B308" s="148" t="s">
        <v>669</v>
      </c>
      <c r="C308" s="369" t="s">
        <v>670</v>
      </c>
      <c r="D308" s="369" t="s">
        <v>384</v>
      </c>
      <c r="E308" s="369" t="s">
        <v>591</v>
      </c>
      <c r="F308" s="369" t="s">
        <v>184</v>
      </c>
      <c r="G308" s="370">
        <v>170</v>
      </c>
      <c r="H308" s="148" t="s">
        <v>261</v>
      </c>
    </row>
    <row r="309" spans="2:8" ht="15" customHeight="1">
      <c r="B309" s="148" t="s">
        <v>671</v>
      </c>
      <c r="C309" s="369" t="s">
        <v>670</v>
      </c>
      <c r="D309" s="369" t="s">
        <v>368</v>
      </c>
      <c r="E309" s="369" t="s">
        <v>593</v>
      </c>
      <c r="F309" s="369" t="s">
        <v>184</v>
      </c>
      <c r="G309" s="370">
        <v>170</v>
      </c>
      <c r="H309" s="148" t="s">
        <v>261</v>
      </c>
    </row>
    <row r="310" spans="2:8" ht="15" customHeight="1">
      <c r="B310" s="148" t="s">
        <v>672</v>
      </c>
      <c r="C310" s="369" t="s">
        <v>670</v>
      </c>
      <c r="D310" s="369" t="s">
        <v>376</v>
      </c>
      <c r="E310" s="369" t="s">
        <v>595</v>
      </c>
      <c r="F310" s="369" t="s">
        <v>184</v>
      </c>
      <c r="G310" s="370">
        <v>365</v>
      </c>
      <c r="H310" s="148" t="s">
        <v>261</v>
      </c>
    </row>
    <row r="311" spans="2:8" ht="15" customHeight="1">
      <c r="B311" s="148" t="s">
        <v>673</v>
      </c>
      <c r="C311" s="369" t="s">
        <v>477</v>
      </c>
      <c r="D311" s="369" t="s">
        <v>357</v>
      </c>
      <c r="E311" s="369" t="s">
        <v>597</v>
      </c>
      <c r="F311" s="369" t="s">
        <v>186</v>
      </c>
      <c r="G311" s="370">
        <v>437</v>
      </c>
      <c r="H311" s="148" t="s">
        <v>261</v>
      </c>
    </row>
    <row r="312" spans="2:8" ht="15" customHeight="1">
      <c r="B312" s="148" t="s">
        <v>674</v>
      </c>
      <c r="C312" s="369" t="s">
        <v>670</v>
      </c>
      <c r="D312" s="369" t="s">
        <v>242</v>
      </c>
      <c r="E312" s="369" t="s">
        <v>599</v>
      </c>
      <c r="F312" s="369" t="s">
        <v>184</v>
      </c>
      <c r="G312" s="370">
        <v>419</v>
      </c>
      <c r="H312" s="148" t="s">
        <v>261</v>
      </c>
    </row>
    <row r="313" spans="2:8" ht="15" customHeight="1">
      <c r="B313" s="148" t="s">
        <v>675</v>
      </c>
      <c r="C313" s="369" t="s">
        <v>670</v>
      </c>
      <c r="D313" s="369" t="s">
        <v>364</v>
      </c>
      <c r="E313" s="369" t="s">
        <v>601</v>
      </c>
      <c r="F313" s="369" t="s">
        <v>184</v>
      </c>
      <c r="G313" s="370">
        <v>280</v>
      </c>
      <c r="H313" s="148" t="s">
        <v>261</v>
      </c>
    </row>
    <row r="314" spans="2:8" ht="15" customHeight="1">
      <c r="B314" s="148" t="s">
        <v>676</v>
      </c>
      <c r="C314" s="369" t="s">
        <v>670</v>
      </c>
      <c r="D314" s="369" t="s">
        <v>361</v>
      </c>
      <c r="E314" s="369" t="s">
        <v>603</v>
      </c>
      <c r="F314" s="369" t="s">
        <v>184</v>
      </c>
      <c r="G314" s="370">
        <v>389</v>
      </c>
      <c r="H314" s="148" t="s">
        <v>261</v>
      </c>
    </row>
    <row r="315" spans="2:8" ht="15" customHeight="1">
      <c r="B315" s="148" t="s">
        <v>677</v>
      </c>
      <c r="C315" s="369" t="s">
        <v>678</v>
      </c>
      <c r="D315" s="369" t="s">
        <v>239</v>
      </c>
      <c r="E315" s="369" t="s">
        <v>524</v>
      </c>
      <c r="F315" s="369" t="s">
        <v>184</v>
      </c>
      <c r="G315" s="370">
        <v>45</v>
      </c>
      <c r="H315" s="148" t="s">
        <v>259</v>
      </c>
    </row>
    <row r="316" spans="2:8" ht="15" customHeight="1">
      <c r="B316" s="148" t="s">
        <v>679</v>
      </c>
      <c r="C316" s="369" t="s">
        <v>678</v>
      </c>
      <c r="D316" s="369" t="s">
        <v>240</v>
      </c>
      <c r="E316" s="369" t="s">
        <v>521</v>
      </c>
      <c r="F316" s="369" t="s">
        <v>184</v>
      </c>
      <c r="G316" s="370">
        <v>42</v>
      </c>
      <c r="H316" s="148" t="s">
        <v>259</v>
      </c>
    </row>
    <row r="317" spans="2:8" ht="15" customHeight="1">
      <c r="B317" s="148" t="s">
        <v>680</v>
      </c>
      <c r="C317" s="369" t="s">
        <v>678</v>
      </c>
      <c r="D317" s="369" t="s">
        <v>241</v>
      </c>
      <c r="E317" s="369" t="s">
        <v>528</v>
      </c>
      <c r="F317" s="369" t="s">
        <v>184</v>
      </c>
      <c r="G317" s="370">
        <v>57</v>
      </c>
      <c r="H317" s="148" t="s">
        <v>259</v>
      </c>
    </row>
    <row r="318" spans="2:8" ht="15" customHeight="1">
      <c r="B318" s="148" t="s">
        <v>681</v>
      </c>
      <c r="C318" s="369" t="s">
        <v>678</v>
      </c>
      <c r="D318" s="369" t="s">
        <v>242</v>
      </c>
      <c r="E318" s="369" t="s">
        <v>530</v>
      </c>
      <c r="F318" s="369" t="s">
        <v>184</v>
      </c>
      <c r="G318" s="370">
        <v>66</v>
      </c>
      <c r="H318" s="148" t="s">
        <v>259</v>
      </c>
    </row>
    <row r="319" spans="2:8" ht="15" customHeight="1">
      <c r="B319" s="148" t="s">
        <v>682</v>
      </c>
      <c r="C319" s="369" t="s">
        <v>678</v>
      </c>
      <c r="D319" s="369" t="s">
        <v>243</v>
      </c>
      <c r="E319" s="369" t="s">
        <v>526</v>
      </c>
      <c r="F319" s="369" t="s">
        <v>184</v>
      </c>
      <c r="G319" s="370">
        <v>49</v>
      </c>
      <c r="H319" s="148" t="s">
        <v>259</v>
      </c>
    </row>
    <row r="320" spans="2:8" ht="15" customHeight="1">
      <c r="B320" s="148" t="s">
        <v>683</v>
      </c>
      <c r="C320" s="369" t="s">
        <v>684</v>
      </c>
      <c r="D320" s="369" t="s">
        <v>239</v>
      </c>
      <c r="E320" s="369" t="s">
        <v>524</v>
      </c>
      <c r="F320" s="369" t="s">
        <v>184</v>
      </c>
      <c r="G320" s="370">
        <v>25</v>
      </c>
      <c r="H320" s="148" t="s">
        <v>259</v>
      </c>
    </row>
    <row r="321" spans="2:8" ht="15" customHeight="1">
      <c r="B321" s="148" t="s">
        <v>685</v>
      </c>
      <c r="C321" s="369" t="s">
        <v>684</v>
      </c>
      <c r="D321" s="369" t="s">
        <v>240</v>
      </c>
      <c r="E321" s="369" t="s">
        <v>521</v>
      </c>
      <c r="F321" s="369" t="s">
        <v>184</v>
      </c>
      <c r="G321" s="370">
        <v>21</v>
      </c>
      <c r="H321" s="148" t="s">
        <v>259</v>
      </c>
    </row>
    <row r="322" spans="2:8" ht="15" customHeight="1">
      <c r="B322" s="148" t="s">
        <v>686</v>
      </c>
      <c r="C322" s="369" t="s">
        <v>684</v>
      </c>
      <c r="D322" s="369" t="s">
        <v>241</v>
      </c>
      <c r="E322" s="369" t="s">
        <v>528</v>
      </c>
      <c r="F322" s="369" t="s">
        <v>184</v>
      </c>
      <c r="G322" s="370">
        <v>37</v>
      </c>
      <c r="H322" s="148" t="s">
        <v>259</v>
      </c>
    </row>
    <row r="323" spans="2:8" ht="15" customHeight="1">
      <c r="B323" s="148" t="s">
        <v>687</v>
      </c>
      <c r="C323" s="369" t="s">
        <v>684</v>
      </c>
      <c r="D323" s="369" t="s">
        <v>242</v>
      </c>
      <c r="E323" s="369" t="s">
        <v>530</v>
      </c>
      <c r="F323" s="369" t="s">
        <v>184</v>
      </c>
      <c r="G323" s="370">
        <v>45</v>
      </c>
      <c r="H323" s="148" t="s">
        <v>259</v>
      </c>
    </row>
    <row r="324" spans="2:8" ht="15" customHeight="1">
      <c r="B324" s="148" t="s">
        <v>688</v>
      </c>
      <c r="C324" s="369" t="s">
        <v>684</v>
      </c>
      <c r="D324" s="369" t="s">
        <v>243</v>
      </c>
      <c r="E324" s="369" t="s">
        <v>526</v>
      </c>
      <c r="F324" s="369" t="s">
        <v>184</v>
      </c>
      <c r="G324" s="370">
        <v>32</v>
      </c>
      <c r="H324" s="148" t="s">
        <v>259</v>
      </c>
    </row>
    <row r="325" spans="2:8" ht="15" customHeight="1">
      <c r="B325" s="148" t="s">
        <v>689</v>
      </c>
      <c r="C325" s="369" t="s">
        <v>690</v>
      </c>
      <c r="D325" s="369" t="s">
        <v>239</v>
      </c>
      <c r="E325" s="369" t="s">
        <v>524</v>
      </c>
      <c r="F325" s="369" t="s">
        <v>184</v>
      </c>
      <c r="G325" s="370">
        <v>32</v>
      </c>
      <c r="H325" s="148" t="s">
        <v>259</v>
      </c>
    </row>
    <row r="326" spans="2:8" ht="15" customHeight="1">
      <c r="B326" s="148" t="s">
        <v>691</v>
      </c>
      <c r="C326" s="369" t="s">
        <v>690</v>
      </c>
      <c r="D326" s="369" t="s">
        <v>240</v>
      </c>
      <c r="E326" s="369" t="s">
        <v>521</v>
      </c>
      <c r="F326" s="369" t="s">
        <v>184</v>
      </c>
      <c r="G326" s="370">
        <v>25</v>
      </c>
      <c r="H326" s="148" t="s">
        <v>259</v>
      </c>
    </row>
    <row r="327" spans="2:8" ht="15" customHeight="1">
      <c r="B327" s="148" t="s">
        <v>692</v>
      </c>
      <c r="C327" s="369" t="s">
        <v>690</v>
      </c>
      <c r="D327" s="369" t="s">
        <v>241</v>
      </c>
      <c r="E327" s="369" t="s">
        <v>528</v>
      </c>
      <c r="F327" s="369" t="s">
        <v>184</v>
      </c>
      <c r="G327" s="370">
        <v>42</v>
      </c>
      <c r="H327" s="148" t="s">
        <v>259</v>
      </c>
    </row>
    <row r="328" spans="2:8" ht="15" customHeight="1">
      <c r="B328" s="148" t="s">
        <v>693</v>
      </c>
      <c r="C328" s="369" t="s">
        <v>690</v>
      </c>
      <c r="D328" s="369" t="s">
        <v>242</v>
      </c>
      <c r="E328" s="369" t="s">
        <v>530</v>
      </c>
      <c r="F328" s="369" t="s">
        <v>184</v>
      </c>
      <c r="G328" s="370">
        <v>46</v>
      </c>
      <c r="H328" s="148" t="s">
        <v>259</v>
      </c>
    </row>
    <row r="329" spans="2:8" ht="15" customHeight="1">
      <c r="B329" s="148" t="s">
        <v>694</v>
      </c>
      <c r="C329" s="369" t="s">
        <v>690</v>
      </c>
      <c r="D329" s="369" t="s">
        <v>243</v>
      </c>
      <c r="E329" s="369" t="s">
        <v>526</v>
      </c>
      <c r="F329" s="369" t="s">
        <v>184</v>
      </c>
      <c r="G329" s="370">
        <v>37</v>
      </c>
      <c r="H329" s="148" t="s">
        <v>259</v>
      </c>
    </row>
    <row r="330" spans="2:8" ht="15" customHeight="1">
      <c r="B330" s="148" t="s">
        <v>695</v>
      </c>
      <c r="C330" s="369" t="s">
        <v>696</v>
      </c>
      <c r="D330" s="369" t="s">
        <v>239</v>
      </c>
      <c r="E330" s="369" t="s">
        <v>524</v>
      </c>
      <c r="F330" s="369" t="s">
        <v>184</v>
      </c>
      <c r="G330" s="370">
        <v>32</v>
      </c>
      <c r="H330" s="148" t="s">
        <v>259</v>
      </c>
    </row>
    <row r="331" spans="2:8" ht="15" customHeight="1">
      <c r="B331" s="148" t="s">
        <v>697</v>
      </c>
      <c r="C331" s="369" t="s">
        <v>696</v>
      </c>
      <c r="D331" s="369" t="s">
        <v>240</v>
      </c>
      <c r="E331" s="369" t="s">
        <v>521</v>
      </c>
      <c r="F331" s="369" t="s">
        <v>184</v>
      </c>
      <c r="G331" s="370">
        <v>26</v>
      </c>
      <c r="H331" s="148" t="s">
        <v>259</v>
      </c>
    </row>
    <row r="332" spans="2:8" ht="15" customHeight="1">
      <c r="B332" s="148" t="s">
        <v>698</v>
      </c>
      <c r="C332" s="369" t="s">
        <v>696</v>
      </c>
      <c r="D332" s="369" t="s">
        <v>241</v>
      </c>
      <c r="E332" s="369" t="s">
        <v>528</v>
      </c>
      <c r="F332" s="369" t="s">
        <v>184</v>
      </c>
      <c r="G332" s="370">
        <v>42</v>
      </c>
      <c r="H332" s="148" t="s">
        <v>259</v>
      </c>
    </row>
    <row r="333" spans="2:8" ht="15" customHeight="1">
      <c r="B333" s="148" t="s">
        <v>699</v>
      </c>
      <c r="C333" s="369" t="s">
        <v>696</v>
      </c>
      <c r="D333" s="369" t="s">
        <v>242</v>
      </c>
      <c r="E333" s="369" t="s">
        <v>530</v>
      </c>
      <c r="F333" s="369" t="s">
        <v>184</v>
      </c>
      <c r="G333" s="370">
        <v>59</v>
      </c>
      <c r="H333" s="148" t="s">
        <v>259</v>
      </c>
    </row>
    <row r="334" spans="2:8" ht="15" customHeight="1">
      <c r="B334" s="148" t="s">
        <v>700</v>
      </c>
      <c r="C334" s="369" t="s">
        <v>696</v>
      </c>
      <c r="D334" s="369" t="s">
        <v>243</v>
      </c>
      <c r="E334" s="369" t="s">
        <v>526</v>
      </c>
      <c r="F334" s="369" t="s">
        <v>184</v>
      </c>
      <c r="G334" s="370">
        <v>38</v>
      </c>
      <c r="H334" s="148" t="s">
        <v>259</v>
      </c>
    </row>
    <row r="335" spans="2:8" ht="15" customHeight="1">
      <c r="B335" s="148" t="s">
        <v>701</v>
      </c>
      <c r="C335" s="369" t="s">
        <v>702</v>
      </c>
      <c r="D335" s="369" t="s">
        <v>239</v>
      </c>
      <c r="E335" s="369" t="s">
        <v>524</v>
      </c>
      <c r="F335" s="369" t="s">
        <v>184</v>
      </c>
      <c r="G335" s="370">
        <v>47</v>
      </c>
      <c r="H335" s="148" t="s">
        <v>259</v>
      </c>
    </row>
    <row r="336" spans="2:8" ht="15" customHeight="1">
      <c r="B336" s="148" t="s">
        <v>703</v>
      </c>
      <c r="C336" s="369" t="s">
        <v>702</v>
      </c>
      <c r="D336" s="369" t="s">
        <v>240</v>
      </c>
      <c r="E336" s="369" t="s">
        <v>521</v>
      </c>
      <c r="F336" s="369" t="s">
        <v>184</v>
      </c>
      <c r="G336" s="370">
        <v>45</v>
      </c>
      <c r="H336" s="148" t="s">
        <v>259</v>
      </c>
    </row>
    <row r="337" spans="2:8" ht="15" customHeight="1">
      <c r="B337" s="148" t="s">
        <v>704</v>
      </c>
      <c r="C337" s="369" t="s">
        <v>702</v>
      </c>
      <c r="D337" s="369" t="s">
        <v>241</v>
      </c>
      <c r="E337" s="369" t="s">
        <v>528</v>
      </c>
      <c r="F337" s="369" t="s">
        <v>184</v>
      </c>
      <c r="G337" s="370">
        <v>62</v>
      </c>
      <c r="H337" s="148" t="s">
        <v>259</v>
      </c>
    </row>
    <row r="338" spans="2:8" ht="15" customHeight="1">
      <c r="B338" s="148" t="s">
        <v>705</v>
      </c>
      <c r="C338" s="369" t="s">
        <v>702</v>
      </c>
      <c r="D338" s="369" t="s">
        <v>242</v>
      </c>
      <c r="E338" s="369" t="s">
        <v>530</v>
      </c>
      <c r="F338" s="369" t="s">
        <v>184</v>
      </c>
      <c r="G338" s="370">
        <v>71</v>
      </c>
      <c r="H338" s="148" t="s">
        <v>259</v>
      </c>
    </row>
    <row r="339" spans="2:8" ht="15" customHeight="1">
      <c r="B339" s="148" t="s">
        <v>706</v>
      </c>
      <c r="C339" s="369" t="s">
        <v>702</v>
      </c>
      <c r="D339" s="369" t="s">
        <v>243</v>
      </c>
      <c r="E339" s="369" t="s">
        <v>526</v>
      </c>
      <c r="F339" s="369" t="s">
        <v>184</v>
      </c>
      <c r="G339" s="370">
        <v>52</v>
      </c>
      <c r="H339" s="148" t="s">
        <v>259</v>
      </c>
    </row>
    <row r="340" spans="2:8" ht="15" customHeight="1">
      <c r="B340" s="148" t="s">
        <v>707</v>
      </c>
      <c r="C340" s="369" t="s">
        <v>708</v>
      </c>
      <c r="D340" s="369" t="s">
        <v>239</v>
      </c>
      <c r="E340" s="369" t="s">
        <v>524</v>
      </c>
      <c r="F340" s="369" t="s">
        <v>184</v>
      </c>
      <c r="G340" s="370">
        <v>35</v>
      </c>
      <c r="H340" s="148" t="s">
        <v>259</v>
      </c>
    </row>
    <row r="341" spans="2:8" ht="15" customHeight="1">
      <c r="B341" s="148" t="s">
        <v>709</v>
      </c>
      <c r="C341" s="369" t="s">
        <v>708</v>
      </c>
      <c r="D341" s="369" t="s">
        <v>240</v>
      </c>
      <c r="E341" s="369" t="s">
        <v>521</v>
      </c>
      <c r="F341" s="369" t="s">
        <v>184</v>
      </c>
      <c r="G341" s="370">
        <v>31</v>
      </c>
      <c r="H341" s="148" t="s">
        <v>259</v>
      </c>
    </row>
    <row r="342" spans="2:8" ht="15" customHeight="1">
      <c r="B342" s="148" t="s">
        <v>710</v>
      </c>
      <c r="C342" s="369" t="s">
        <v>708</v>
      </c>
      <c r="D342" s="369" t="s">
        <v>241</v>
      </c>
      <c r="E342" s="369" t="s">
        <v>528</v>
      </c>
      <c r="F342" s="369" t="s">
        <v>184</v>
      </c>
      <c r="G342" s="370">
        <v>59</v>
      </c>
      <c r="H342" s="148" t="s">
        <v>259</v>
      </c>
    </row>
    <row r="343" spans="2:8" ht="15" customHeight="1">
      <c r="B343" s="148" t="s">
        <v>711</v>
      </c>
      <c r="C343" s="369" t="s">
        <v>708</v>
      </c>
      <c r="D343" s="369" t="s">
        <v>242</v>
      </c>
      <c r="E343" s="369" t="s">
        <v>530</v>
      </c>
      <c r="F343" s="369" t="s">
        <v>184</v>
      </c>
      <c r="G343" s="370">
        <v>66</v>
      </c>
      <c r="H343" s="148" t="s">
        <v>259</v>
      </c>
    </row>
    <row r="344" spans="2:8" ht="15" customHeight="1">
      <c r="B344" s="148" t="s">
        <v>712</v>
      </c>
      <c r="C344" s="369" t="s">
        <v>708</v>
      </c>
      <c r="D344" s="369" t="s">
        <v>243</v>
      </c>
      <c r="E344" s="369" t="s">
        <v>526</v>
      </c>
      <c r="F344" s="369" t="s">
        <v>184</v>
      </c>
      <c r="G344" s="370">
        <v>48</v>
      </c>
      <c r="H344" s="148" t="s">
        <v>259</v>
      </c>
    </row>
    <row r="345" spans="2:8" ht="15" customHeight="1">
      <c r="B345" s="148" t="s">
        <v>713</v>
      </c>
      <c r="C345" s="369" t="s">
        <v>492</v>
      </c>
      <c r="D345" s="369" t="s">
        <v>384</v>
      </c>
      <c r="E345" s="369" t="s">
        <v>591</v>
      </c>
      <c r="F345" s="369" t="s">
        <v>184</v>
      </c>
      <c r="G345" s="375">
        <v>106</v>
      </c>
      <c r="H345" s="148" t="s">
        <v>261</v>
      </c>
    </row>
    <row r="346" spans="2:8" ht="15" customHeight="1">
      <c r="B346" s="148" t="s">
        <v>714</v>
      </c>
      <c r="C346" s="369" t="s">
        <v>492</v>
      </c>
      <c r="D346" s="369" t="s">
        <v>368</v>
      </c>
      <c r="E346" s="369" t="s">
        <v>593</v>
      </c>
      <c r="F346" s="369" t="s">
        <v>184</v>
      </c>
      <c r="G346" s="375">
        <v>121</v>
      </c>
      <c r="H346" s="148" t="s">
        <v>261</v>
      </c>
    </row>
    <row r="347" spans="2:8" ht="15" customHeight="1">
      <c r="B347" s="148" t="s">
        <v>715</v>
      </c>
      <c r="C347" s="369" t="s">
        <v>492</v>
      </c>
      <c r="D347" s="369" t="s">
        <v>376</v>
      </c>
      <c r="E347" s="369" t="s">
        <v>595</v>
      </c>
      <c r="F347" s="369" t="s">
        <v>184</v>
      </c>
      <c r="G347" s="375">
        <v>161</v>
      </c>
      <c r="H347" s="148" t="s">
        <v>261</v>
      </c>
    </row>
    <row r="348" spans="2:8" ht="15" customHeight="1">
      <c r="B348" s="148" t="s">
        <v>716</v>
      </c>
      <c r="C348" s="369" t="s">
        <v>670</v>
      </c>
      <c r="D348" s="369" t="s">
        <v>357</v>
      </c>
      <c r="E348" s="369" t="s">
        <v>597</v>
      </c>
      <c r="F348" s="369" t="s">
        <v>184</v>
      </c>
      <c r="G348" s="370">
        <v>419</v>
      </c>
      <c r="H348" s="148" t="s">
        <v>261</v>
      </c>
    </row>
    <row r="349" spans="2:8" ht="15" customHeight="1">
      <c r="B349" s="148" t="s">
        <v>717</v>
      </c>
      <c r="C349" s="369" t="s">
        <v>492</v>
      </c>
      <c r="D349" s="369" t="s">
        <v>242</v>
      </c>
      <c r="E349" s="369" t="s">
        <v>599</v>
      </c>
      <c r="F349" s="369" t="s">
        <v>184</v>
      </c>
      <c r="G349" s="375">
        <v>266</v>
      </c>
      <c r="H349" s="148" t="s">
        <v>261</v>
      </c>
    </row>
    <row r="350" spans="2:8" ht="15" customHeight="1">
      <c r="B350" s="148" t="s">
        <v>718</v>
      </c>
      <c r="C350" s="369" t="s">
        <v>492</v>
      </c>
      <c r="D350" s="369" t="s">
        <v>364</v>
      </c>
      <c r="E350" s="369" t="s">
        <v>601</v>
      </c>
      <c r="F350" s="369" t="s">
        <v>184</v>
      </c>
      <c r="G350" s="370">
        <v>134</v>
      </c>
      <c r="H350" s="148" t="s">
        <v>261</v>
      </c>
    </row>
    <row r="351" spans="2:8" ht="15" customHeight="1">
      <c r="B351" s="148" t="s">
        <v>719</v>
      </c>
      <c r="C351" s="369" t="s">
        <v>492</v>
      </c>
      <c r="D351" s="369" t="s">
        <v>361</v>
      </c>
      <c r="E351" s="369" t="s">
        <v>603</v>
      </c>
      <c r="F351" s="369" t="s">
        <v>184</v>
      </c>
      <c r="G351" s="370">
        <v>209</v>
      </c>
      <c r="H351" s="148" t="s">
        <v>261</v>
      </c>
    </row>
    <row r="352" spans="2:8" ht="15" customHeight="1">
      <c r="B352" s="148" t="s">
        <v>720</v>
      </c>
      <c r="C352" s="369" t="s">
        <v>721</v>
      </c>
      <c r="D352" s="369" t="s">
        <v>239</v>
      </c>
      <c r="E352" s="369" t="s">
        <v>524</v>
      </c>
      <c r="F352" s="369" t="s">
        <v>184</v>
      </c>
      <c r="G352" s="370">
        <v>38</v>
      </c>
      <c r="H352" s="148" t="s">
        <v>259</v>
      </c>
    </row>
    <row r="353" spans="2:8" ht="15" customHeight="1">
      <c r="B353" s="148" t="s">
        <v>722</v>
      </c>
      <c r="C353" s="369" t="s">
        <v>721</v>
      </c>
      <c r="D353" s="369" t="s">
        <v>240</v>
      </c>
      <c r="E353" s="369" t="s">
        <v>521</v>
      </c>
      <c r="F353" s="369" t="s">
        <v>184</v>
      </c>
      <c r="G353" s="370">
        <v>35</v>
      </c>
      <c r="H353" s="148" t="s">
        <v>259</v>
      </c>
    </row>
    <row r="354" spans="2:8" ht="15" customHeight="1">
      <c r="B354" s="148" t="s">
        <v>723</v>
      </c>
      <c r="C354" s="369" t="s">
        <v>721</v>
      </c>
      <c r="D354" s="369" t="s">
        <v>241</v>
      </c>
      <c r="E354" s="369" t="s">
        <v>528</v>
      </c>
      <c r="F354" s="369" t="s">
        <v>184</v>
      </c>
      <c r="G354" s="370">
        <v>59</v>
      </c>
      <c r="H354" s="148" t="s">
        <v>259</v>
      </c>
    </row>
    <row r="355" spans="2:8" ht="15" customHeight="1">
      <c r="B355" s="148" t="s">
        <v>724</v>
      </c>
      <c r="C355" s="369" t="s">
        <v>721</v>
      </c>
      <c r="D355" s="369" t="s">
        <v>242</v>
      </c>
      <c r="E355" s="369" t="s">
        <v>530</v>
      </c>
      <c r="F355" s="369" t="s">
        <v>184</v>
      </c>
      <c r="G355" s="370">
        <v>66</v>
      </c>
      <c r="H355" s="148" t="s">
        <v>259</v>
      </c>
    </row>
    <row r="356" spans="2:8" ht="15" customHeight="1">
      <c r="B356" s="148" t="s">
        <v>725</v>
      </c>
      <c r="C356" s="369" t="s">
        <v>721</v>
      </c>
      <c r="D356" s="369" t="s">
        <v>243</v>
      </c>
      <c r="E356" s="369" t="s">
        <v>526</v>
      </c>
      <c r="F356" s="369" t="s">
        <v>184</v>
      </c>
      <c r="G356" s="370">
        <v>52</v>
      </c>
      <c r="H356" s="148" t="s">
        <v>259</v>
      </c>
    </row>
    <row r="357" spans="2:8" ht="15" customHeight="1">
      <c r="B357" s="148" t="s">
        <v>726</v>
      </c>
      <c r="C357" s="369" t="s">
        <v>727</v>
      </c>
      <c r="D357" s="369" t="s">
        <v>239</v>
      </c>
      <c r="E357" s="369" t="s">
        <v>524</v>
      </c>
      <c r="F357" s="369" t="s">
        <v>184</v>
      </c>
      <c r="G357" s="370">
        <v>37</v>
      </c>
      <c r="H357" s="148" t="s">
        <v>259</v>
      </c>
    </row>
    <row r="358" spans="2:8" ht="15" customHeight="1">
      <c r="B358" s="148" t="s">
        <v>728</v>
      </c>
      <c r="C358" s="369" t="s">
        <v>727</v>
      </c>
      <c r="D358" s="369" t="s">
        <v>240</v>
      </c>
      <c r="E358" s="369" t="s">
        <v>521</v>
      </c>
      <c r="F358" s="369" t="s">
        <v>184</v>
      </c>
      <c r="G358" s="370">
        <v>32</v>
      </c>
      <c r="H358" s="148" t="s">
        <v>259</v>
      </c>
    </row>
    <row r="359" spans="2:8" ht="15" customHeight="1">
      <c r="B359" s="148" t="s">
        <v>729</v>
      </c>
      <c r="C359" s="369" t="s">
        <v>727</v>
      </c>
      <c r="D359" s="369" t="s">
        <v>241</v>
      </c>
      <c r="E359" s="369" t="s">
        <v>528</v>
      </c>
      <c r="F359" s="369" t="s">
        <v>184</v>
      </c>
      <c r="G359" s="370">
        <v>49</v>
      </c>
      <c r="H359" s="148" t="s">
        <v>259</v>
      </c>
    </row>
    <row r="360" spans="2:8" ht="15" customHeight="1">
      <c r="B360" s="148" t="s">
        <v>730</v>
      </c>
      <c r="C360" s="369" t="s">
        <v>727</v>
      </c>
      <c r="D360" s="369" t="s">
        <v>242</v>
      </c>
      <c r="E360" s="369" t="s">
        <v>530</v>
      </c>
      <c r="F360" s="369" t="s">
        <v>184</v>
      </c>
      <c r="G360" s="370">
        <v>57</v>
      </c>
      <c r="H360" s="148" t="s">
        <v>259</v>
      </c>
    </row>
    <row r="361" spans="2:8" ht="15" customHeight="1">
      <c r="B361" s="148" t="s">
        <v>731</v>
      </c>
      <c r="C361" s="369" t="s">
        <v>727</v>
      </c>
      <c r="D361" s="369" t="s">
        <v>243</v>
      </c>
      <c r="E361" s="369" t="s">
        <v>526</v>
      </c>
      <c r="F361" s="369" t="s">
        <v>184</v>
      </c>
      <c r="G361" s="370">
        <v>42</v>
      </c>
      <c r="H361" s="148" t="s">
        <v>259</v>
      </c>
    </row>
    <row r="362" spans="2:8" ht="15" customHeight="1">
      <c r="B362" s="148" t="s">
        <v>732</v>
      </c>
      <c r="C362" s="369" t="s">
        <v>733</v>
      </c>
      <c r="D362" s="369" t="s">
        <v>239</v>
      </c>
      <c r="E362" s="369" t="s">
        <v>524</v>
      </c>
      <c r="F362" s="369" t="s">
        <v>184</v>
      </c>
      <c r="G362" s="370">
        <v>25</v>
      </c>
      <c r="H362" s="148" t="s">
        <v>259</v>
      </c>
    </row>
    <row r="363" spans="2:8" ht="15" customHeight="1">
      <c r="B363" s="148" t="s">
        <v>734</v>
      </c>
      <c r="C363" s="369" t="s">
        <v>733</v>
      </c>
      <c r="D363" s="369" t="s">
        <v>240</v>
      </c>
      <c r="E363" s="369" t="s">
        <v>521</v>
      </c>
      <c r="F363" s="369" t="s">
        <v>184</v>
      </c>
      <c r="G363" s="370">
        <v>22</v>
      </c>
      <c r="H363" s="148" t="s">
        <v>259</v>
      </c>
    </row>
    <row r="364" spans="2:8" ht="15" customHeight="1">
      <c r="B364" s="148" t="s">
        <v>735</v>
      </c>
      <c r="C364" s="369" t="s">
        <v>733</v>
      </c>
      <c r="D364" s="369" t="s">
        <v>241</v>
      </c>
      <c r="E364" s="369" t="s">
        <v>528</v>
      </c>
      <c r="F364" s="369" t="s">
        <v>184</v>
      </c>
      <c r="G364" s="370">
        <v>38</v>
      </c>
      <c r="H364" s="148" t="s">
        <v>259</v>
      </c>
    </row>
    <row r="365" spans="2:8" ht="15" customHeight="1">
      <c r="B365" s="148" t="s">
        <v>736</v>
      </c>
      <c r="C365" s="369" t="s">
        <v>733</v>
      </c>
      <c r="D365" s="369" t="s">
        <v>242</v>
      </c>
      <c r="E365" s="369" t="s">
        <v>530</v>
      </c>
      <c r="F365" s="369" t="s">
        <v>184</v>
      </c>
      <c r="G365" s="370">
        <v>45</v>
      </c>
      <c r="H365" s="148" t="s">
        <v>259</v>
      </c>
    </row>
    <row r="366" spans="2:8" ht="15" customHeight="1">
      <c r="B366" s="148" t="s">
        <v>737</v>
      </c>
      <c r="C366" s="369" t="s">
        <v>733</v>
      </c>
      <c r="D366" s="369" t="s">
        <v>243</v>
      </c>
      <c r="E366" s="369" t="s">
        <v>526</v>
      </c>
      <c r="F366" s="369" t="s">
        <v>184</v>
      </c>
      <c r="G366" s="370">
        <v>32</v>
      </c>
      <c r="H366" s="148" t="s">
        <v>259</v>
      </c>
    </row>
    <row r="367" spans="2:8" ht="15" customHeight="1">
      <c r="B367" s="148" t="s">
        <v>738</v>
      </c>
      <c r="C367" s="369" t="s">
        <v>739</v>
      </c>
      <c r="D367" s="369" t="s">
        <v>239</v>
      </c>
      <c r="E367" s="369" t="s">
        <v>524</v>
      </c>
      <c r="F367" s="369" t="s">
        <v>184</v>
      </c>
      <c r="G367" s="370">
        <v>32</v>
      </c>
      <c r="H367" s="148" t="s">
        <v>259</v>
      </c>
    </row>
    <row r="368" spans="2:8" ht="15" customHeight="1">
      <c r="B368" s="148" t="s">
        <v>740</v>
      </c>
      <c r="C368" s="369" t="s">
        <v>739</v>
      </c>
      <c r="D368" s="369" t="s">
        <v>240</v>
      </c>
      <c r="E368" s="369" t="s">
        <v>521</v>
      </c>
      <c r="F368" s="369" t="s">
        <v>184</v>
      </c>
      <c r="G368" s="370">
        <v>26</v>
      </c>
      <c r="H368" s="148" t="s">
        <v>259</v>
      </c>
    </row>
    <row r="369" spans="2:8" ht="15" customHeight="1">
      <c r="B369" s="148" t="s">
        <v>741</v>
      </c>
      <c r="C369" s="369" t="s">
        <v>739</v>
      </c>
      <c r="D369" s="369" t="s">
        <v>241</v>
      </c>
      <c r="E369" s="369" t="s">
        <v>528</v>
      </c>
      <c r="F369" s="369" t="s">
        <v>184</v>
      </c>
      <c r="G369" s="370">
        <v>45</v>
      </c>
      <c r="H369" s="148" t="s">
        <v>259</v>
      </c>
    </row>
    <row r="370" spans="2:8" ht="15" customHeight="1">
      <c r="B370" s="148" t="s">
        <v>742</v>
      </c>
      <c r="C370" s="369" t="s">
        <v>739</v>
      </c>
      <c r="D370" s="369" t="s">
        <v>242</v>
      </c>
      <c r="E370" s="369" t="s">
        <v>530</v>
      </c>
      <c r="F370" s="369" t="s">
        <v>184</v>
      </c>
      <c r="G370" s="370">
        <v>51</v>
      </c>
      <c r="H370" s="148" t="s">
        <v>259</v>
      </c>
    </row>
    <row r="371" spans="2:8" ht="15" customHeight="1">
      <c r="B371" s="148" t="s">
        <v>743</v>
      </c>
      <c r="C371" s="369" t="s">
        <v>739</v>
      </c>
      <c r="D371" s="369" t="s">
        <v>243</v>
      </c>
      <c r="E371" s="369" t="s">
        <v>526</v>
      </c>
      <c r="F371" s="369" t="s">
        <v>184</v>
      </c>
      <c r="G371" s="370">
        <v>39</v>
      </c>
      <c r="H371" s="148" t="s">
        <v>259</v>
      </c>
    </row>
    <row r="372" spans="2:8" ht="15" customHeight="1">
      <c r="B372" s="148" t="s">
        <v>744</v>
      </c>
      <c r="C372" s="369" t="s">
        <v>745</v>
      </c>
      <c r="D372" s="369" t="s">
        <v>239</v>
      </c>
      <c r="E372" s="369" t="s">
        <v>524</v>
      </c>
      <c r="F372" s="369" t="s">
        <v>184</v>
      </c>
      <c r="G372" s="370">
        <v>32</v>
      </c>
      <c r="H372" s="148" t="s">
        <v>259</v>
      </c>
    </row>
    <row r="373" spans="2:8" ht="15" customHeight="1">
      <c r="B373" s="148" t="s">
        <v>746</v>
      </c>
      <c r="C373" s="369" t="s">
        <v>745</v>
      </c>
      <c r="D373" s="369" t="s">
        <v>240</v>
      </c>
      <c r="E373" s="369" t="s">
        <v>521</v>
      </c>
      <c r="F373" s="369" t="s">
        <v>184</v>
      </c>
      <c r="G373" s="370">
        <v>26</v>
      </c>
      <c r="H373" s="148" t="s">
        <v>259</v>
      </c>
    </row>
    <row r="374" spans="2:8" ht="15" customHeight="1">
      <c r="B374" s="148" t="s">
        <v>747</v>
      </c>
      <c r="C374" s="369" t="s">
        <v>745</v>
      </c>
      <c r="D374" s="369" t="s">
        <v>241</v>
      </c>
      <c r="E374" s="369" t="s">
        <v>528</v>
      </c>
      <c r="F374" s="369" t="s">
        <v>184</v>
      </c>
      <c r="G374" s="370">
        <v>43</v>
      </c>
      <c r="H374" s="148" t="s">
        <v>259</v>
      </c>
    </row>
    <row r="375" spans="2:8" ht="15" customHeight="1">
      <c r="B375" s="148" t="s">
        <v>748</v>
      </c>
      <c r="C375" s="369" t="s">
        <v>745</v>
      </c>
      <c r="D375" s="369" t="s">
        <v>242</v>
      </c>
      <c r="E375" s="369" t="s">
        <v>530</v>
      </c>
      <c r="F375" s="369" t="s">
        <v>184</v>
      </c>
      <c r="G375" s="370">
        <v>59</v>
      </c>
      <c r="H375" s="148" t="s">
        <v>259</v>
      </c>
    </row>
    <row r="376" spans="2:8" ht="15" customHeight="1">
      <c r="B376" s="148" t="s">
        <v>749</v>
      </c>
      <c r="C376" s="369" t="s">
        <v>745</v>
      </c>
      <c r="D376" s="369" t="s">
        <v>243</v>
      </c>
      <c r="E376" s="369" t="s">
        <v>526</v>
      </c>
      <c r="F376" s="369" t="s">
        <v>184</v>
      </c>
      <c r="G376" s="370">
        <v>38</v>
      </c>
      <c r="H376" s="148" t="s">
        <v>259</v>
      </c>
    </row>
    <row r="377" spans="2:8" ht="15" customHeight="1">
      <c r="B377" s="148" t="s">
        <v>750</v>
      </c>
      <c r="C377" s="369" t="s">
        <v>751</v>
      </c>
      <c r="D377" s="369" t="s">
        <v>239</v>
      </c>
      <c r="E377" s="369" t="s">
        <v>524</v>
      </c>
      <c r="F377" s="369" t="s">
        <v>184</v>
      </c>
      <c r="G377" s="370">
        <v>42</v>
      </c>
      <c r="H377" s="148" t="s">
        <v>259</v>
      </c>
    </row>
    <row r="378" spans="2:8" ht="15" customHeight="1">
      <c r="B378" s="148" t="s">
        <v>752</v>
      </c>
      <c r="C378" s="369" t="s">
        <v>751</v>
      </c>
      <c r="D378" s="369" t="s">
        <v>240</v>
      </c>
      <c r="E378" s="369" t="s">
        <v>521</v>
      </c>
      <c r="F378" s="369" t="s">
        <v>184</v>
      </c>
      <c r="G378" s="370">
        <v>31</v>
      </c>
      <c r="H378" s="148" t="s">
        <v>259</v>
      </c>
    </row>
    <row r="379" spans="2:8" ht="15" customHeight="1">
      <c r="B379" s="148" t="s">
        <v>753</v>
      </c>
      <c r="C379" s="369" t="s">
        <v>751</v>
      </c>
      <c r="D379" s="369" t="s">
        <v>241</v>
      </c>
      <c r="E379" s="369" t="s">
        <v>528</v>
      </c>
      <c r="F379" s="369" t="s">
        <v>184</v>
      </c>
      <c r="G379" s="370">
        <v>53</v>
      </c>
      <c r="H379" s="148" t="s">
        <v>259</v>
      </c>
    </row>
    <row r="380" spans="2:8" ht="15" customHeight="1">
      <c r="B380" s="148" t="s">
        <v>754</v>
      </c>
      <c r="C380" s="369" t="s">
        <v>751</v>
      </c>
      <c r="D380" s="369" t="s">
        <v>242</v>
      </c>
      <c r="E380" s="369" t="s">
        <v>530</v>
      </c>
      <c r="F380" s="369" t="s">
        <v>184</v>
      </c>
      <c r="G380" s="370">
        <v>70</v>
      </c>
      <c r="H380" s="148" t="s">
        <v>259</v>
      </c>
    </row>
    <row r="381" spans="2:8" ht="15" customHeight="1">
      <c r="B381" s="148" t="s">
        <v>755</v>
      </c>
      <c r="C381" s="369" t="s">
        <v>751</v>
      </c>
      <c r="D381" s="369" t="s">
        <v>243</v>
      </c>
      <c r="E381" s="369" t="s">
        <v>526</v>
      </c>
      <c r="F381" s="369" t="s">
        <v>184</v>
      </c>
      <c r="G381" s="370">
        <v>49</v>
      </c>
      <c r="H381" s="148" t="s">
        <v>259</v>
      </c>
    </row>
    <row r="382" spans="2:8" ht="15" customHeight="1">
      <c r="B382" s="148" t="s">
        <v>756</v>
      </c>
      <c r="C382" s="369" t="s">
        <v>757</v>
      </c>
      <c r="D382" s="369" t="s">
        <v>239</v>
      </c>
      <c r="E382" s="369" t="s">
        <v>524</v>
      </c>
      <c r="F382" s="369" t="s">
        <v>184</v>
      </c>
      <c r="G382" s="370">
        <v>31</v>
      </c>
      <c r="H382" s="148" t="s">
        <v>259</v>
      </c>
    </row>
    <row r="383" spans="2:8" ht="15" customHeight="1">
      <c r="B383" s="148" t="s">
        <v>758</v>
      </c>
      <c r="C383" s="369" t="s">
        <v>757</v>
      </c>
      <c r="D383" s="369" t="s">
        <v>240</v>
      </c>
      <c r="E383" s="369" t="s">
        <v>521</v>
      </c>
      <c r="F383" s="369" t="s">
        <v>184</v>
      </c>
      <c r="G383" s="370">
        <v>21</v>
      </c>
      <c r="H383" s="148" t="s">
        <v>259</v>
      </c>
    </row>
    <row r="384" spans="2:8" ht="15" customHeight="1">
      <c r="B384" s="148" t="s">
        <v>759</v>
      </c>
      <c r="C384" s="369" t="s">
        <v>757</v>
      </c>
      <c r="D384" s="369" t="s">
        <v>241</v>
      </c>
      <c r="E384" s="369" t="s">
        <v>528</v>
      </c>
      <c r="F384" s="369" t="s">
        <v>184</v>
      </c>
      <c r="G384" s="370">
        <v>40</v>
      </c>
      <c r="H384" s="148" t="s">
        <v>259</v>
      </c>
    </row>
    <row r="385" spans="2:8" ht="15" customHeight="1">
      <c r="B385" s="148" t="s">
        <v>760</v>
      </c>
      <c r="C385" s="369" t="s">
        <v>757</v>
      </c>
      <c r="D385" s="369" t="s">
        <v>242</v>
      </c>
      <c r="E385" s="369" t="s">
        <v>530</v>
      </c>
      <c r="F385" s="369" t="s">
        <v>184</v>
      </c>
      <c r="G385" s="370">
        <v>59</v>
      </c>
      <c r="H385" s="148" t="s">
        <v>259</v>
      </c>
    </row>
    <row r="386" spans="2:8" ht="15" customHeight="1">
      <c r="B386" s="148" t="s">
        <v>761</v>
      </c>
      <c r="C386" s="369" t="s">
        <v>757</v>
      </c>
      <c r="D386" s="369" t="s">
        <v>243</v>
      </c>
      <c r="E386" s="369" t="s">
        <v>526</v>
      </c>
      <c r="F386" s="369" t="s">
        <v>184</v>
      </c>
      <c r="G386" s="370">
        <v>37</v>
      </c>
      <c r="H386" s="148" t="s">
        <v>259</v>
      </c>
    </row>
    <row r="387" spans="2:8" ht="15" customHeight="1">
      <c r="B387" s="148" t="s">
        <v>762</v>
      </c>
      <c r="C387" s="369" t="s">
        <v>763</v>
      </c>
      <c r="D387" s="369" t="s">
        <v>239</v>
      </c>
      <c r="E387" s="369" t="s">
        <v>524</v>
      </c>
      <c r="F387" s="369" t="s">
        <v>184</v>
      </c>
      <c r="G387" s="370">
        <v>52</v>
      </c>
      <c r="H387" s="148" t="s">
        <v>259</v>
      </c>
    </row>
    <row r="388" spans="2:8" ht="15" customHeight="1">
      <c r="B388" s="148" t="s">
        <v>764</v>
      </c>
      <c r="C388" s="369" t="s">
        <v>763</v>
      </c>
      <c r="D388" s="369" t="s">
        <v>240</v>
      </c>
      <c r="E388" s="369" t="s">
        <v>521</v>
      </c>
      <c r="F388" s="369" t="s">
        <v>184</v>
      </c>
      <c r="G388" s="370">
        <v>46</v>
      </c>
      <c r="H388" s="148" t="s">
        <v>259</v>
      </c>
    </row>
    <row r="389" spans="2:8" ht="15" customHeight="1">
      <c r="B389" s="148" t="s">
        <v>765</v>
      </c>
      <c r="C389" s="369" t="s">
        <v>763</v>
      </c>
      <c r="D389" s="369" t="s">
        <v>241</v>
      </c>
      <c r="E389" s="369" t="s">
        <v>528</v>
      </c>
      <c r="F389" s="369" t="s">
        <v>184</v>
      </c>
      <c r="G389" s="370">
        <v>77</v>
      </c>
      <c r="H389" s="148" t="s">
        <v>259</v>
      </c>
    </row>
    <row r="390" spans="2:8" ht="15" customHeight="1">
      <c r="B390" s="148" t="s">
        <v>766</v>
      </c>
      <c r="C390" s="369" t="s">
        <v>763</v>
      </c>
      <c r="D390" s="369" t="s">
        <v>242</v>
      </c>
      <c r="E390" s="369" t="s">
        <v>530</v>
      </c>
      <c r="F390" s="369" t="s">
        <v>184</v>
      </c>
      <c r="G390" s="370">
        <v>82</v>
      </c>
      <c r="H390" s="148" t="s">
        <v>259</v>
      </c>
    </row>
    <row r="391" spans="2:8" ht="15" customHeight="1">
      <c r="B391" s="148" t="s">
        <v>767</v>
      </c>
      <c r="C391" s="369" t="s">
        <v>763</v>
      </c>
      <c r="D391" s="369" t="s">
        <v>243</v>
      </c>
      <c r="E391" s="369" t="s">
        <v>526</v>
      </c>
      <c r="F391" s="369" t="s">
        <v>184</v>
      </c>
      <c r="G391" s="370">
        <v>65</v>
      </c>
      <c r="H391" s="148" t="s">
        <v>259</v>
      </c>
    </row>
    <row r="392" spans="2:8" ht="15" customHeight="1">
      <c r="B392" s="148" t="s">
        <v>768</v>
      </c>
      <c r="C392" s="369" t="s">
        <v>358</v>
      </c>
      <c r="D392" s="369" t="s">
        <v>239</v>
      </c>
      <c r="E392" s="369" t="s">
        <v>524</v>
      </c>
      <c r="F392" s="369" t="s">
        <v>184</v>
      </c>
      <c r="G392" s="370">
        <v>41</v>
      </c>
      <c r="H392" s="148" t="s">
        <v>259</v>
      </c>
    </row>
    <row r="393" spans="2:8" ht="15" customHeight="1">
      <c r="B393" s="148" t="s">
        <v>769</v>
      </c>
      <c r="C393" s="369" t="s">
        <v>358</v>
      </c>
      <c r="D393" s="369" t="s">
        <v>240</v>
      </c>
      <c r="E393" s="369" t="s">
        <v>521</v>
      </c>
      <c r="F393" s="369" t="s">
        <v>184</v>
      </c>
      <c r="G393" s="370">
        <v>40</v>
      </c>
      <c r="H393" s="148" t="s">
        <v>259</v>
      </c>
    </row>
    <row r="394" spans="2:8" ht="15" customHeight="1">
      <c r="B394" s="148" t="s">
        <v>770</v>
      </c>
      <c r="C394" s="369" t="s">
        <v>358</v>
      </c>
      <c r="D394" s="369" t="s">
        <v>241</v>
      </c>
      <c r="E394" s="369" t="s">
        <v>528</v>
      </c>
      <c r="F394" s="369" t="s">
        <v>184</v>
      </c>
      <c r="G394" s="370">
        <v>63</v>
      </c>
      <c r="H394" s="148" t="s">
        <v>259</v>
      </c>
    </row>
    <row r="395" spans="2:8" ht="15" customHeight="1">
      <c r="B395" s="148" t="s">
        <v>771</v>
      </c>
      <c r="C395" s="369" t="s">
        <v>358</v>
      </c>
      <c r="D395" s="369" t="s">
        <v>242</v>
      </c>
      <c r="E395" s="369" t="s">
        <v>530</v>
      </c>
      <c r="F395" s="369" t="s">
        <v>184</v>
      </c>
      <c r="G395" s="370">
        <v>75</v>
      </c>
      <c r="H395" s="148" t="s">
        <v>259</v>
      </c>
    </row>
    <row r="396" spans="2:8" ht="15" customHeight="1">
      <c r="B396" s="148" t="s">
        <v>772</v>
      </c>
      <c r="C396" s="369" t="s">
        <v>358</v>
      </c>
      <c r="D396" s="369" t="s">
        <v>243</v>
      </c>
      <c r="E396" s="369" t="s">
        <v>526</v>
      </c>
      <c r="F396" s="369" t="s">
        <v>184</v>
      </c>
      <c r="G396" s="370">
        <v>56</v>
      </c>
      <c r="H396" s="148" t="s">
        <v>259</v>
      </c>
    </row>
    <row r="397" spans="2:8" ht="15" customHeight="1">
      <c r="B397" s="148" t="s">
        <v>773</v>
      </c>
      <c r="C397" s="369" t="s">
        <v>774</v>
      </c>
      <c r="D397" s="369" t="s">
        <v>239</v>
      </c>
      <c r="E397" s="369" t="s">
        <v>524</v>
      </c>
      <c r="F397" s="369" t="s">
        <v>184</v>
      </c>
      <c r="G397" s="370">
        <v>37</v>
      </c>
      <c r="H397" s="148" t="s">
        <v>259</v>
      </c>
    </row>
    <row r="398" spans="2:8" ht="15" customHeight="1">
      <c r="B398" s="148" t="s">
        <v>775</v>
      </c>
      <c r="C398" s="369" t="s">
        <v>774</v>
      </c>
      <c r="D398" s="369" t="s">
        <v>240</v>
      </c>
      <c r="E398" s="369" t="s">
        <v>521</v>
      </c>
      <c r="F398" s="369" t="s">
        <v>184</v>
      </c>
      <c r="G398" s="370">
        <v>30</v>
      </c>
      <c r="H398" s="148" t="s">
        <v>259</v>
      </c>
    </row>
    <row r="399" spans="2:8" ht="15" customHeight="1">
      <c r="B399" s="148" t="s">
        <v>776</v>
      </c>
      <c r="C399" s="369" t="s">
        <v>774</v>
      </c>
      <c r="D399" s="369" t="s">
        <v>241</v>
      </c>
      <c r="E399" s="369" t="s">
        <v>528</v>
      </c>
      <c r="F399" s="369" t="s">
        <v>184</v>
      </c>
      <c r="G399" s="370">
        <v>49</v>
      </c>
      <c r="H399" s="148" t="s">
        <v>259</v>
      </c>
    </row>
    <row r="400" spans="2:8" ht="15" customHeight="1">
      <c r="B400" s="148" t="s">
        <v>777</v>
      </c>
      <c r="C400" s="369" t="s">
        <v>774</v>
      </c>
      <c r="D400" s="369" t="s">
        <v>242</v>
      </c>
      <c r="E400" s="369" t="s">
        <v>530</v>
      </c>
      <c r="F400" s="369" t="s">
        <v>184</v>
      </c>
      <c r="G400" s="370">
        <v>59</v>
      </c>
      <c r="H400" s="148" t="s">
        <v>259</v>
      </c>
    </row>
    <row r="401" spans="2:8" ht="15" customHeight="1">
      <c r="B401" s="148" t="s">
        <v>778</v>
      </c>
      <c r="C401" s="369" t="s">
        <v>774</v>
      </c>
      <c r="D401" s="369" t="s">
        <v>243</v>
      </c>
      <c r="E401" s="369" t="s">
        <v>526</v>
      </c>
      <c r="F401" s="369" t="s">
        <v>184</v>
      </c>
      <c r="G401" s="370">
        <v>42</v>
      </c>
      <c r="H401" s="148" t="s">
        <v>259</v>
      </c>
    </row>
    <row r="402" spans="2:8" ht="15" customHeight="1">
      <c r="B402" s="148" t="s">
        <v>779</v>
      </c>
      <c r="C402" s="369" t="s">
        <v>780</v>
      </c>
      <c r="D402" s="369" t="s">
        <v>239</v>
      </c>
      <c r="E402" s="369" t="s">
        <v>524</v>
      </c>
      <c r="F402" s="369" t="s">
        <v>184</v>
      </c>
      <c r="G402" s="370">
        <v>37</v>
      </c>
      <c r="H402" s="148" t="s">
        <v>259</v>
      </c>
    </row>
    <row r="403" spans="2:8" ht="15" customHeight="1">
      <c r="B403" s="148" t="s">
        <v>781</v>
      </c>
      <c r="C403" s="369" t="s">
        <v>780</v>
      </c>
      <c r="D403" s="369" t="s">
        <v>240</v>
      </c>
      <c r="E403" s="369" t="s">
        <v>521</v>
      </c>
      <c r="F403" s="369" t="s">
        <v>184</v>
      </c>
      <c r="G403" s="370">
        <v>30</v>
      </c>
      <c r="H403" s="148" t="s">
        <v>259</v>
      </c>
    </row>
    <row r="404" spans="2:8" ht="15" customHeight="1">
      <c r="B404" s="148" t="s">
        <v>782</v>
      </c>
      <c r="C404" s="369" t="s">
        <v>780</v>
      </c>
      <c r="D404" s="369" t="s">
        <v>241</v>
      </c>
      <c r="E404" s="369" t="s">
        <v>528</v>
      </c>
      <c r="F404" s="369" t="s">
        <v>184</v>
      </c>
      <c r="G404" s="370">
        <v>49</v>
      </c>
      <c r="H404" s="148" t="s">
        <v>259</v>
      </c>
    </row>
    <row r="405" spans="2:8" ht="15" customHeight="1">
      <c r="B405" s="148" t="s">
        <v>783</v>
      </c>
      <c r="C405" s="369" t="s">
        <v>780</v>
      </c>
      <c r="D405" s="369" t="s">
        <v>242</v>
      </c>
      <c r="E405" s="369" t="s">
        <v>530</v>
      </c>
      <c r="F405" s="369" t="s">
        <v>184</v>
      </c>
      <c r="G405" s="370">
        <v>58</v>
      </c>
      <c r="H405" s="148" t="s">
        <v>259</v>
      </c>
    </row>
    <row r="406" spans="2:8" ht="15" customHeight="1">
      <c r="B406" s="148" t="s">
        <v>784</v>
      </c>
      <c r="C406" s="369" t="s">
        <v>780</v>
      </c>
      <c r="D406" s="369" t="s">
        <v>243</v>
      </c>
      <c r="E406" s="369" t="s">
        <v>526</v>
      </c>
      <c r="F406" s="369" t="s">
        <v>184</v>
      </c>
      <c r="G406" s="370">
        <v>42</v>
      </c>
      <c r="H406" s="148" t="s">
        <v>259</v>
      </c>
    </row>
    <row r="407" spans="2:8" ht="15" customHeight="1">
      <c r="B407" s="148" t="s">
        <v>785</v>
      </c>
      <c r="C407" s="369" t="s">
        <v>786</v>
      </c>
      <c r="D407" s="369" t="s">
        <v>239</v>
      </c>
      <c r="E407" s="369" t="s">
        <v>524</v>
      </c>
      <c r="F407" s="369" t="s">
        <v>184</v>
      </c>
      <c r="G407" s="370">
        <v>48</v>
      </c>
      <c r="H407" s="148" t="s">
        <v>259</v>
      </c>
    </row>
    <row r="408" spans="2:8" ht="15" customHeight="1">
      <c r="B408" s="148" t="s">
        <v>787</v>
      </c>
      <c r="C408" s="369" t="s">
        <v>786</v>
      </c>
      <c r="D408" s="369" t="s">
        <v>240</v>
      </c>
      <c r="E408" s="369" t="s">
        <v>521</v>
      </c>
      <c r="F408" s="369" t="s">
        <v>184</v>
      </c>
      <c r="G408" s="370">
        <v>45</v>
      </c>
      <c r="H408" s="148" t="s">
        <v>259</v>
      </c>
    </row>
    <row r="409" spans="2:8" ht="15" customHeight="1">
      <c r="B409" s="148" t="s">
        <v>788</v>
      </c>
      <c r="C409" s="369" t="s">
        <v>786</v>
      </c>
      <c r="D409" s="369" t="s">
        <v>241</v>
      </c>
      <c r="E409" s="369" t="s">
        <v>528</v>
      </c>
      <c r="F409" s="369" t="s">
        <v>184</v>
      </c>
      <c r="G409" s="370">
        <v>62</v>
      </c>
      <c r="H409" s="148" t="s">
        <v>259</v>
      </c>
    </row>
    <row r="410" spans="2:8" ht="15" customHeight="1">
      <c r="B410" s="148" t="s">
        <v>789</v>
      </c>
      <c r="C410" s="369" t="s">
        <v>786</v>
      </c>
      <c r="D410" s="369" t="s">
        <v>242</v>
      </c>
      <c r="E410" s="369" t="s">
        <v>530</v>
      </c>
      <c r="F410" s="369" t="s">
        <v>184</v>
      </c>
      <c r="G410" s="370">
        <v>70</v>
      </c>
      <c r="H410" s="148" t="s">
        <v>259</v>
      </c>
    </row>
    <row r="411" spans="2:8" ht="15" customHeight="1">
      <c r="B411" s="148" t="s">
        <v>790</v>
      </c>
      <c r="C411" s="369" t="s">
        <v>786</v>
      </c>
      <c r="D411" s="369" t="s">
        <v>243</v>
      </c>
      <c r="E411" s="369" t="s">
        <v>526</v>
      </c>
      <c r="F411" s="369" t="s">
        <v>184</v>
      </c>
      <c r="G411" s="370">
        <v>52</v>
      </c>
      <c r="H411" s="148" t="s">
        <v>259</v>
      </c>
    </row>
    <row r="412" spans="2:8" ht="15" customHeight="1">
      <c r="B412" s="148" t="s">
        <v>791</v>
      </c>
      <c r="C412" s="369" t="s">
        <v>792</v>
      </c>
      <c r="D412" s="369" t="s">
        <v>239</v>
      </c>
      <c r="E412" s="369" t="s">
        <v>524</v>
      </c>
      <c r="F412" s="369" t="s">
        <v>184</v>
      </c>
      <c r="G412" s="370">
        <v>32</v>
      </c>
      <c r="H412" s="148" t="s">
        <v>259</v>
      </c>
    </row>
    <row r="413" spans="2:8" ht="15" customHeight="1">
      <c r="B413" s="148" t="s">
        <v>793</v>
      </c>
      <c r="C413" s="369" t="s">
        <v>792</v>
      </c>
      <c r="D413" s="369" t="s">
        <v>240</v>
      </c>
      <c r="E413" s="369" t="s">
        <v>521</v>
      </c>
      <c r="F413" s="369" t="s">
        <v>184</v>
      </c>
      <c r="G413" s="370">
        <v>28</v>
      </c>
      <c r="H413" s="148" t="s">
        <v>259</v>
      </c>
    </row>
    <row r="414" spans="2:8" ht="15" customHeight="1">
      <c r="B414" s="148" t="s">
        <v>794</v>
      </c>
      <c r="C414" s="369" t="s">
        <v>792</v>
      </c>
      <c r="D414" s="369" t="s">
        <v>241</v>
      </c>
      <c r="E414" s="369" t="s">
        <v>528</v>
      </c>
      <c r="F414" s="369" t="s">
        <v>184</v>
      </c>
      <c r="G414" s="370">
        <v>49</v>
      </c>
      <c r="H414" s="148" t="s">
        <v>259</v>
      </c>
    </row>
    <row r="415" spans="2:8" ht="15" customHeight="1">
      <c r="B415" s="148" t="s">
        <v>795</v>
      </c>
      <c r="C415" s="369" t="s">
        <v>792</v>
      </c>
      <c r="D415" s="369" t="s">
        <v>242</v>
      </c>
      <c r="E415" s="369" t="s">
        <v>530</v>
      </c>
      <c r="F415" s="369" t="s">
        <v>184</v>
      </c>
      <c r="G415" s="370">
        <v>59</v>
      </c>
      <c r="H415" s="148" t="s">
        <v>259</v>
      </c>
    </row>
    <row r="416" spans="2:8" ht="15" customHeight="1">
      <c r="B416" s="148" t="s">
        <v>796</v>
      </c>
      <c r="C416" s="369" t="s">
        <v>792</v>
      </c>
      <c r="D416" s="369" t="s">
        <v>243</v>
      </c>
      <c r="E416" s="369" t="s">
        <v>526</v>
      </c>
      <c r="F416" s="369" t="s">
        <v>184</v>
      </c>
      <c r="G416" s="370">
        <v>39</v>
      </c>
      <c r="H416" s="148" t="s">
        <v>259</v>
      </c>
    </row>
    <row r="417" spans="2:8" ht="15" customHeight="1">
      <c r="B417" s="148" t="s">
        <v>797</v>
      </c>
      <c r="C417" s="369" t="s">
        <v>253</v>
      </c>
      <c r="D417" s="369" t="s">
        <v>239</v>
      </c>
      <c r="E417" s="369" t="s">
        <v>524</v>
      </c>
      <c r="F417" s="369" t="s">
        <v>184</v>
      </c>
      <c r="G417" s="370">
        <v>39</v>
      </c>
      <c r="H417" s="148" t="s">
        <v>259</v>
      </c>
    </row>
    <row r="418" spans="2:8" ht="15" customHeight="1">
      <c r="B418" s="148" t="s">
        <v>798</v>
      </c>
      <c r="C418" s="369" t="s">
        <v>253</v>
      </c>
      <c r="D418" s="369" t="s">
        <v>241</v>
      </c>
      <c r="E418" s="369" t="s">
        <v>528</v>
      </c>
      <c r="F418" s="369" t="s">
        <v>184</v>
      </c>
      <c r="G418" s="370">
        <v>50</v>
      </c>
      <c r="H418" s="148" t="s">
        <v>259</v>
      </c>
    </row>
    <row r="419" spans="2:8" ht="15" customHeight="1">
      <c r="B419" s="148" t="s">
        <v>799</v>
      </c>
      <c r="C419" s="369" t="s">
        <v>253</v>
      </c>
      <c r="D419" s="369" t="s">
        <v>242</v>
      </c>
      <c r="E419" s="369" t="s">
        <v>530</v>
      </c>
      <c r="F419" s="369" t="s">
        <v>184</v>
      </c>
      <c r="G419" s="370">
        <v>60</v>
      </c>
      <c r="H419" s="148" t="s">
        <v>259</v>
      </c>
    </row>
    <row r="420" spans="2:8" ht="15" customHeight="1">
      <c r="B420" s="148" t="s">
        <v>800</v>
      </c>
      <c r="C420" s="369" t="s">
        <v>253</v>
      </c>
      <c r="D420" s="369" t="s">
        <v>243</v>
      </c>
      <c r="E420" s="369" t="s">
        <v>526</v>
      </c>
      <c r="F420" s="369" t="s">
        <v>184</v>
      </c>
      <c r="G420" s="370">
        <v>44</v>
      </c>
      <c r="H420" s="148" t="s">
        <v>259</v>
      </c>
    </row>
    <row r="421" spans="2:8" ht="15" customHeight="1">
      <c r="B421" s="148" t="s">
        <v>801</v>
      </c>
      <c r="C421" s="369" t="s">
        <v>802</v>
      </c>
      <c r="D421" s="369" t="s">
        <v>239</v>
      </c>
      <c r="E421" s="369" t="s">
        <v>524</v>
      </c>
      <c r="F421" s="369" t="s">
        <v>184</v>
      </c>
      <c r="G421" s="370">
        <v>25</v>
      </c>
      <c r="H421" s="148" t="s">
        <v>259</v>
      </c>
    </row>
    <row r="422" spans="2:8" ht="15" customHeight="1">
      <c r="B422" s="148" t="s">
        <v>803</v>
      </c>
      <c r="C422" s="369" t="s">
        <v>802</v>
      </c>
      <c r="D422" s="369" t="s">
        <v>240</v>
      </c>
      <c r="E422" s="369" t="s">
        <v>521</v>
      </c>
      <c r="F422" s="369" t="s">
        <v>184</v>
      </c>
      <c r="G422" s="370">
        <v>22</v>
      </c>
      <c r="H422" s="148" t="s">
        <v>259</v>
      </c>
    </row>
    <row r="423" spans="2:8" ht="15" customHeight="1">
      <c r="B423" s="148" t="s">
        <v>804</v>
      </c>
      <c r="C423" s="369" t="s">
        <v>802</v>
      </c>
      <c r="D423" s="369" t="s">
        <v>241</v>
      </c>
      <c r="E423" s="369" t="s">
        <v>528</v>
      </c>
      <c r="F423" s="369" t="s">
        <v>184</v>
      </c>
      <c r="G423" s="370">
        <v>37</v>
      </c>
      <c r="H423" s="148" t="s">
        <v>259</v>
      </c>
    </row>
    <row r="424" spans="2:8" ht="15" customHeight="1">
      <c r="B424" s="148" t="s">
        <v>805</v>
      </c>
      <c r="C424" s="369" t="s">
        <v>802</v>
      </c>
      <c r="D424" s="369" t="s">
        <v>242</v>
      </c>
      <c r="E424" s="369" t="s">
        <v>530</v>
      </c>
      <c r="F424" s="369" t="s">
        <v>184</v>
      </c>
      <c r="G424" s="370">
        <v>45</v>
      </c>
      <c r="H424" s="148" t="s">
        <v>259</v>
      </c>
    </row>
    <row r="425" spans="2:8" ht="15" customHeight="1">
      <c r="B425" s="148" t="s">
        <v>806</v>
      </c>
      <c r="C425" s="369" t="s">
        <v>802</v>
      </c>
      <c r="D425" s="369" t="s">
        <v>243</v>
      </c>
      <c r="E425" s="369" t="s">
        <v>526</v>
      </c>
      <c r="F425" s="369" t="s">
        <v>184</v>
      </c>
      <c r="G425" s="370">
        <v>32</v>
      </c>
      <c r="H425" s="148" t="s">
        <v>259</v>
      </c>
    </row>
    <row r="426" spans="2:8" ht="15" customHeight="1">
      <c r="B426" s="148" t="s">
        <v>807</v>
      </c>
      <c r="C426" s="369" t="s">
        <v>369</v>
      </c>
      <c r="D426" s="369" t="s">
        <v>239</v>
      </c>
      <c r="E426" s="369" t="s">
        <v>524</v>
      </c>
      <c r="F426" s="369" t="s">
        <v>184</v>
      </c>
      <c r="G426" s="370">
        <v>44</v>
      </c>
      <c r="H426" s="148" t="s">
        <v>259</v>
      </c>
    </row>
    <row r="427" spans="2:8" ht="15" customHeight="1">
      <c r="B427" s="148" t="s">
        <v>808</v>
      </c>
      <c r="C427" s="369" t="s">
        <v>369</v>
      </c>
      <c r="D427" s="369" t="s">
        <v>240</v>
      </c>
      <c r="E427" s="369" t="s">
        <v>521</v>
      </c>
      <c r="F427" s="369" t="s">
        <v>184</v>
      </c>
      <c r="G427" s="370">
        <v>40</v>
      </c>
      <c r="H427" s="148" t="s">
        <v>259</v>
      </c>
    </row>
    <row r="428" spans="2:8" ht="15" customHeight="1">
      <c r="B428" s="148" t="s">
        <v>809</v>
      </c>
      <c r="C428" s="369" t="s">
        <v>369</v>
      </c>
      <c r="D428" s="369" t="s">
        <v>241</v>
      </c>
      <c r="E428" s="369" t="s">
        <v>528</v>
      </c>
      <c r="F428" s="369" t="s">
        <v>184</v>
      </c>
      <c r="G428" s="370">
        <v>62</v>
      </c>
      <c r="H428" s="148" t="s">
        <v>259</v>
      </c>
    </row>
    <row r="429" spans="2:8" ht="15" customHeight="1">
      <c r="B429" s="148" t="s">
        <v>810</v>
      </c>
      <c r="C429" s="369" t="s">
        <v>369</v>
      </c>
      <c r="D429" s="369" t="s">
        <v>242</v>
      </c>
      <c r="E429" s="369" t="s">
        <v>530</v>
      </c>
      <c r="F429" s="369" t="s">
        <v>184</v>
      </c>
      <c r="G429" s="370">
        <v>70</v>
      </c>
      <c r="H429" s="148" t="s">
        <v>259</v>
      </c>
    </row>
    <row r="430" spans="2:8" ht="15" customHeight="1">
      <c r="B430" s="148" t="s">
        <v>811</v>
      </c>
      <c r="C430" s="369" t="s">
        <v>369</v>
      </c>
      <c r="D430" s="369" t="s">
        <v>243</v>
      </c>
      <c r="E430" s="369" t="s">
        <v>526</v>
      </c>
      <c r="F430" s="369" t="s">
        <v>184</v>
      </c>
      <c r="G430" s="370">
        <v>52</v>
      </c>
      <c r="H430" s="148" t="s">
        <v>259</v>
      </c>
    </row>
    <row r="431" spans="2:8" ht="15" customHeight="1">
      <c r="B431" s="148" t="s">
        <v>812</v>
      </c>
      <c r="C431" s="369" t="s">
        <v>813</v>
      </c>
      <c r="D431" s="369" t="s">
        <v>384</v>
      </c>
      <c r="E431" s="369" t="s">
        <v>591</v>
      </c>
      <c r="F431" s="369" t="s">
        <v>184</v>
      </c>
      <c r="G431" s="370">
        <v>80</v>
      </c>
      <c r="H431" s="148" t="s">
        <v>261</v>
      </c>
    </row>
    <row r="432" spans="2:8" ht="15" customHeight="1">
      <c r="B432" s="148" t="s">
        <v>814</v>
      </c>
      <c r="C432" s="369" t="s">
        <v>813</v>
      </c>
      <c r="D432" s="369" t="s">
        <v>368</v>
      </c>
      <c r="E432" s="369" t="s">
        <v>593</v>
      </c>
      <c r="F432" s="369" t="s">
        <v>184</v>
      </c>
      <c r="G432" s="370">
        <v>122</v>
      </c>
      <c r="H432" s="148" t="s">
        <v>261</v>
      </c>
    </row>
    <row r="433" spans="2:8" ht="15" customHeight="1">
      <c r="B433" s="148" t="s">
        <v>815</v>
      </c>
      <c r="C433" s="369" t="s">
        <v>813</v>
      </c>
      <c r="D433" s="369" t="s">
        <v>376</v>
      </c>
      <c r="E433" s="369" t="s">
        <v>595</v>
      </c>
      <c r="F433" s="369" t="s">
        <v>184</v>
      </c>
      <c r="G433" s="370">
        <v>179</v>
      </c>
      <c r="H433" s="148" t="s">
        <v>261</v>
      </c>
    </row>
    <row r="434" spans="2:8" ht="15" customHeight="1">
      <c r="B434" s="148" t="s">
        <v>816</v>
      </c>
      <c r="C434" s="369" t="s">
        <v>670</v>
      </c>
      <c r="D434" s="369" t="s">
        <v>357</v>
      </c>
      <c r="E434" s="369" t="s">
        <v>597</v>
      </c>
      <c r="F434" s="369" t="s">
        <v>186</v>
      </c>
      <c r="G434" s="370">
        <v>730</v>
      </c>
      <c r="H434" s="148" t="s">
        <v>261</v>
      </c>
    </row>
    <row r="435" spans="2:8" ht="15" customHeight="1">
      <c r="B435" s="148" t="s">
        <v>817</v>
      </c>
      <c r="C435" s="369" t="s">
        <v>813</v>
      </c>
      <c r="D435" s="369" t="s">
        <v>242</v>
      </c>
      <c r="E435" s="369" t="s">
        <v>599</v>
      </c>
      <c r="F435" s="369" t="s">
        <v>184</v>
      </c>
      <c r="G435" s="370">
        <v>391</v>
      </c>
      <c r="H435" s="148" t="s">
        <v>261</v>
      </c>
    </row>
    <row r="436" spans="2:8" ht="15" customHeight="1">
      <c r="B436" s="148" t="s">
        <v>818</v>
      </c>
      <c r="C436" s="369" t="s">
        <v>813</v>
      </c>
      <c r="D436" s="369" t="s">
        <v>364</v>
      </c>
      <c r="E436" s="369" t="s">
        <v>601</v>
      </c>
      <c r="F436" s="369" t="s">
        <v>184</v>
      </c>
      <c r="G436" s="370">
        <v>133</v>
      </c>
      <c r="H436" s="148" t="s">
        <v>261</v>
      </c>
    </row>
    <row r="437" spans="2:8" ht="15" customHeight="1">
      <c r="B437" s="148" t="s">
        <v>819</v>
      </c>
      <c r="C437" s="369" t="s">
        <v>813</v>
      </c>
      <c r="D437" s="369" t="s">
        <v>361</v>
      </c>
      <c r="E437" s="369" t="s">
        <v>603</v>
      </c>
      <c r="F437" s="369" t="s">
        <v>184</v>
      </c>
      <c r="G437" s="370">
        <v>226</v>
      </c>
      <c r="H437" s="148" t="s">
        <v>261</v>
      </c>
    </row>
    <row r="438" spans="2:8" ht="15" customHeight="1">
      <c r="B438" s="148" t="s">
        <v>820</v>
      </c>
      <c r="C438" s="369" t="s">
        <v>821</v>
      </c>
      <c r="D438" s="369" t="s">
        <v>239</v>
      </c>
      <c r="E438" s="369" t="s">
        <v>524</v>
      </c>
      <c r="F438" s="369" t="s">
        <v>184</v>
      </c>
      <c r="G438" s="370">
        <v>25</v>
      </c>
      <c r="H438" s="148" t="s">
        <v>259</v>
      </c>
    </row>
    <row r="439" spans="2:8" ht="15" customHeight="1">
      <c r="B439" s="148" t="s">
        <v>822</v>
      </c>
      <c r="C439" s="369" t="s">
        <v>821</v>
      </c>
      <c r="D439" s="369" t="s">
        <v>240</v>
      </c>
      <c r="E439" s="369" t="s">
        <v>521</v>
      </c>
      <c r="F439" s="369" t="s">
        <v>184</v>
      </c>
      <c r="G439" s="370">
        <v>21</v>
      </c>
      <c r="H439" s="148" t="s">
        <v>259</v>
      </c>
    </row>
    <row r="440" spans="2:8" ht="15" customHeight="1">
      <c r="B440" s="148" t="s">
        <v>823</v>
      </c>
      <c r="C440" s="369" t="s">
        <v>821</v>
      </c>
      <c r="D440" s="369" t="s">
        <v>241</v>
      </c>
      <c r="E440" s="369" t="s">
        <v>528</v>
      </c>
      <c r="F440" s="369" t="s">
        <v>184</v>
      </c>
      <c r="G440" s="370">
        <v>35</v>
      </c>
      <c r="H440" s="148" t="s">
        <v>259</v>
      </c>
    </row>
    <row r="441" spans="2:8" ht="15" customHeight="1">
      <c r="B441" s="148" t="s">
        <v>824</v>
      </c>
      <c r="C441" s="369" t="s">
        <v>821</v>
      </c>
      <c r="D441" s="369" t="s">
        <v>242</v>
      </c>
      <c r="E441" s="369" t="s">
        <v>530</v>
      </c>
      <c r="F441" s="369" t="s">
        <v>184</v>
      </c>
      <c r="G441" s="370">
        <v>39</v>
      </c>
      <c r="H441" s="148" t="s">
        <v>259</v>
      </c>
    </row>
    <row r="442" spans="2:8" ht="15" customHeight="1">
      <c r="B442" s="148" t="s">
        <v>825</v>
      </c>
      <c r="C442" s="369" t="s">
        <v>821</v>
      </c>
      <c r="D442" s="369" t="s">
        <v>243</v>
      </c>
      <c r="E442" s="369" t="s">
        <v>526</v>
      </c>
      <c r="F442" s="369" t="s">
        <v>184</v>
      </c>
      <c r="G442" s="370">
        <v>30</v>
      </c>
      <c r="H442" s="148" t="s">
        <v>259</v>
      </c>
    </row>
    <row r="443" spans="2:8" ht="15" customHeight="1">
      <c r="B443" s="148" t="s">
        <v>826</v>
      </c>
      <c r="C443" s="369" t="s">
        <v>827</v>
      </c>
      <c r="D443" s="369" t="s">
        <v>239</v>
      </c>
      <c r="E443" s="369" t="s">
        <v>524</v>
      </c>
      <c r="F443" s="369" t="s">
        <v>184</v>
      </c>
      <c r="G443" s="370">
        <v>25</v>
      </c>
      <c r="H443" s="148" t="s">
        <v>259</v>
      </c>
    </row>
    <row r="444" spans="2:8" ht="15" customHeight="1">
      <c r="B444" s="148" t="s">
        <v>828</v>
      </c>
      <c r="C444" s="369" t="s">
        <v>827</v>
      </c>
      <c r="D444" s="369" t="s">
        <v>240</v>
      </c>
      <c r="E444" s="369" t="s">
        <v>521</v>
      </c>
      <c r="F444" s="369" t="s">
        <v>184</v>
      </c>
      <c r="G444" s="370">
        <v>22</v>
      </c>
      <c r="H444" s="148" t="s">
        <v>259</v>
      </c>
    </row>
    <row r="445" spans="2:8" ht="15" customHeight="1">
      <c r="B445" s="148" t="s">
        <v>829</v>
      </c>
      <c r="C445" s="369" t="s">
        <v>827</v>
      </c>
      <c r="D445" s="369" t="s">
        <v>241</v>
      </c>
      <c r="E445" s="369" t="s">
        <v>528</v>
      </c>
      <c r="F445" s="369" t="s">
        <v>184</v>
      </c>
      <c r="G445" s="370">
        <v>37</v>
      </c>
      <c r="H445" s="148" t="s">
        <v>259</v>
      </c>
    </row>
    <row r="446" spans="2:8" ht="15" customHeight="1">
      <c r="B446" s="148" t="s">
        <v>830</v>
      </c>
      <c r="C446" s="369" t="s">
        <v>827</v>
      </c>
      <c r="D446" s="369" t="s">
        <v>242</v>
      </c>
      <c r="E446" s="369" t="s">
        <v>530</v>
      </c>
      <c r="F446" s="369" t="s">
        <v>184</v>
      </c>
      <c r="G446" s="370">
        <v>45</v>
      </c>
      <c r="H446" s="148" t="s">
        <v>259</v>
      </c>
    </row>
    <row r="447" spans="2:8" ht="15" customHeight="1">
      <c r="B447" s="148" t="s">
        <v>831</v>
      </c>
      <c r="C447" s="369" t="s">
        <v>827</v>
      </c>
      <c r="D447" s="369" t="s">
        <v>243</v>
      </c>
      <c r="E447" s="369" t="s">
        <v>526</v>
      </c>
      <c r="F447" s="369" t="s">
        <v>184</v>
      </c>
      <c r="G447" s="370">
        <v>32</v>
      </c>
      <c r="H447" s="148" t="s">
        <v>259</v>
      </c>
    </row>
    <row r="448" spans="2:8" ht="15" customHeight="1">
      <c r="B448" s="148" t="s">
        <v>832</v>
      </c>
      <c r="C448" s="369" t="s">
        <v>833</v>
      </c>
      <c r="D448" s="369" t="s">
        <v>239</v>
      </c>
      <c r="E448" s="369" t="s">
        <v>524</v>
      </c>
      <c r="F448" s="369" t="s">
        <v>184</v>
      </c>
      <c r="G448" s="370">
        <v>35</v>
      </c>
      <c r="H448" s="148" t="s">
        <v>259</v>
      </c>
    </row>
    <row r="449" spans="2:8" ht="15" customHeight="1">
      <c r="B449" s="148" t="s">
        <v>834</v>
      </c>
      <c r="C449" s="369" t="s">
        <v>833</v>
      </c>
      <c r="D449" s="369" t="s">
        <v>240</v>
      </c>
      <c r="E449" s="369" t="s">
        <v>521</v>
      </c>
      <c r="F449" s="369" t="s">
        <v>184</v>
      </c>
      <c r="G449" s="370">
        <v>30</v>
      </c>
      <c r="H449" s="148" t="s">
        <v>259</v>
      </c>
    </row>
    <row r="450" spans="2:8" ht="15" customHeight="1">
      <c r="B450" s="148" t="s">
        <v>835</v>
      </c>
      <c r="C450" s="369" t="s">
        <v>833</v>
      </c>
      <c r="D450" s="369" t="s">
        <v>241</v>
      </c>
      <c r="E450" s="369" t="s">
        <v>528</v>
      </c>
      <c r="F450" s="369" t="s">
        <v>184</v>
      </c>
      <c r="G450" s="370">
        <v>59</v>
      </c>
      <c r="H450" s="148" t="s">
        <v>259</v>
      </c>
    </row>
    <row r="451" spans="2:8" ht="15" customHeight="1">
      <c r="B451" s="148" t="s">
        <v>836</v>
      </c>
      <c r="C451" s="369" t="s">
        <v>833</v>
      </c>
      <c r="D451" s="369" t="s">
        <v>242</v>
      </c>
      <c r="E451" s="369" t="s">
        <v>530</v>
      </c>
      <c r="F451" s="369" t="s">
        <v>184</v>
      </c>
      <c r="G451" s="370">
        <v>66</v>
      </c>
      <c r="H451" s="148" t="s">
        <v>259</v>
      </c>
    </row>
    <row r="452" spans="2:8" ht="15" customHeight="1">
      <c r="B452" s="148" t="s">
        <v>837</v>
      </c>
      <c r="C452" s="369" t="s">
        <v>833</v>
      </c>
      <c r="D452" s="369" t="s">
        <v>243</v>
      </c>
      <c r="E452" s="369" t="s">
        <v>526</v>
      </c>
      <c r="F452" s="369" t="s">
        <v>184</v>
      </c>
      <c r="G452" s="370">
        <v>48</v>
      </c>
      <c r="H452" s="148" t="s">
        <v>259</v>
      </c>
    </row>
    <row r="453" spans="2:8" ht="15" customHeight="1">
      <c r="B453" s="148" t="s">
        <v>838</v>
      </c>
      <c r="C453" s="369" t="s">
        <v>451</v>
      </c>
      <c r="D453" s="369" t="s">
        <v>239</v>
      </c>
      <c r="E453" s="369" t="s">
        <v>524</v>
      </c>
      <c r="F453" s="369" t="s">
        <v>184</v>
      </c>
      <c r="G453" s="370">
        <v>33</v>
      </c>
      <c r="H453" s="148" t="s">
        <v>259</v>
      </c>
    </row>
    <row r="454" spans="2:8" ht="15" customHeight="1">
      <c r="B454" s="148" t="s">
        <v>839</v>
      </c>
      <c r="C454" s="369" t="s">
        <v>451</v>
      </c>
      <c r="D454" s="369" t="s">
        <v>240</v>
      </c>
      <c r="E454" s="369" t="s">
        <v>521</v>
      </c>
      <c r="F454" s="369" t="s">
        <v>184</v>
      </c>
      <c r="G454" s="370">
        <v>29</v>
      </c>
      <c r="H454" s="148" t="s">
        <v>259</v>
      </c>
    </row>
    <row r="455" spans="2:8" ht="15" customHeight="1">
      <c r="B455" s="148" t="s">
        <v>840</v>
      </c>
      <c r="C455" s="369" t="s">
        <v>451</v>
      </c>
      <c r="D455" s="369" t="s">
        <v>241</v>
      </c>
      <c r="E455" s="369" t="s">
        <v>528</v>
      </c>
      <c r="F455" s="369" t="s">
        <v>184</v>
      </c>
      <c r="G455" s="370">
        <v>52</v>
      </c>
      <c r="H455" s="148" t="s">
        <v>259</v>
      </c>
    </row>
    <row r="456" spans="2:8" ht="15" customHeight="1">
      <c r="B456" s="148" t="s">
        <v>841</v>
      </c>
      <c r="C456" s="369" t="s">
        <v>451</v>
      </c>
      <c r="D456" s="369" t="s">
        <v>242</v>
      </c>
      <c r="E456" s="369" t="s">
        <v>530</v>
      </c>
      <c r="F456" s="369" t="s">
        <v>184</v>
      </c>
      <c r="G456" s="370">
        <v>60</v>
      </c>
      <c r="H456" s="148" t="s">
        <v>259</v>
      </c>
    </row>
    <row r="457" spans="2:8" ht="15" customHeight="1">
      <c r="B457" s="148" t="s">
        <v>842</v>
      </c>
      <c r="C457" s="369" t="s">
        <v>451</v>
      </c>
      <c r="D457" s="369" t="s">
        <v>243</v>
      </c>
      <c r="E457" s="369" t="s">
        <v>526</v>
      </c>
      <c r="F457" s="369" t="s">
        <v>184</v>
      </c>
      <c r="G457" s="370">
        <v>42</v>
      </c>
      <c r="H457" s="148" t="s">
        <v>259</v>
      </c>
    </row>
    <row r="458" spans="2:8" ht="15" customHeight="1">
      <c r="B458" s="148" t="s">
        <v>843</v>
      </c>
      <c r="C458" s="369" t="s">
        <v>844</v>
      </c>
      <c r="D458" s="369" t="s">
        <v>239</v>
      </c>
      <c r="E458" s="369" t="s">
        <v>524</v>
      </c>
      <c r="F458" s="369" t="s">
        <v>184</v>
      </c>
      <c r="G458" s="370">
        <v>28</v>
      </c>
      <c r="H458" s="148" t="s">
        <v>259</v>
      </c>
    </row>
    <row r="459" spans="2:8" ht="15" customHeight="1">
      <c r="B459" s="148" t="s">
        <v>845</v>
      </c>
      <c r="C459" s="369" t="s">
        <v>844</v>
      </c>
      <c r="D459" s="369" t="s">
        <v>240</v>
      </c>
      <c r="E459" s="369" t="s">
        <v>521</v>
      </c>
      <c r="F459" s="369" t="s">
        <v>184</v>
      </c>
      <c r="G459" s="370">
        <v>24</v>
      </c>
      <c r="H459" s="148" t="s">
        <v>259</v>
      </c>
    </row>
    <row r="460" spans="2:8" ht="15" customHeight="1">
      <c r="B460" s="148" t="s">
        <v>846</v>
      </c>
      <c r="C460" s="369" t="s">
        <v>844</v>
      </c>
      <c r="D460" s="369" t="s">
        <v>241</v>
      </c>
      <c r="E460" s="369" t="s">
        <v>528</v>
      </c>
      <c r="F460" s="369" t="s">
        <v>184</v>
      </c>
      <c r="G460" s="370">
        <v>41</v>
      </c>
      <c r="H460" s="148" t="s">
        <v>259</v>
      </c>
    </row>
    <row r="461" spans="2:8" ht="15" customHeight="1">
      <c r="B461" s="148" t="s">
        <v>847</v>
      </c>
      <c r="C461" s="369" t="s">
        <v>844</v>
      </c>
      <c r="D461" s="369" t="s">
        <v>242</v>
      </c>
      <c r="E461" s="369" t="s">
        <v>530</v>
      </c>
      <c r="F461" s="369" t="s">
        <v>184</v>
      </c>
      <c r="G461" s="370">
        <v>47</v>
      </c>
      <c r="H461" s="148" t="s">
        <v>259</v>
      </c>
    </row>
    <row r="462" spans="2:8" ht="15" customHeight="1">
      <c r="B462" s="148" t="s">
        <v>848</v>
      </c>
      <c r="C462" s="369" t="s">
        <v>844</v>
      </c>
      <c r="D462" s="369" t="s">
        <v>243</v>
      </c>
      <c r="E462" s="369" t="s">
        <v>526</v>
      </c>
      <c r="F462" s="369" t="s">
        <v>184</v>
      </c>
      <c r="G462" s="370">
        <v>35</v>
      </c>
      <c r="H462" s="148" t="s">
        <v>259</v>
      </c>
    </row>
    <row r="463" spans="2:8" ht="15" customHeight="1">
      <c r="B463" s="148" t="s">
        <v>849</v>
      </c>
      <c r="C463" s="369" t="s">
        <v>850</v>
      </c>
      <c r="D463" s="369" t="s">
        <v>239</v>
      </c>
      <c r="E463" s="369" t="s">
        <v>524</v>
      </c>
      <c r="F463" s="369" t="s">
        <v>184</v>
      </c>
      <c r="G463" s="370">
        <v>40</v>
      </c>
      <c r="H463" s="148" t="s">
        <v>259</v>
      </c>
    </row>
    <row r="464" spans="2:8" ht="15" customHeight="1">
      <c r="B464" s="148" t="s">
        <v>851</v>
      </c>
      <c r="C464" s="369" t="s">
        <v>850</v>
      </c>
      <c r="D464" s="369" t="s">
        <v>240</v>
      </c>
      <c r="E464" s="369" t="s">
        <v>521</v>
      </c>
      <c r="F464" s="369" t="s">
        <v>184</v>
      </c>
      <c r="G464" s="370">
        <v>38</v>
      </c>
      <c r="H464" s="148" t="s">
        <v>259</v>
      </c>
    </row>
    <row r="465" spans="2:8" ht="15" customHeight="1">
      <c r="B465" s="148" t="s">
        <v>852</v>
      </c>
      <c r="C465" s="369" t="s">
        <v>850</v>
      </c>
      <c r="D465" s="369" t="s">
        <v>241</v>
      </c>
      <c r="E465" s="369" t="s">
        <v>528</v>
      </c>
      <c r="F465" s="369" t="s">
        <v>184</v>
      </c>
      <c r="G465" s="370">
        <v>50</v>
      </c>
      <c r="H465" s="148" t="s">
        <v>259</v>
      </c>
    </row>
    <row r="466" spans="2:8" ht="15" customHeight="1">
      <c r="B466" s="148" t="s">
        <v>853</v>
      </c>
      <c r="C466" s="369" t="s">
        <v>850</v>
      </c>
      <c r="D466" s="369" t="s">
        <v>242</v>
      </c>
      <c r="E466" s="369" t="s">
        <v>530</v>
      </c>
      <c r="F466" s="369" t="s">
        <v>184</v>
      </c>
      <c r="G466" s="370">
        <v>60</v>
      </c>
      <c r="H466" s="148" t="s">
        <v>259</v>
      </c>
    </row>
    <row r="467" spans="2:8" ht="15" customHeight="1">
      <c r="B467" s="148" t="s">
        <v>854</v>
      </c>
      <c r="C467" s="369" t="s">
        <v>850</v>
      </c>
      <c r="D467" s="369" t="s">
        <v>243</v>
      </c>
      <c r="E467" s="369" t="s">
        <v>526</v>
      </c>
      <c r="F467" s="369" t="s">
        <v>184</v>
      </c>
      <c r="G467" s="370">
        <v>44</v>
      </c>
      <c r="H467" s="148" t="s">
        <v>259</v>
      </c>
    </row>
    <row r="468" spans="2:8" ht="15" customHeight="1">
      <c r="B468" s="148" t="s">
        <v>855</v>
      </c>
      <c r="C468" s="369" t="s">
        <v>856</v>
      </c>
      <c r="D468" s="369" t="s">
        <v>239</v>
      </c>
      <c r="E468" s="369" t="s">
        <v>524</v>
      </c>
      <c r="F468" s="369" t="s">
        <v>184</v>
      </c>
      <c r="G468" s="370">
        <v>33</v>
      </c>
      <c r="H468" s="148" t="s">
        <v>259</v>
      </c>
    </row>
    <row r="469" spans="2:8" ht="15" customHeight="1">
      <c r="B469" s="148" t="s">
        <v>857</v>
      </c>
      <c r="C469" s="369" t="s">
        <v>856</v>
      </c>
      <c r="D469" s="369" t="s">
        <v>240</v>
      </c>
      <c r="E469" s="369" t="s">
        <v>521</v>
      </c>
      <c r="F469" s="369" t="s">
        <v>184</v>
      </c>
      <c r="G469" s="370">
        <v>29</v>
      </c>
      <c r="H469" s="148" t="s">
        <v>259</v>
      </c>
    </row>
    <row r="470" spans="2:8" ht="15" customHeight="1">
      <c r="B470" s="148" t="s">
        <v>858</v>
      </c>
      <c r="C470" s="369" t="s">
        <v>856</v>
      </c>
      <c r="D470" s="369" t="s">
        <v>241</v>
      </c>
      <c r="E470" s="369" t="s">
        <v>528</v>
      </c>
      <c r="F470" s="369" t="s">
        <v>184</v>
      </c>
      <c r="G470" s="370">
        <v>49</v>
      </c>
      <c r="H470" s="148" t="s">
        <v>259</v>
      </c>
    </row>
    <row r="471" spans="2:8" ht="15" customHeight="1">
      <c r="B471" s="148" t="s">
        <v>859</v>
      </c>
      <c r="C471" s="369" t="s">
        <v>856</v>
      </c>
      <c r="D471" s="369" t="s">
        <v>242</v>
      </c>
      <c r="E471" s="369" t="s">
        <v>530</v>
      </c>
      <c r="F471" s="369" t="s">
        <v>184</v>
      </c>
      <c r="G471" s="370">
        <v>60</v>
      </c>
      <c r="H471" s="148" t="s">
        <v>259</v>
      </c>
    </row>
    <row r="472" spans="2:8" ht="15" customHeight="1">
      <c r="B472" s="148" t="s">
        <v>860</v>
      </c>
      <c r="C472" s="369" t="s">
        <v>856</v>
      </c>
      <c r="D472" s="369" t="s">
        <v>243</v>
      </c>
      <c r="E472" s="369" t="s">
        <v>526</v>
      </c>
      <c r="F472" s="369" t="s">
        <v>184</v>
      </c>
      <c r="G472" s="370">
        <v>40</v>
      </c>
      <c r="H472" s="148" t="s">
        <v>259</v>
      </c>
    </row>
    <row r="473" spans="2:8" ht="15" customHeight="1">
      <c r="B473" s="148" t="s">
        <v>861</v>
      </c>
      <c r="C473" s="369" t="s">
        <v>862</v>
      </c>
      <c r="D473" s="369" t="s">
        <v>239</v>
      </c>
      <c r="E473" s="369" t="s">
        <v>524</v>
      </c>
      <c r="F473" s="369" t="s">
        <v>184</v>
      </c>
      <c r="G473" s="370">
        <v>25</v>
      </c>
      <c r="H473" s="148" t="s">
        <v>259</v>
      </c>
    </row>
    <row r="474" spans="2:8" ht="15" customHeight="1">
      <c r="B474" s="148" t="s">
        <v>863</v>
      </c>
      <c r="C474" s="369" t="s">
        <v>862</v>
      </c>
      <c r="D474" s="369" t="s">
        <v>240</v>
      </c>
      <c r="E474" s="369" t="s">
        <v>521</v>
      </c>
      <c r="F474" s="369" t="s">
        <v>184</v>
      </c>
      <c r="G474" s="370">
        <v>21</v>
      </c>
      <c r="H474" s="148" t="s">
        <v>259</v>
      </c>
    </row>
    <row r="475" spans="2:8" ht="15" customHeight="1">
      <c r="B475" s="148" t="s">
        <v>864</v>
      </c>
      <c r="C475" s="369" t="s">
        <v>862</v>
      </c>
      <c r="D475" s="369" t="s">
        <v>241</v>
      </c>
      <c r="E475" s="369" t="s">
        <v>528</v>
      </c>
      <c r="F475" s="369" t="s">
        <v>184</v>
      </c>
      <c r="G475" s="370">
        <v>36</v>
      </c>
      <c r="H475" s="148" t="s">
        <v>259</v>
      </c>
    </row>
    <row r="476" spans="2:8" ht="15" customHeight="1">
      <c r="B476" s="148" t="s">
        <v>865</v>
      </c>
      <c r="C476" s="369" t="s">
        <v>862</v>
      </c>
      <c r="D476" s="369" t="s">
        <v>242</v>
      </c>
      <c r="E476" s="369" t="s">
        <v>530</v>
      </c>
      <c r="F476" s="369" t="s">
        <v>184</v>
      </c>
      <c r="G476" s="370">
        <v>39</v>
      </c>
      <c r="H476" s="148" t="s">
        <v>259</v>
      </c>
    </row>
    <row r="477" spans="2:8" ht="15" customHeight="1">
      <c r="B477" s="148" t="s">
        <v>866</v>
      </c>
      <c r="C477" s="369" t="s">
        <v>862</v>
      </c>
      <c r="D477" s="369" t="s">
        <v>243</v>
      </c>
      <c r="E477" s="369" t="s">
        <v>526</v>
      </c>
      <c r="F477" s="369" t="s">
        <v>184</v>
      </c>
      <c r="G477" s="370">
        <v>30</v>
      </c>
      <c r="H477" s="148" t="s">
        <v>259</v>
      </c>
    </row>
    <row r="478" spans="2:8" ht="15" customHeight="1">
      <c r="B478" s="148" t="s">
        <v>867</v>
      </c>
      <c r="C478" s="369" t="s">
        <v>868</v>
      </c>
      <c r="D478" s="369" t="s">
        <v>239</v>
      </c>
      <c r="E478" s="369" t="s">
        <v>524</v>
      </c>
      <c r="F478" s="369" t="s">
        <v>184</v>
      </c>
      <c r="G478" s="370">
        <v>33</v>
      </c>
      <c r="H478" s="148" t="s">
        <v>259</v>
      </c>
    </row>
    <row r="479" spans="2:8" ht="15" customHeight="1">
      <c r="B479" s="148" t="s">
        <v>869</v>
      </c>
      <c r="C479" s="369" t="s">
        <v>868</v>
      </c>
      <c r="D479" s="369" t="s">
        <v>240</v>
      </c>
      <c r="E479" s="369" t="s">
        <v>521</v>
      </c>
      <c r="F479" s="369" t="s">
        <v>184</v>
      </c>
      <c r="G479" s="370">
        <v>29</v>
      </c>
      <c r="H479" s="148" t="s">
        <v>259</v>
      </c>
    </row>
    <row r="480" spans="2:8" ht="15" customHeight="1">
      <c r="B480" s="148" t="s">
        <v>870</v>
      </c>
      <c r="C480" s="369" t="s">
        <v>868</v>
      </c>
      <c r="D480" s="369" t="s">
        <v>241</v>
      </c>
      <c r="E480" s="369" t="s">
        <v>528</v>
      </c>
      <c r="F480" s="369" t="s">
        <v>184</v>
      </c>
      <c r="G480" s="370">
        <v>52</v>
      </c>
      <c r="H480" s="148" t="s">
        <v>259</v>
      </c>
    </row>
    <row r="481" spans="2:8" ht="15" customHeight="1">
      <c r="B481" s="148" t="s">
        <v>871</v>
      </c>
      <c r="C481" s="369" t="s">
        <v>868</v>
      </c>
      <c r="D481" s="369" t="s">
        <v>242</v>
      </c>
      <c r="E481" s="369" t="s">
        <v>530</v>
      </c>
      <c r="F481" s="369" t="s">
        <v>184</v>
      </c>
      <c r="G481" s="370">
        <v>60</v>
      </c>
      <c r="H481" s="148" t="s">
        <v>259</v>
      </c>
    </row>
    <row r="482" spans="2:8" ht="15" customHeight="1">
      <c r="B482" s="148" t="s">
        <v>872</v>
      </c>
      <c r="C482" s="369" t="s">
        <v>868</v>
      </c>
      <c r="D482" s="369" t="s">
        <v>243</v>
      </c>
      <c r="E482" s="369" t="s">
        <v>526</v>
      </c>
      <c r="F482" s="369" t="s">
        <v>184</v>
      </c>
      <c r="G482" s="370">
        <v>42</v>
      </c>
      <c r="H482" s="148" t="s">
        <v>259</v>
      </c>
    </row>
    <row r="483" spans="2:8" ht="15" customHeight="1">
      <c r="B483" s="148" t="s">
        <v>873</v>
      </c>
      <c r="C483" s="369" t="s">
        <v>259</v>
      </c>
      <c r="D483" s="369" t="s">
        <v>384</v>
      </c>
      <c r="E483" s="369" t="s">
        <v>591</v>
      </c>
      <c r="F483" s="369" t="s">
        <v>184</v>
      </c>
      <c r="G483" s="370">
        <v>48</v>
      </c>
      <c r="H483" s="148" t="s">
        <v>261</v>
      </c>
    </row>
    <row r="484" spans="2:8" ht="15" customHeight="1">
      <c r="B484" s="148" t="s">
        <v>874</v>
      </c>
      <c r="C484" s="369" t="s">
        <v>259</v>
      </c>
      <c r="D484" s="369" t="s">
        <v>368</v>
      </c>
      <c r="E484" s="369" t="s">
        <v>593</v>
      </c>
      <c r="F484" s="369" t="s">
        <v>184</v>
      </c>
      <c r="G484" s="370">
        <v>60</v>
      </c>
      <c r="H484" s="148" t="s">
        <v>261</v>
      </c>
    </row>
    <row r="485" spans="2:8" ht="15" customHeight="1">
      <c r="B485" s="148" t="s">
        <v>875</v>
      </c>
      <c r="C485" s="369" t="s">
        <v>259</v>
      </c>
      <c r="D485" s="369" t="s">
        <v>376</v>
      </c>
      <c r="E485" s="369" t="s">
        <v>595</v>
      </c>
      <c r="F485" s="369" t="s">
        <v>184</v>
      </c>
      <c r="G485" s="370">
        <v>99</v>
      </c>
      <c r="H485" s="148" t="s">
        <v>261</v>
      </c>
    </row>
    <row r="486" spans="2:8" ht="15" customHeight="1">
      <c r="B486" s="148" t="s">
        <v>876</v>
      </c>
      <c r="C486" s="369" t="s">
        <v>492</v>
      </c>
      <c r="D486" s="369" t="s">
        <v>357</v>
      </c>
      <c r="E486" s="369" t="s">
        <v>597</v>
      </c>
      <c r="F486" s="369" t="s">
        <v>184</v>
      </c>
      <c r="G486" s="370">
        <v>266</v>
      </c>
      <c r="H486" s="148" t="s">
        <v>261</v>
      </c>
    </row>
    <row r="487" spans="2:8" ht="15" customHeight="1">
      <c r="B487" s="148" t="s">
        <v>877</v>
      </c>
      <c r="C487" s="369" t="s">
        <v>259</v>
      </c>
      <c r="D487" s="369" t="s">
        <v>242</v>
      </c>
      <c r="E487" s="369" t="s">
        <v>599</v>
      </c>
      <c r="F487" s="369" t="s">
        <v>184</v>
      </c>
      <c r="G487" s="370">
        <v>180</v>
      </c>
      <c r="H487" s="148" t="s">
        <v>261</v>
      </c>
    </row>
    <row r="488" spans="2:8" ht="15" customHeight="1">
      <c r="B488" s="148" t="s">
        <v>878</v>
      </c>
      <c r="C488" s="369" t="s">
        <v>259</v>
      </c>
      <c r="D488" s="369" t="s">
        <v>364</v>
      </c>
      <c r="E488" s="369" t="s">
        <v>601</v>
      </c>
      <c r="F488" s="369" t="s">
        <v>184</v>
      </c>
      <c r="G488" s="370">
        <v>71</v>
      </c>
      <c r="H488" s="148" t="s">
        <v>261</v>
      </c>
    </row>
    <row r="489" spans="2:8" ht="15" customHeight="1">
      <c r="B489" s="148" t="s">
        <v>879</v>
      </c>
      <c r="C489" s="369" t="s">
        <v>259</v>
      </c>
      <c r="D489" s="369" t="s">
        <v>361</v>
      </c>
      <c r="E489" s="369" t="s">
        <v>603</v>
      </c>
      <c r="F489" s="369" t="s">
        <v>184</v>
      </c>
      <c r="G489" s="370">
        <v>134</v>
      </c>
      <c r="H489" s="148" t="s">
        <v>261</v>
      </c>
    </row>
    <row r="490" spans="2:8" ht="15" customHeight="1">
      <c r="B490" s="148" t="s">
        <v>880</v>
      </c>
      <c r="C490" s="369" t="s">
        <v>881</v>
      </c>
      <c r="D490" s="369" t="s">
        <v>239</v>
      </c>
      <c r="E490" s="369" t="s">
        <v>524</v>
      </c>
      <c r="F490" s="369" t="s">
        <v>184</v>
      </c>
      <c r="G490" s="370">
        <v>28</v>
      </c>
      <c r="H490" s="148" t="s">
        <v>259</v>
      </c>
    </row>
    <row r="491" spans="2:8" ht="15" customHeight="1">
      <c r="B491" s="148" t="s">
        <v>882</v>
      </c>
      <c r="C491" s="369" t="s">
        <v>881</v>
      </c>
      <c r="D491" s="369" t="s">
        <v>240</v>
      </c>
      <c r="E491" s="369" t="s">
        <v>521</v>
      </c>
      <c r="F491" s="369" t="s">
        <v>184</v>
      </c>
      <c r="G491" s="370">
        <v>24</v>
      </c>
      <c r="H491" s="148" t="s">
        <v>259</v>
      </c>
    </row>
    <row r="492" spans="2:8" ht="15" customHeight="1">
      <c r="B492" s="148" t="s">
        <v>883</v>
      </c>
      <c r="C492" s="369" t="s">
        <v>881</v>
      </c>
      <c r="D492" s="369" t="s">
        <v>241</v>
      </c>
      <c r="E492" s="369" t="s">
        <v>528</v>
      </c>
      <c r="F492" s="369" t="s">
        <v>184</v>
      </c>
      <c r="G492" s="370">
        <v>40</v>
      </c>
      <c r="H492" s="148" t="s">
        <v>259</v>
      </c>
    </row>
    <row r="493" spans="2:8" ht="15" customHeight="1">
      <c r="B493" s="148" t="s">
        <v>884</v>
      </c>
      <c r="C493" s="369" t="s">
        <v>881</v>
      </c>
      <c r="D493" s="369" t="s">
        <v>242</v>
      </c>
      <c r="E493" s="369" t="s">
        <v>530</v>
      </c>
      <c r="F493" s="369" t="s">
        <v>184</v>
      </c>
      <c r="G493" s="370">
        <v>47</v>
      </c>
      <c r="H493" s="148" t="s">
        <v>259</v>
      </c>
    </row>
    <row r="494" spans="2:8" ht="15" customHeight="1">
      <c r="B494" s="148" t="s">
        <v>885</v>
      </c>
      <c r="C494" s="369" t="s">
        <v>881</v>
      </c>
      <c r="D494" s="369" t="s">
        <v>243</v>
      </c>
      <c r="E494" s="369" t="s">
        <v>526</v>
      </c>
      <c r="F494" s="369" t="s">
        <v>184</v>
      </c>
      <c r="G494" s="370">
        <v>35</v>
      </c>
      <c r="H494" s="148" t="s">
        <v>259</v>
      </c>
    </row>
    <row r="495" spans="2:8" ht="15" customHeight="1">
      <c r="B495" s="148" t="s">
        <v>886</v>
      </c>
      <c r="C495" s="369" t="s">
        <v>887</v>
      </c>
      <c r="D495" s="369" t="s">
        <v>239</v>
      </c>
      <c r="E495" s="369" t="s">
        <v>524</v>
      </c>
      <c r="F495" s="369" t="s">
        <v>184</v>
      </c>
      <c r="G495" s="370">
        <v>24</v>
      </c>
      <c r="H495" s="148" t="s">
        <v>259</v>
      </c>
    </row>
    <row r="496" spans="2:8" ht="15" customHeight="1">
      <c r="B496" s="148" t="s">
        <v>888</v>
      </c>
      <c r="C496" s="369" t="s">
        <v>887</v>
      </c>
      <c r="D496" s="369" t="s">
        <v>240</v>
      </c>
      <c r="E496" s="369" t="s">
        <v>521</v>
      </c>
      <c r="F496" s="369" t="s">
        <v>184</v>
      </c>
      <c r="G496" s="370">
        <v>22</v>
      </c>
      <c r="H496" s="148" t="s">
        <v>259</v>
      </c>
    </row>
    <row r="497" spans="2:8" ht="15" customHeight="1">
      <c r="B497" s="148" t="s">
        <v>889</v>
      </c>
      <c r="C497" s="369" t="s">
        <v>887</v>
      </c>
      <c r="D497" s="369" t="s">
        <v>241</v>
      </c>
      <c r="E497" s="369" t="s">
        <v>528</v>
      </c>
      <c r="F497" s="369" t="s">
        <v>184</v>
      </c>
      <c r="G497" s="370">
        <v>34</v>
      </c>
      <c r="H497" s="148" t="s">
        <v>259</v>
      </c>
    </row>
    <row r="498" spans="2:8" ht="15" customHeight="1">
      <c r="B498" s="148" t="s">
        <v>890</v>
      </c>
      <c r="C498" s="369" t="s">
        <v>887</v>
      </c>
      <c r="D498" s="369" t="s">
        <v>242</v>
      </c>
      <c r="E498" s="369" t="s">
        <v>530</v>
      </c>
      <c r="F498" s="369" t="s">
        <v>184</v>
      </c>
      <c r="G498" s="370">
        <v>38</v>
      </c>
      <c r="H498" s="148" t="s">
        <v>259</v>
      </c>
    </row>
    <row r="499" spans="2:8" ht="15" customHeight="1">
      <c r="B499" s="148" t="s">
        <v>891</v>
      </c>
      <c r="C499" s="369" t="s">
        <v>887</v>
      </c>
      <c r="D499" s="369" t="s">
        <v>243</v>
      </c>
      <c r="E499" s="369" t="s">
        <v>526</v>
      </c>
      <c r="F499" s="369" t="s">
        <v>184</v>
      </c>
      <c r="G499" s="370">
        <v>29</v>
      </c>
      <c r="H499" s="148" t="s">
        <v>259</v>
      </c>
    </row>
    <row r="500" spans="2:8" ht="15" customHeight="1">
      <c r="B500" s="148" t="s">
        <v>892</v>
      </c>
      <c r="C500" s="369" t="s">
        <v>893</v>
      </c>
      <c r="D500" s="369" t="s">
        <v>239</v>
      </c>
      <c r="E500" s="369" t="s">
        <v>524</v>
      </c>
      <c r="F500" s="369" t="s">
        <v>184</v>
      </c>
      <c r="G500" s="370">
        <v>39</v>
      </c>
      <c r="H500" s="148" t="s">
        <v>259</v>
      </c>
    </row>
    <row r="501" spans="2:8" ht="15" customHeight="1">
      <c r="B501" s="148" t="s">
        <v>894</v>
      </c>
      <c r="C501" s="369" t="s">
        <v>893</v>
      </c>
      <c r="D501" s="369" t="s">
        <v>240</v>
      </c>
      <c r="E501" s="369" t="s">
        <v>521</v>
      </c>
      <c r="F501" s="369" t="s">
        <v>184</v>
      </c>
      <c r="G501" s="370">
        <v>34</v>
      </c>
      <c r="H501" s="148" t="s">
        <v>259</v>
      </c>
    </row>
    <row r="502" spans="2:8" ht="15" customHeight="1">
      <c r="B502" s="148" t="s">
        <v>895</v>
      </c>
      <c r="C502" s="369" t="s">
        <v>893</v>
      </c>
      <c r="D502" s="369" t="s">
        <v>241</v>
      </c>
      <c r="E502" s="369" t="s">
        <v>528</v>
      </c>
      <c r="F502" s="369" t="s">
        <v>184</v>
      </c>
      <c r="G502" s="370">
        <v>58</v>
      </c>
      <c r="H502" s="148" t="s">
        <v>259</v>
      </c>
    </row>
    <row r="503" spans="2:8" ht="15" customHeight="1">
      <c r="B503" s="148" t="s">
        <v>896</v>
      </c>
      <c r="C503" s="369" t="s">
        <v>893</v>
      </c>
      <c r="D503" s="369" t="s">
        <v>242</v>
      </c>
      <c r="E503" s="369" t="s">
        <v>530</v>
      </c>
      <c r="F503" s="369" t="s">
        <v>184</v>
      </c>
      <c r="G503" s="370">
        <v>75</v>
      </c>
      <c r="H503" s="148" t="s">
        <v>259</v>
      </c>
    </row>
    <row r="504" spans="2:8" ht="15" customHeight="1">
      <c r="B504" s="148" t="s">
        <v>897</v>
      </c>
      <c r="C504" s="369" t="s">
        <v>893</v>
      </c>
      <c r="D504" s="369" t="s">
        <v>243</v>
      </c>
      <c r="E504" s="369" t="s">
        <v>526</v>
      </c>
      <c r="F504" s="369" t="s">
        <v>184</v>
      </c>
      <c r="G504" s="370">
        <v>52</v>
      </c>
      <c r="H504" s="148" t="s">
        <v>259</v>
      </c>
    </row>
    <row r="505" spans="2:8" ht="15" customHeight="1">
      <c r="B505" s="148" t="s">
        <v>898</v>
      </c>
      <c r="C505" s="369" t="s">
        <v>238</v>
      </c>
      <c r="D505" s="369" t="s">
        <v>240</v>
      </c>
      <c r="E505" s="369" t="s">
        <v>521</v>
      </c>
      <c r="F505" s="369" t="s">
        <v>184</v>
      </c>
      <c r="G505" s="370">
        <v>40</v>
      </c>
      <c r="H505" s="148" t="s">
        <v>259</v>
      </c>
    </row>
    <row r="506" spans="2:8" ht="15" customHeight="1">
      <c r="B506" s="148" t="s">
        <v>899</v>
      </c>
      <c r="C506" s="369" t="s">
        <v>238</v>
      </c>
      <c r="D506" s="369" t="s">
        <v>239</v>
      </c>
      <c r="E506" s="369" t="s">
        <v>524</v>
      </c>
      <c r="F506" s="369" t="s">
        <v>184</v>
      </c>
      <c r="G506" s="370">
        <v>46</v>
      </c>
      <c r="H506" s="148" t="s">
        <v>259</v>
      </c>
    </row>
    <row r="507" spans="2:8" ht="15" customHeight="1">
      <c r="B507" s="148" t="s">
        <v>900</v>
      </c>
      <c r="C507" s="369" t="s">
        <v>238</v>
      </c>
      <c r="D507" s="369" t="s">
        <v>243</v>
      </c>
      <c r="E507" s="369" t="s">
        <v>526</v>
      </c>
      <c r="F507" s="369" t="s">
        <v>184</v>
      </c>
      <c r="G507" s="370">
        <v>51</v>
      </c>
      <c r="H507" s="148" t="s">
        <v>259</v>
      </c>
    </row>
    <row r="508" spans="2:8" ht="15" customHeight="1">
      <c r="B508" s="148" t="s">
        <v>901</v>
      </c>
      <c r="C508" s="369" t="s">
        <v>238</v>
      </c>
      <c r="D508" s="369" t="s">
        <v>241</v>
      </c>
      <c r="E508" s="369" t="s">
        <v>528</v>
      </c>
      <c r="F508" s="369" t="s">
        <v>184</v>
      </c>
      <c r="G508" s="370">
        <v>61</v>
      </c>
      <c r="H508" s="148" t="s">
        <v>259</v>
      </c>
    </row>
    <row r="509" spans="2:8" ht="15" customHeight="1">
      <c r="B509" s="148" t="s">
        <v>902</v>
      </c>
      <c r="C509" s="369" t="s">
        <v>238</v>
      </c>
      <c r="D509" s="369" t="s">
        <v>242</v>
      </c>
      <c r="E509" s="369" t="s">
        <v>530</v>
      </c>
      <c r="F509" s="369" t="s">
        <v>184</v>
      </c>
      <c r="G509" s="370">
        <v>75</v>
      </c>
      <c r="H509" s="148" t="s">
        <v>259</v>
      </c>
    </row>
    <row r="510" spans="2:8" ht="15" customHeight="1">
      <c r="B510" s="148" t="s">
        <v>903</v>
      </c>
      <c r="C510" s="369" t="s">
        <v>244</v>
      </c>
      <c r="D510" s="369" t="s">
        <v>240</v>
      </c>
      <c r="E510" s="369" t="s">
        <v>521</v>
      </c>
      <c r="F510" s="369" t="s">
        <v>186</v>
      </c>
      <c r="G510" s="370">
        <v>166</v>
      </c>
      <c r="H510" s="148" t="s">
        <v>259</v>
      </c>
    </row>
    <row r="511" spans="2:8" ht="15" customHeight="1">
      <c r="B511" s="148" t="s">
        <v>904</v>
      </c>
      <c r="C511" s="369" t="s">
        <v>244</v>
      </c>
      <c r="D511" s="369" t="s">
        <v>239</v>
      </c>
      <c r="E511" s="369" t="s">
        <v>524</v>
      </c>
      <c r="F511" s="369" t="s">
        <v>186</v>
      </c>
      <c r="G511" s="370">
        <v>172</v>
      </c>
      <c r="H511" s="148" t="s">
        <v>259</v>
      </c>
    </row>
    <row r="512" spans="2:8" ht="15" customHeight="1">
      <c r="B512" s="148" t="s">
        <v>905</v>
      </c>
      <c r="C512" s="369" t="s">
        <v>244</v>
      </c>
      <c r="D512" s="369" t="s">
        <v>243</v>
      </c>
      <c r="E512" s="369" t="s">
        <v>526</v>
      </c>
      <c r="F512" s="369" t="s">
        <v>186</v>
      </c>
      <c r="G512" s="370">
        <v>195</v>
      </c>
      <c r="H512" s="148" t="s">
        <v>259</v>
      </c>
    </row>
    <row r="513" spans="2:8" ht="15" customHeight="1">
      <c r="B513" s="148" t="s">
        <v>906</v>
      </c>
      <c r="C513" s="369" t="s">
        <v>244</v>
      </c>
      <c r="D513" s="369" t="s">
        <v>241</v>
      </c>
      <c r="E513" s="369" t="s">
        <v>528</v>
      </c>
      <c r="F513" s="369" t="s">
        <v>186</v>
      </c>
      <c r="G513" s="370">
        <v>207</v>
      </c>
      <c r="H513" s="148" t="s">
        <v>259</v>
      </c>
    </row>
    <row r="514" spans="2:8" ht="15" customHeight="1">
      <c r="B514" s="148" t="s">
        <v>907</v>
      </c>
      <c r="C514" s="369" t="s">
        <v>244</v>
      </c>
      <c r="D514" s="369" t="s">
        <v>242</v>
      </c>
      <c r="E514" s="369" t="s">
        <v>530</v>
      </c>
      <c r="F514" s="369" t="s">
        <v>186</v>
      </c>
      <c r="G514" s="370">
        <v>224</v>
      </c>
      <c r="H514" s="148" t="s">
        <v>259</v>
      </c>
    </row>
    <row r="515" spans="2:8" ht="15" customHeight="1">
      <c r="B515" s="148" t="s">
        <v>908</v>
      </c>
      <c r="C515" s="369" t="s">
        <v>245</v>
      </c>
      <c r="D515" s="369" t="s">
        <v>240</v>
      </c>
      <c r="E515" s="369" t="s">
        <v>521</v>
      </c>
      <c r="F515" s="369" t="s">
        <v>186</v>
      </c>
      <c r="G515" s="370">
        <v>109</v>
      </c>
      <c r="H515" s="148" t="s">
        <v>259</v>
      </c>
    </row>
    <row r="516" spans="2:8" ht="15" customHeight="1">
      <c r="B516" s="148" t="s">
        <v>909</v>
      </c>
      <c r="C516" s="369" t="s">
        <v>245</v>
      </c>
      <c r="D516" s="369" t="s">
        <v>239</v>
      </c>
      <c r="E516" s="369" t="s">
        <v>524</v>
      </c>
      <c r="F516" s="369" t="s">
        <v>186</v>
      </c>
      <c r="G516" s="370">
        <v>124</v>
      </c>
      <c r="H516" s="148" t="s">
        <v>259</v>
      </c>
    </row>
    <row r="517" spans="2:8" ht="15" customHeight="1">
      <c r="B517" s="148" t="s">
        <v>910</v>
      </c>
      <c r="C517" s="369" t="s">
        <v>245</v>
      </c>
      <c r="D517" s="369" t="s">
        <v>243</v>
      </c>
      <c r="E517" s="369" t="s">
        <v>526</v>
      </c>
      <c r="F517" s="369" t="s">
        <v>186</v>
      </c>
      <c r="G517" s="370">
        <v>138</v>
      </c>
      <c r="H517" s="148" t="s">
        <v>259</v>
      </c>
    </row>
    <row r="518" spans="2:8" ht="15" customHeight="1">
      <c r="B518" s="148" t="s">
        <v>911</v>
      </c>
      <c r="C518" s="369" t="s">
        <v>245</v>
      </c>
      <c r="D518" s="369" t="s">
        <v>241</v>
      </c>
      <c r="E518" s="369" t="s">
        <v>528</v>
      </c>
      <c r="F518" s="369" t="s">
        <v>186</v>
      </c>
      <c r="G518" s="370">
        <v>153</v>
      </c>
      <c r="H518" s="148" t="s">
        <v>259</v>
      </c>
    </row>
    <row r="519" spans="2:8" ht="15" customHeight="1">
      <c r="B519" s="148" t="s">
        <v>912</v>
      </c>
      <c r="C519" s="369" t="s">
        <v>245</v>
      </c>
      <c r="D519" s="369" t="s">
        <v>242</v>
      </c>
      <c r="E519" s="369" t="s">
        <v>530</v>
      </c>
      <c r="F519" s="369" t="s">
        <v>186</v>
      </c>
      <c r="G519" s="370">
        <v>172</v>
      </c>
      <c r="H519" s="148" t="s">
        <v>259</v>
      </c>
    </row>
    <row r="520" spans="2:8" ht="15" customHeight="1">
      <c r="B520" s="148" t="s">
        <v>913</v>
      </c>
      <c r="C520" s="369" t="s">
        <v>246</v>
      </c>
      <c r="D520" s="369" t="s">
        <v>240</v>
      </c>
      <c r="E520" s="369" t="s">
        <v>521</v>
      </c>
      <c r="F520" s="369" t="s">
        <v>186</v>
      </c>
      <c r="G520" s="370">
        <v>189</v>
      </c>
      <c r="H520" s="148" t="s">
        <v>259</v>
      </c>
    </row>
    <row r="521" spans="2:8" ht="15" customHeight="1">
      <c r="B521" s="148" t="s">
        <v>914</v>
      </c>
      <c r="C521" s="369" t="s">
        <v>246</v>
      </c>
      <c r="D521" s="369" t="s">
        <v>239</v>
      </c>
      <c r="E521" s="369" t="s">
        <v>524</v>
      </c>
      <c r="F521" s="369" t="s">
        <v>186</v>
      </c>
      <c r="G521" s="370">
        <v>201</v>
      </c>
      <c r="H521" s="148" t="s">
        <v>259</v>
      </c>
    </row>
    <row r="522" spans="2:8" ht="15" customHeight="1">
      <c r="B522" s="148" t="s">
        <v>915</v>
      </c>
      <c r="C522" s="369" t="s">
        <v>246</v>
      </c>
      <c r="D522" s="369" t="s">
        <v>243</v>
      </c>
      <c r="E522" s="369" t="s">
        <v>526</v>
      </c>
      <c r="F522" s="369" t="s">
        <v>186</v>
      </c>
      <c r="G522" s="370">
        <v>235</v>
      </c>
      <c r="H522" s="148" t="s">
        <v>259</v>
      </c>
    </row>
    <row r="523" spans="2:8" ht="15" customHeight="1">
      <c r="B523" s="148" t="s">
        <v>916</v>
      </c>
      <c r="C523" s="369" t="s">
        <v>246</v>
      </c>
      <c r="D523" s="369" t="s">
        <v>241</v>
      </c>
      <c r="E523" s="369" t="s">
        <v>528</v>
      </c>
      <c r="F523" s="369" t="s">
        <v>186</v>
      </c>
      <c r="G523" s="370">
        <v>264</v>
      </c>
      <c r="H523" s="148" t="s">
        <v>259</v>
      </c>
    </row>
    <row r="524" spans="2:8" ht="15" customHeight="1">
      <c r="B524" s="148" t="s">
        <v>917</v>
      </c>
      <c r="C524" s="369" t="s">
        <v>246</v>
      </c>
      <c r="D524" s="369" t="s">
        <v>242</v>
      </c>
      <c r="E524" s="369" t="s">
        <v>530</v>
      </c>
      <c r="F524" s="369" t="s">
        <v>186</v>
      </c>
      <c r="G524" s="370">
        <v>316</v>
      </c>
      <c r="H524" s="148" t="s">
        <v>259</v>
      </c>
    </row>
    <row r="525" spans="2:8" ht="15" customHeight="1">
      <c r="B525" s="148" t="s">
        <v>918</v>
      </c>
      <c r="C525" s="369" t="s">
        <v>247</v>
      </c>
      <c r="D525" s="369" t="s">
        <v>240</v>
      </c>
      <c r="E525" s="369" t="s">
        <v>521</v>
      </c>
      <c r="F525" s="369" t="s">
        <v>186</v>
      </c>
      <c r="G525" s="370">
        <v>126</v>
      </c>
      <c r="H525" s="148" t="s">
        <v>259</v>
      </c>
    </row>
    <row r="526" spans="2:8" ht="15" customHeight="1">
      <c r="B526" s="148" t="s">
        <v>919</v>
      </c>
      <c r="C526" s="369" t="s">
        <v>247</v>
      </c>
      <c r="D526" s="369" t="s">
        <v>239</v>
      </c>
      <c r="E526" s="369" t="s">
        <v>524</v>
      </c>
      <c r="F526" s="369" t="s">
        <v>186</v>
      </c>
      <c r="G526" s="370">
        <v>143</v>
      </c>
      <c r="H526" s="148" t="s">
        <v>259</v>
      </c>
    </row>
    <row r="527" spans="2:8" ht="15" customHeight="1">
      <c r="B527" s="148" t="s">
        <v>920</v>
      </c>
      <c r="C527" s="369" t="s">
        <v>247</v>
      </c>
      <c r="D527" s="369" t="s">
        <v>243</v>
      </c>
      <c r="E527" s="369" t="s">
        <v>526</v>
      </c>
      <c r="F527" s="369" t="s">
        <v>186</v>
      </c>
      <c r="G527" s="370">
        <v>172</v>
      </c>
      <c r="H527" s="148" t="s">
        <v>259</v>
      </c>
    </row>
    <row r="528" spans="2:8" ht="15" customHeight="1">
      <c r="B528" s="148" t="s">
        <v>921</v>
      </c>
      <c r="C528" s="369" t="s">
        <v>247</v>
      </c>
      <c r="D528" s="369" t="s">
        <v>241</v>
      </c>
      <c r="E528" s="369" t="s">
        <v>528</v>
      </c>
      <c r="F528" s="369" t="s">
        <v>186</v>
      </c>
      <c r="G528" s="370">
        <v>184</v>
      </c>
      <c r="H528" s="148" t="s">
        <v>259</v>
      </c>
    </row>
    <row r="529" spans="2:8" ht="15" customHeight="1">
      <c r="B529" s="148" t="s">
        <v>922</v>
      </c>
      <c r="C529" s="369" t="s">
        <v>247</v>
      </c>
      <c r="D529" s="369" t="s">
        <v>242</v>
      </c>
      <c r="E529" s="369" t="s">
        <v>530</v>
      </c>
      <c r="F529" s="369" t="s">
        <v>186</v>
      </c>
      <c r="G529" s="370">
        <v>195</v>
      </c>
      <c r="H529" s="148" t="s">
        <v>259</v>
      </c>
    </row>
    <row r="530" spans="2:8" ht="15" customHeight="1">
      <c r="B530" s="148" t="s">
        <v>923</v>
      </c>
      <c r="C530" s="369" t="s">
        <v>248</v>
      </c>
      <c r="D530" s="369" t="s">
        <v>240</v>
      </c>
      <c r="E530" s="369" t="s">
        <v>521</v>
      </c>
      <c r="F530" s="369" t="s">
        <v>186</v>
      </c>
      <c r="G530" s="370">
        <v>120</v>
      </c>
      <c r="H530" s="148" t="s">
        <v>259</v>
      </c>
    </row>
    <row r="531" spans="2:8" ht="15" customHeight="1">
      <c r="B531" s="148" t="s">
        <v>924</v>
      </c>
      <c r="C531" s="369" t="s">
        <v>248</v>
      </c>
      <c r="D531" s="369" t="s">
        <v>239</v>
      </c>
      <c r="E531" s="369" t="s">
        <v>524</v>
      </c>
      <c r="F531" s="369" t="s">
        <v>186</v>
      </c>
      <c r="G531" s="370">
        <v>132</v>
      </c>
      <c r="H531" s="148" t="s">
        <v>259</v>
      </c>
    </row>
    <row r="532" spans="2:8" ht="15" customHeight="1">
      <c r="B532" s="148" t="s">
        <v>925</v>
      </c>
      <c r="C532" s="369" t="s">
        <v>248</v>
      </c>
      <c r="D532" s="369" t="s">
        <v>243</v>
      </c>
      <c r="E532" s="369" t="s">
        <v>526</v>
      </c>
      <c r="F532" s="369" t="s">
        <v>186</v>
      </c>
      <c r="G532" s="370">
        <v>166</v>
      </c>
      <c r="H532" s="148" t="s">
        <v>259</v>
      </c>
    </row>
    <row r="533" spans="2:8" ht="15" customHeight="1">
      <c r="B533" s="148" t="s">
        <v>926</v>
      </c>
      <c r="C533" s="369" t="s">
        <v>248</v>
      </c>
      <c r="D533" s="369" t="s">
        <v>241</v>
      </c>
      <c r="E533" s="369" t="s">
        <v>528</v>
      </c>
      <c r="F533" s="369" t="s">
        <v>186</v>
      </c>
      <c r="G533" s="370">
        <v>184</v>
      </c>
      <c r="H533" s="148" t="s">
        <v>259</v>
      </c>
    </row>
    <row r="534" spans="2:8" ht="15" customHeight="1">
      <c r="B534" s="148" t="s">
        <v>927</v>
      </c>
      <c r="C534" s="369" t="s">
        <v>248</v>
      </c>
      <c r="D534" s="369" t="s">
        <v>242</v>
      </c>
      <c r="E534" s="369" t="s">
        <v>530</v>
      </c>
      <c r="F534" s="369" t="s">
        <v>186</v>
      </c>
      <c r="G534" s="370">
        <v>195</v>
      </c>
      <c r="H534" s="148" t="s">
        <v>259</v>
      </c>
    </row>
    <row r="535" spans="2:8" ht="15" customHeight="1">
      <c r="B535" s="148" t="s">
        <v>928</v>
      </c>
      <c r="C535" s="369" t="s">
        <v>249</v>
      </c>
      <c r="D535" s="369" t="s">
        <v>239</v>
      </c>
      <c r="E535" s="369" t="s">
        <v>524</v>
      </c>
      <c r="F535" s="369" t="s">
        <v>186</v>
      </c>
      <c r="G535" s="370">
        <v>189</v>
      </c>
      <c r="H535" s="148" t="s">
        <v>259</v>
      </c>
    </row>
    <row r="536" spans="2:8" ht="15" customHeight="1">
      <c r="B536" s="148" t="s">
        <v>929</v>
      </c>
      <c r="C536" s="369" t="s">
        <v>249</v>
      </c>
      <c r="D536" s="369" t="s">
        <v>240</v>
      </c>
      <c r="E536" s="369" t="s">
        <v>521</v>
      </c>
      <c r="F536" s="369" t="s">
        <v>186</v>
      </c>
      <c r="G536" s="370">
        <v>149</v>
      </c>
      <c r="H536" s="148" t="s">
        <v>259</v>
      </c>
    </row>
    <row r="537" spans="2:8" ht="15" customHeight="1">
      <c r="B537" s="148" t="s">
        <v>930</v>
      </c>
      <c r="C537" s="369" t="s">
        <v>249</v>
      </c>
      <c r="D537" s="369" t="s">
        <v>241</v>
      </c>
      <c r="E537" s="369" t="s">
        <v>528</v>
      </c>
      <c r="F537" s="369" t="s">
        <v>186</v>
      </c>
      <c r="G537" s="370">
        <v>264</v>
      </c>
      <c r="H537" s="148" t="s">
        <v>259</v>
      </c>
    </row>
    <row r="538" spans="2:8" ht="15" customHeight="1">
      <c r="B538" s="148" t="s">
        <v>931</v>
      </c>
      <c r="C538" s="369" t="s">
        <v>249</v>
      </c>
      <c r="D538" s="369" t="s">
        <v>242</v>
      </c>
      <c r="E538" s="369" t="s">
        <v>530</v>
      </c>
      <c r="F538" s="369" t="s">
        <v>186</v>
      </c>
      <c r="G538" s="370">
        <v>321</v>
      </c>
      <c r="H538" s="148" t="s">
        <v>259</v>
      </c>
    </row>
    <row r="539" spans="2:8" ht="15" customHeight="1">
      <c r="B539" s="148" t="s">
        <v>932</v>
      </c>
      <c r="C539" s="369" t="s">
        <v>249</v>
      </c>
      <c r="D539" s="369" t="s">
        <v>243</v>
      </c>
      <c r="E539" s="369" t="s">
        <v>526</v>
      </c>
      <c r="F539" s="369" t="s">
        <v>186</v>
      </c>
      <c r="G539" s="370">
        <v>235</v>
      </c>
      <c r="H539" s="148" t="s">
        <v>259</v>
      </c>
    </row>
    <row r="540" spans="2:8" ht="15" customHeight="1">
      <c r="B540" s="148" t="s">
        <v>933</v>
      </c>
      <c r="C540" s="369" t="s">
        <v>562</v>
      </c>
      <c r="D540" s="369" t="s">
        <v>239</v>
      </c>
      <c r="E540" s="369" t="s">
        <v>524</v>
      </c>
      <c r="F540" s="369" t="s">
        <v>186</v>
      </c>
      <c r="G540" s="370">
        <v>212</v>
      </c>
      <c r="H540" s="148" t="s">
        <v>259</v>
      </c>
    </row>
    <row r="541" spans="2:8" ht="15" customHeight="1">
      <c r="B541" s="148" t="s">
        <v>934</v>
      </c>
      <c r="C541" s="369" t="s">
        <v>562</v>
      </c>
      <c r="D541" s="369" t="s">
        <v>240</v>
      </c>
      <c r="E541" s="369" t="s">
        <v>521</v>
      </c>
      <c r="F541" s="369" t="s">
        <v>186</v>
      </c>
      <c r="G541" s="370">
        <v>161</v>
      </c>
      <c r="H541" s="148" t="s">
        <v>259</v>
      </c>
    </row>
    <row r="542" spans="2:8" ht="15" customHeight="1">
      <c r="B542" s="148" t="s">
        <v>935</v>
      </c>
      <c r="C542" s="369" t="s">
        <v>562</v>
      </c>
      <c r="D542" s="369" t="s">
        <v>241</v>
      </c>
      <c r="E542" s="369" t="s">
        <v>528</v>
      </c>
      <c r="F542" s="369" t="s">
        <v>186</v>
      </c>
      <c r="G542" s="370">
        <v>281</v>
      </c>
      <c r="H542" s="148" t="s">
        <v>259</v>
      </c>
    </row>
    <row r="543" spans="2:8" ht="15" customHeight="1">
      <c r="B543" s="148" t="s">
        <v>936</v>
      </c>
      <c r="C543" s="369" t="s">
        <v>562</v>
      </c>
      <c r="D543" s="369" t="s">
        <v>242</v>
      </c>
      <c r="E543" s="369" t="s">
        <v>530</v>
      </c>
      <c r="F543" s="369" t="s">
        <v>186</v>
      </c>
      <c r="G543" s="370">
        <v>339</v>
      </c>
      <c r="H543" s="148" t="s">
        <v>259</v>
      </c>
    </row>
    <row r="544" spans="2:8" ht="15" customHeight="1">
      <c r="B544" s="148" t="s">
        <v>937</v>
      </c>
      <c r="C544" s="369" t="s">
        <v>562</v>
      </c>
      <c r="D544" s="369" t="s">
        <v>243</v>
      </c>
      <c r="E544" s="369" t="s">
        <v>526</v>
      </c>
      <c r="F544" s="369" t="s">
        <v>186</v>
      </c>
      <c r="G544" s="370">
        <v>241</v>
      </c>
      <c r="H544" s="148" t="s">
        <v>259</v>
      </c>
    </row>
    <row r="545" spans="2:8" ht="15" customHeight="1">
      <c r="B545" s="148" t="s">
        <v>938</v>
      </c>
      <c r="C545" s="369" t="s">
        <v>509</v>
      </c>
      <c r="D545" s="369" t="s">
        <v>239</v>
      </c>
      <c r="E545" s="369" t="s">
        <v>524</v>
      </c>
      <c r="F545" s="369" t="s">
        <v>186</v>
      </c>
      <c r="G545" s="370">
        <v>207</v>
      </c>
      <c r="H545" s="148" t="s">
        <v>259</v>
      </c>
    </row>
    <row r="546" spans="2:8" ht="15" customHeight="1">
      <c r="B546" s="148" t="s">
        <v>939</v>
      </c>
      <c r="C546" s="369" t="s">
        <v>509</v>
      </c>
      <c r="D546" s="369" t="s">
        <v>240</v>
      </c>
      <c r="E546" s="369" t="s">
        <v>521</v>
      </c>
      <c r="F546" s="369" t="s">
        <v>186</v>
      </c>
      <c r="G546" s="370">
        <v>163</v>
      </c>
      <c r="H546" s="148" t="s">
        <v>259</v>
      </c>
    </row>
    <row r="547" spans="2:8" ht="15" customHeight="1">
      <c r="B547" s="148" t="s">
        <v>940</v>
      </c>
      <c r="C547" s="369" t="s">
        <v>509</v>
      </c>
      <c r="D547" s="369" t="s">
        <v>241</v>
      </c>
      <c r="E547" s="369" t="s">
        <v>528</v>
      </c>
      <c r="F547" s="369" t="s">
        <v>186</v>
      </c>
      <c r="G547" s="370">
        <v>281</v>
      </c>
      <c r="H547" s="148" t="s">
        <v>259</v>
      </c>
    </row>
    <row r="548" spans="2:8" ht="15" customHeight="1">
      <c r="B548" s="148" t="s">
        <v>941</v>
      </c>
      <c r="C548" s="369" t="s">
        <v>509</v>
      </c>
      <c r="D548" s="369" t="s">
        <v>242</v>
      </c>
      <c r="E548" s="369" t="s">
        <v>530</v>
      </c>
      <c r="F548" s="369" t="s">
        <v>186</v>
      </c>
      <c r="G548" s="370">
        <v>316</v>
      </c>
      <c r="H548" s="148" t="s">
        <v>259</v>
      </c>
    </row>
    <row r="549" spans="2:8" ht="15" customHeight="1">
      <c r="B549" s="148" t="s">
        <v>942</v>
      </c>
      <c r="C549" s="369" t="s">
        <v>509</v>
      </c>
      <c r="D549" s="369" t="s">
        <v>243</v>
      </c>
      <c r="E549" s="369" t="s">
        <v>526</v>
      </c>
      <c r="F549" s="369" t="s">
        <v>186</v>
      </c>
      <c r="G549" s="370">
        <v>235</v>
      </c>
      <c r="H549" s="148" t="s">
        <v>259</v>
      </c>
    </row>
    <row r="550" spans="2:8" ht="15" customHeight="1">
      <c r="B550" s="148" t="s">
        <v>943</v>
      </c>
      <c r="C550" s="369" t="s">
        <v>573</v>
      </c>
      <c r="D550" s="369" t="s">
        <v>239</v>
      </c>
      <c r="E550" s="369" t="s">
        <v>524</v>
      </c>
      <c r="F550" s="369" t="s">
        <v>186</v>
      </c>
      <c r="G550" s="370">
        <v>189</v>
      </c>
      <c r="H550" s="148" t="s">
        <v>259</v>
      </c>
    </row>
    <row r="551" spans="2:8" ht="15" customHeight="1">
      <c r="B551" s="148" t="s">
        <v>944</v>
      </c>
      <c r="C551" s="369" t="s">
        <v>573</v>
      </c>
      <c r="D551" s="369" t="s">
        <v>240</v>
      </c>
      <c r="E551" s="369" t="s">
        <v>521</v>
      </c>
      <c r="F551" s="369" t="s">
        <v>186</v>
      </c>
      <c r="G551" s="370">
        <v>153</v>
      </c>
      <c r="H551" s="148" t="s">
        <v>259</v>
      </c>
    </row>
    <row r="552" spans="2:8" ht="15" customHeight="1">
      <c r="B552" s="148" t="s">
        <v>945</v>
      </c>
      <c r="C552" s="369" t="s">
        <v>573</v>
      </c>
      <c r="D552" s="369" t="s">
        <v>241</v>
      </c>
      <c r="E552" s="369" t="s">
        <v>528</v>
      </c>
      <c r="F552" s="369" t="s">
        <v>186</v>
      </c>
      <c r="G552" s="370">
        <v>258</v>
      </c>
      <c r="H552" s="148" t="s">
        <v>259</v>
      </c>
    </row>
    <row r="553" spans="2:8" ht="15" customHeight="1">
      <c r="B553" s="148" t="s">
        <v>946</v>
      </c>
      <c r="C553" s="369" t="s">
        <v>573</v>
      </c>
      <c r="D553" s="369" t="s">
        <v>242</v>
      </c>
      <c r="E553" s="369" t="s">
        <v>530</v>
      </c>
      <c r="F553" s="369" t="s">
        <v>186</v>
      </c>
      <c r="G553" s="370">
        <v>316</v>
      </c>
      <c r="H553" s="148" t="s">
        <v>259</v>
      </c>
    </row>
    <row r="554" spans="2:8" ht="15" customHeight="1">
      <c r="B554" s="148" t="s">
        <v>947</v>
      </c>
      <c r="C554" s="369" t="s">
        <v>573</v>
      </c>
      <c r="D554" s="369" t="s">
        <v>243</v>
      </c>
      <c r="E554" s="369" t="s">
        <v>526</v>
      </c>
      <c r="F554" s="369" t="s">
        <v>186</v>
      </c>
      <c r="G554" s="370">
        <v>230</v>
      </c>
      <c r="H554" s="148" t="s">
        <v>259</v>
      </c>
    </row>
    <row r="555" spans="2:8" ht="15" customHeight="1">
      <c r="B555" s="148" t="s">
        <v>948</v>
      </c>
      <c r="C555" s="369" t="s">
        <v>579</v>
      </c>
      <c r="D555" s="369" t="s">
        <v>239</v>
      </c>
      <c r="E555" s="369" t="s">
        <v>524</v>
      </c>
      <c r="F555" s="369" t="s">
        <v>186</v>
      </c>
      <c r="G555" s="370">
        <v>126</v>
      </c>
      <c r="H555" s="148" t="s">
        <v>259</v>
      </c>
    </row>
    <row r="556" spans="2:8" ht="15" customHeight="1">
      <c r="B556" s="148" t="s">
        <v>949</v>
      </c>
      <c r="C556" s="369" t="s">
        <v>579</v>
      </c>
      <c r="D556" s="369" t="s">
        <v>240</v>
      </c>
      <c r="E556" s="369" t="s">
        <v>521</v>
      </c>
      <c r="F556" s="369" t="s">
        <v>186</v>
      </c>
      <c r="G556" s="370">
        <v>120</v>
      </c>
      <c r="H556" s="148" t="s">
        <v>259</v>
      </c>
    </row>
    <row r="557" spans="2:8" ht="15" customHeight="1">
      <c r="B557" s="148" t="s">
        <v>950</v>
      </c>
      <c r="C557" s="369" t="s">
        <v>579</v>
      </c>
      <c r="D557" s="369" t="s">
        <v>241</v>
      </c>
      <c r="E557" s="369" t="s">
        <v>528</v>
      </c>
      <c r="F557" s="369" t="s">
        <v>186</v>
      </c>
      <c r="G557" s="370">
        <v>166</v>
      </c>
      <c r="H557" s="148" t="s">
        <v>259</v>
      </c>
    </row>
    <row r="558" spans="2:8" ht="15" customHeight="1">
      <c r="B558" s="148" t="s">
        <v>951</v>
      </c>
      <c r="C558" s="369" t="s">
        <v>579</v>
      </c>
      <c r="D558" s="369" t="s">
        <v>242</v>
      </c>
      <c r="E558" s="369" t="s">
        <v>530</v>
      </c>
      <c r="F558" s="369" t="s">
        <v>186</v>
      </c>
      <c r="G558" s="370">
        <v>187</v>
      </c>
      <c r="H558" s="148" t="s">
        <v>259</v>
      </c>
    </row>
    <row r="559" spans="2:8" ht="15" customHeight="1">
      <c r="B559" s="148" t="s">
        <v>952</v>
      </c>
      <c r="C559" s="369" t="s">
        <v>579</v>
      </c>
      <c r="D559" s="369" t="s">
        <v>243</v>
      </c>
      <c r="E559" s="369" t="s">
        <v>526</v>
      </c>
      <c r="F559" s="369" t="s">
        <v>186</v>
      </c>
      <c r="G559" s="370">
        <v>157</v>
      </c>
      <c r="H559" s="148" t="s">
        <v>259</v>
      </c>
    </row>
    <row r="560" spans="2:8" ht="15" customHeight="1">
      <c r="B560" s="148" t="s">
        <v>953</v>
      </c>
      <c r="C560" s="369" t="s">
        <v>585</v>
      </c>
      <c r="D560" s="369" t="s">
        <v>239</v>
      </c>
      <c r="E560" s="369" t="s">
        <v>524</v>
      </c>
      <c r="F560" s="369" t="s">
        <v>186</v>
      </c>
      <c r="G560" s="370">
        <v>120</v>
      </c>
      <c r="H560" s="148" t="s">
        <v>259</v>
      </c>
    </row>
    <row r="561" spans="2:8" ht="15" customHeight="1">
      <c r="B561" s="148" t="s">
        <v>954</v>
      </c>
      <c r="C561" s="369" t="s">
        <v>585</v>
      </c>
      <c r="D561" s="369" t="s">
        <v>240</v>
      </c>
      <c r="E561" s="369" t="s">
        <v>521</v>
      </c>
      <c r="F561" s="369" t="s">
        <v>186</v>
      </c>
      <c r="G561" s="370">
        <v>108</v>
      </c>
      <c r="H561" s="148" t="s">
        <v>259</v>
      </c>
    </row>
    <row r="562" spans="2:8" ht="15" customHeight="1">
      <c r="B562" s="148" t="s">
        <v>955</v>
      </c>
      <c r="C562" s="369" t="s">
        <v>585</v>
      </c>
      <c r="D562" s="369" t="s">
        <v>241</v>
      </c>
      <c r="E562" s="369" t="s">
        <v>528</v>
      </c>
      <c r="F562" s="369" t="s">
        <v>186</v>
      </c>
      <c r="G562" s="370">
        <v>149</v>
      </c>
      <c r="H562" s="148" t="s">
        <v>259</v>
      </c>
    </row>
    <row r="563" spans="2:8" ht="15" customHeight="1">
      <c r="B563" s="148" t="s">
        <v>956</v>
      </c>
      <c r="C563" s="369" t="s">
        <v>585</v>
      </c>
      <c r="D563" s="369" t="s">
        <v>242</v>
      </c>
      <c r="E563" s="369" t="s">
        <v>530</v>
      </c>
      <c r="F563" s="369" t="s">
        <v>186</v>
      </c>
      <c r="G563" s="370">
        <v>189</v>
      </c>
      <c r="H563" s="148" t="s">
        <v>259</v>
      </c>
    </row>
    <row r="564" spans="2:8" ht="15" customHeight="1">
      <c r="B564" s="148" t="s">
        <v>957</v>
      </c>
      <c r="C564" s="369" t="s">
        <v>585</v>
      </c>
      <c r="D564" s="369" t="s">
        <v>243</v>
      </c>
      <c r="E564" s="369" t="s">
        <v>526</v>
      </c>
      <c r="F564" s="369" t="s">
        <v>186</v>
      </c>
      <c r="G564" s="370">
        <v>127</v>
      </c>
      <c r="H564" s="148" t="s">
        <v>259</v>
      </c>
    </row>
    <row r="565" spans="2:8" ht="15" customHeight="1">
      <c r="B565" s="148" t="s">
        <v>958</v>
      </c>
      <c r="C565" s="369" t="s">
        <v>477</v>
      </c>
      <c r="D565" s="369" t="s">
        <v>384</v>
      </c>
      <c r="E565" s="369" t="s">
        <v>591</v>
      </c>
      <c r="F565" s="369" t="s">
        <v>186</v>
      </c>
      <c r="G565" s="370">
        <v>230</v>
      </c>
      <c r="H565" s="148" t="s">
        <v>261</v>
      </c>
    </row>
    <row r="566" spans="2:8" ht="15" customHeight="1">
      <c r="B566" s="148" t="s">
        <v>959</v>
      </c>
      <c r="C566" s="369" t="s">
        <v>477</v>
      </c>
      <c r="D566" s="369" t="s">
        <v>368</v>
      </c>
      <c r="E566" s="369" t="s">
        <v>593</v>
      </c>
      <c r="F566" s="369" t="s">
        <v>186</v>
      </c>
      <c r="G566" s="370">
        <v>236</v>
      </c>
      <c r="H566" s="148" t="s">
        <v>261</v>
      </c>
    </row>
    <row r="567" spans="2:8" ht="15" customHeight="1">
      <c r="B567" s="148" t="s">
        <v>960</v>
      </c>
      <c r="C567" s="369" t="s">
        <v>477</v>
      </c>
      <c r="D567" s="369" t="s">
        <v>376</v>
      </c>
      <c r="E567" s="369" t="s">
        <v>595</v>
      </c>
      <c r="F567" s="369" t="s">
        <v>186</v>
      </c>
      <c r="G567" s="370">
        <v>315</v>
      </c>
      <c r="H567" s="148" t="s">
        <v>261</v>
      </c>
    </row>
    <row r="568" spans="2:8" ht="15" customHeight="1">
      <c r="B568" s="148" t="s">
        <v>961</v>
      </c>
      <c r="C568" s="369" t="s">
        <v>492</v>
      </c>
      <c r="D568" s="369" t="s">
        <v>357</v>
      </c>
      <c r="E568" s="369" t="s">
        <v>597</v>
      </c>
      <c r="F568" s="369" t="s">
        <v>186</v>
      </c>
      <c r="G568" s="370">
        <v>488</v>
      </c>
      <c r="H568" s="148" t="s">
        <v>261</v>
      </c>
    </row>
    <row r="569" spans="2:8" ht="15" customHeight="1">
      <c r="B569" s="148" t="s">
        <v>962</v>
      </c>
      <c r="C569" s="369" t="s">
        <v>477</v>
      </c>
      <c r="D569" s="369" t="s">
        <v>242</v>
      </c>
      <c r="E569" s="369" t="s">
        <v>599</v>
      </c>
      <c r="F569" s="369" t="s">
        <v>186</v>
      </c>
      <c r="G569" s="370">
        <v>437</v>
      </c>
      <c r="H569" s="148" t="s">
        <v>261</v>
      </c>
    </row>
    <row r="570" spans="2:8" ht="15" customHeight="1">
      <c r="B570" s="148" t="s">
        <v>963</v>
      </c>
      <c r="C570" s="369" t="s">
        <v>477</v>
      </c>
      <c r="D570" s="369" t="s">
        <v>364</v>
      </c>
      <c r="E570" s="369" t="s">
        <v>601</v>
      </c>
      <c r="F570" s="369" t="s">
        <v>186</v>
      </c>
      <c r="G570" s="370">
        <v>264</v>
      </c>
      <c r="H570" s="148" t="s">
        <v>261</v>
      </c>
    </row>
    <row r="571" spans="2:8" ht="15" customHeight="1">
      <c r="B571" s="148" t="s">
        <v>964</v>
      </c>
      <c r="C571" s="369" t="s">
        <v>477</v>
      </c>
      <c r="D571" s="369" t="s">
        <v>361</v>
      </c>
      <c r="E571" s="369" t="s">
        <v>603</v>
      </c>
      <c r="F571" s="369" t="s">
        <v>186</v>
      </c>
      <c r="G571" s="370">
        <v>367</v>
      </c>
      <c r="H571" s="148" t="s">
        <v>261</v>
      </c>
    </row>
    <row r="572" spans="2:8" ht="15" customHeight="1">
      <c r="B572" s="148" t="s">
        <v>965</v>
      </c>
      <c r="C572" s="369" t="s">
        <v>605</v>
      </c>
      <c r="D572" s="369" t="s">
        <v>239</v>
      </c>
      <c r="E572" s="369" t="s">
        <v>524</v>
      </c>
      <c r="F572" s="369" t="s">
        <v>186</v>
      </c>
      <c r="G572" s="370">
        <v>132</v>
      </c>
      <c r="H572" s="148" t="s">
        <v>259</v>
      </c>
    </row>
    <row r="573" spans="2:8" ht="15" customHeight="1">
      <c r="B573" s="148" t="s">
        <v>966</v>
      </c>
      <c r="C573" s="369" t="s">
        <v>605</v>
      </c>
      <c r="D573" s="369" t="s">
        <v>240</v>
      </c>
      <c r="E573" s="369" t="s">
        <v>521</v>
      </c>
      <c r="F573" s="369" t="s">
        <v>186</v>
      </c>
      <c r="G573" s="370">
        <v>120</v>
      </c>
      <c r="H573" s="148" t="s">
        <v>259</v>
      </c>
    </row>
    <row r="574" spans="2:8" ht="15" customHeight="1">
      <c r="B574" s="148" t="s">
        <v>967</v>
      </c>
      <c r="C574" s="369" t="s">
        <v>605</v>
      </c>
      <c r="D574" s="369" t="s">
        <v>241</v>
      </c>
      <c r="E574" s="369" t="s">
        <v>528</v>
      </c>
      <c r="F574" s="369" t="s">
        <v>186</v>
      </c>
      <c r="G574" s="370">
        <v>180</v>
      </c>
      <c r="H574" s="148" t="s">
        <v>259</v>
      </c>
    </row>
    <row r="575" spans="2:8" ht="15" customHeight="1">
      <c r="B575" s="148" t="s">
        <v>968</v>
      </c>
      <c r="C575" s="369" t="s">
        <v>605</v>
      </c>
      <c r="D575" s="369" t="s">
        <v>242</v>
      </c>
      <c r="E575" s="369" t="s">
        <v>530</v>
      </c>
      <c r="F575" s="369" t="s">
        <v>186</v>
      </c>
      <c r="G575" s="370">
        <v>189</v>
      </c>
      <c r="H575" s="148" t="s">
        <v>259</v>
      </c>
    </row>
    <row r="576" spans="2:8" ht="15" customHeight="1">
      <c r="B576" s="148" t="s">
        <v>969</v>
      </c>
      <c r="C576" s="369" t="s">
        <v>605</v>
      </c>
      <c r="D576" s="369" t="s">
        <v>243</v>
      </c>
      <c r="E576" s="369" t="s">
        <v>526</v>
      </c>
      <c r="F576" s="369" t="s">
        <v>186</v>
      </c>
      <c r="G576" s="370">
        <v>166</v>
      </c>
      <c r="H576" s="148" t="s">
        <v>259</v>
      </c>
    </row>
    <row r="577" spans="2:8" ht="15" customHeight="1">
      <c r="B577" s="148" t="s">
        <v>970</v>
      </c>
      <c r="C577" s="369" t="s">
        <v>611</v>
      </c>
      <c r="D577" s="369" t="s">
        <v>239</v>
      </c>
      <c r="E577" s="369" t="s">
        <v>524</v>
      </c>
      <c r="F577" s="369" t="s">
        <v>186</v>
      </c>
      <c r="G577" s="370">
        <v>132</v>
      </c>
      <c r="H577" s="148" t="s">
        <v>259</v>
      </c>
    </row>
    <row r="578" spans="2:8" ht="15" customHeight="1">
      <c r="B578" s="148" t="s">
        <v>971</v>
      </c>
      <c r="C578" s="369" t="s">
        <v>611</v>
      </c>
      <c r="D578" s="369" t="s">
        <v>240</v>
      </c>
      <c r="E578" s="369" t="s">
        <v>521</v>
      </c>
      <c r="F578" s="369" t="s">
        <v>186</v>
      </c>
      <c r="G578" s="370">
        <v>120</v>
      </c>
      <c r="H578" s="148" t="s">
        <v>259</v>
      </c>
    </row>
    <row r="579" spans="2:8" ht="15" customHeight="1">
      <c r="B579" s="148" t="s">
        <v>972</v>
      </c>
      <c r="C579" s="369" t="s">
        <v>611</v>
      </c>
      <c r="D579" s="369" t="s">
        <v>241</v>
      </c>
      <c r="E579" s="369" t="s">
        <v>528</v>
      </c>
      <c r="F579" s="369" t="s">
        <v>186</v>
      </c>
      <c r="G579" s="370">
        <v>180</v>
      </c>
      <c r="H579" s="148" t="s">
        <v>259</v>
      </c>
    </row>
    <row r="580" spans="2:8" ht="15" customHeight="1">
      <c r="B580" s="148" t="s">
        <v>973</v>
      </c>
      <c r="C580" s="369" t="s">
        <v>611</v>
      </c>
      <c r="D580" s="369" t="s">
        <v>242</v>
      </c>
      <c r="E580" s="369" t="s">
        <v>530</v>
      </c>
      <c r="F580" s="369" t="s">
        <v>186</v>
      </c>
      <c r="G580" s="370">
        <v>189</v>
      </c>
      <c r="H580" s="148" t="s">
        <v>259</v>
      </c>
    </row>
    <row r="581" spans="2:8" ht="15" customHeight="1">
      <c r="B581" s="148" t="s">
        <v>974</v>
      </c>
      <c r="C581" s="369" t="s">
        <v>611</v>
      </c>
      <c r="D581" s="369" t="s">
        <v>243</v>
      </c>
      <c r="E581" s="369" t="s">
        <v>526</v>
      </c>
      <c r="F581" s="369" t="s">
        <v>186</v>
      </c>
      <c r="G581" s="370">
        <v>166</v>
      </c>
      <c r="H581" s="148" t="s">
        <v>259</v>
      </c>
    </row>
    <row r="582" spans="2:8" ht="15" customHeight="1">
      <c r="B582" s="148" t="s">
        <v>975</v>
      </c>
      <c r="C582" s="369" t="s">
        <v>484</v>
      </c>
      <c r="D582" s="369" t="s">
        <v>239</v>
      </c>
      <c r="E582" s="369" t="s">
        <v>524</v>
      </c>
      <c r="F582" s="369" t="s">
        <v>186</v>
      </c>
      <c r="G582" s="370">
        <v>149</v>
      </c>
      <c r="H582" s="148" t="s">
        <v>259</v>
      </c>
    </row>
    <row r="583" spans="2:8" ht="15" customHeight="1">
      <c r="B583" s="148" t="s">
        <v>976</v>
      </c>
      <c r="C583" s="369" t="s">
        <v>484</v>
      </c>
      <c r="D583" s="369" t="s">
        <v>240</v>
      </c>
      <c r="E583" s="369" t="s">
        <v>521</v>
      </c>
      <c r="F583" s="369" t="s">
        <v>186</v>
      </c>
      <c r="G583" s="370">
        <v>132</v>
      </c>
      <c r="H583" s="148" t="s">
        <v>259</v>
      </c>
    </row>
    <row r="584" spans="2:8" ht="15" customHeight="1">
      <c r="B584" s="148" t="s">
        <v>977</v>
      </c>
      <c r="C584" s="369" t="s">
        <v>484</v>
      </c>
      <c r="D584" s="369" t="s">
        <v>241</v>
      </c>
      <c r="E584" s="369" t="s">
        <v>528</v>
      </c>
      <c r="F584" s="369" t="s">
        <v>186</v>
      </c>
      <c r="G584" s="370">
        <v>218</v>
      </c>
      <c r="H584" s="148" t="s">
        <v>259</v>
      </c>
    </row>
    <row r="585" spans="2:8" ht="15" customHeight="1">
      <c r="B585" s="148" t="s">
        <v>978</v>
      </c>
      <c r="C585" s="369" t="s">
        <v>484</v>
      </c>
      <c r="D585" s="369" t="s">
        <v>242</v>
      </c>
      <c r="E585" s="369" t="s">
        <v>530</v>
      </c>
      <c r="F585" s="369" t="s">
        <v>186</v>
      </c>
      <c r="G585" s="370">
        <v>264</v>
      </c>
      <c r="H585" s="148" t="s">
        <v>259</v>
      </c>
    </row>
    <row r="586" spans="2:8" ht="15" customHeight="1">
      <c r="B586" s="148" t="s">
        <v>979</v>
      </c>
      <c r="C586" s="369" t="s">
        <v>484</v>
      </c>
      <c r="D586" s="369" t="s">
        <v>243</v>
      </c>
      <c r="E586" s="369" t="s">
        <v>526</v>
      </c>
      <c r="F586" s="369" t="s">
        <v>186</v>
      </c>
      <c r="G586" s="370">
        <v>189</v>
      </c>
      <c r="H586" s="148" t="s">
        <v>259</v>
      </c>
    </row>
    <row r="587" spans="2:8" ht="15" customHeight="1">
      <c r="B587" s="148" t="s">
        <v>980</v>
      </c>
      <c r="C587" s="369" t="s">
        <v>622</v>
      </c>
      <c r="D587" s="369" t="s">
        <v>239</v>
      </c>
      <c r="E587" s="369" t="s">
        <v>524</v>
      </c>
      <c r="F587" s="369" t="s">
        <v>186</v>
      </c>
      <c r="G587" s="370">
        <v>126</v>
      </c>
      <c r="H587" s="148" t="s">
        <v>259</v>
      </c>
    </row>
    <row r="588" spans="2:8" ht="15" customHeight="1">
      <c r="B588" s="148" t="s">
        <v>981</v>
      </c>
      <c r="C588" s="369" t="s">
        <v>622</v>
      </c>
      <c r="D588" s="369" t="s">
        <v>240</v>
      </c>
      <c r="E588" s="369" t="s">
        <v>521</v>
      </c>
      <c r="F588" s="369" t="s">
        <v>186</v>
      </c>
      <c r="G588" s="370">
        <v>120</v>
      </c>
      <c r="H588" s="148" t="s">
        <v>259</v>
      </c>
    </row>
    <row r="589" spans="2:8" ht="15" customHeight="1">
      <c r="B589" s="148" t="s">
        <v>982</v>
      </c>
      <c r="C589" s="369" t="s">
        <v>622</v>
      </c>
      <c r="D589" s="369" t="s">
        <v>241</v>
      </c>
      <c r="E589" s="369" t="s">
        <v>528</v>
      </c>
      <c r="F589" s="369" t="s">
        <v>186</v>
      </c>
      <c r="G589" s="370">
        <v>172</v>
      </c>
      <c r="H589" s="148" t="s">
        <v>259</v>
      </c>
    </row>
    <row r="590" spans="2:8" ht="15" customHeight="1">
      <c r="B590" s="148" t="s">
        <v>983</v>
      </c>
      <c r="C590" s="369" t="s">
        <v>622</v>
      </c>
      <c r="D590" s="369" t="s">
        <v>242</v>
      </c>
      <c r="E590" s="369" t="s">
        <v>530</v>
      </c>
      <c r="F590" s="369" t="s">
        <v>186</v>
      </c>
      <c r="G590" s="370">
        <v>189</v>
      </c>
      <c r="H590" s="148" t="s">
        <v>259</v>
      </c>
    </row>
    <row r="591" spans="2:8" ht="15" customHeight="1">
      <c r="B591" s="148" t="s">
        <v>984</v>
      </c>
      <c r="C591" s="369" t="s">
        <v>622</v>
      </c>
      <c r="D591" s="369" t="s">
        <v>243</v>
      </c>
      <c r="E591" s="369" t="s">
        <v>526</v>
      </c>
      <c r="F591" s="369" t="s">
        <v>186</v>
      </c>
      <c r="G591" s="370">
        <v>161</v>
      </c>
      <c r="H591" s="148" t="s">
        <v>259</v>
      </c>
    </row>
    <row r="592" spans="2:8" ht="15" customHeight="1">
      <c r="B592" s="148" t="s">
        <v>985</v>
      </c>
      <c r="C592" s="369" t="s">
        <v>628</v>
      </c>
      <c r="D592" s="369" t="s">
        <v>239</v>
      </c>
      <c r="E592" s="369" t="s">
        <v>524</v>
      </c>
      <c r="F592" s="369" t="s">
        <v>186</v>
      </c>
      <c r="G592" s="370">
        <v>184</v>
      </c>
      <c r="H592" s="148" t="s">
        <v>259</v>
      </c>
    </row>
    <row r="593" spans="2:8" ht="15" customHeight="1">
      <c r="B593" s="148" t="s">
        <v>986</v>
      </c>
      <c r="C593" s="369" t="s">
        <v>628</v>
      </c>
      <c r="D593" s="369" t="s">
        <v>240</v>
      </c>
      <c r="E593" s="369" t="s">
        <v>521</v>
      </c>
      <c r="F593" s="369" t="s">
        <v>186</v>
      </c>
      <c r="G593" s="370">
        <v>166</v>
      </c>
      <c r="H593" s="148" t="s">
        <v>259</v>
      </c>
    </row>
    <row r="594" spans="2:8" ht="15" customHeight="1">
      <c r="B594" s="148" t="s">
        <v>987</v>
      </c>
      <c r="C594" s="369" t="s">
        <v>628</v>
      </c>
      <c r="D594" s="369" t="s">
        <v>241</v>
      </c>
      <c r="E594" s="369" t="s">
        <v>528</v>
      </c>
      <c r="F594" s="369" t="s">
        <v>186</v>
      </c>
      <c r="G594" s="370">
        <v>201</v>
      </c>
      <c r="H594" s="148" t="s">
        <v>259</v>
      </c>
    </row>
    <row r="595" spans="2:8" ht="15" customHeight="1">
      <c r="B595" s="148" t="s">
        <v>988</v>
      </c>
      <c r="C595" s="369" t="s">
        <v>628</v>
      </c>
      <c r="D595" s="369" t="s">
        <v>242</v>
      </c>
      <c r="E595" s="369" t="s">
        <v>530</v>
      </c>
      <c r="F595" s="369" t="s">
        <v>186</v>
      </c>
      <c r="G595" s="370">
        <v>223</v>
      </c>
      <c r="H595" s="148" t="s">
        <v>259</v>
      </c>
    </row>
    <row r="596" spans="2:8" ht="15" customHeight="1">
      <c r="B596" s="148" t="s">
        <v>989</v>
      </c>
      <c r="C596" s="369" t="s">
        <v>628</v>
      </c>
      <c r="D596" s="369" t="s">
        <v>243</v>
      </c>
      <c r="E596" s="369" t="s">
        <v>526</v>
      </c>
      <c r="F596" s="369" t="s">
        <v>186</v>
      </c>
      <c r="G596" s="370">
        <v>192</v>
      </c>
      <c r="H596" s="148" t="s">
        <v>259</v>
      </c>
    </row>
    <row r="597" spans="2:8" ht="15" customHeight="1">
      <c r="B597" s="148" t="s">
        <v>990</v>
      </c>
      <c r="C597" s="369" t="s">
        <v>634</v>
      </c>
      <c r="D597" s="369" t="s">
        <v>239</v>
      </c>
      <c r="E597" s="369" t="s">
        <v>524</v>
      </c>
      <c r="F597" s="369" t="s">
        <v>186</v>
      </c>
      <c r="G597" s="370">
        <v>124</v>
      </c>
      <c r="H597" s="148" t="s">
        <v>259</v>
      </c>
    </row>
    <row r="598" spans="2:8" ht="15" customHeight="1">
      <c r="B598" s="148" t="s">
        <v>991</v>
      </c>
      <c r="C598" s="369" t="s">
        <v>634</v>
      </c>
      <c r="D598" s="369" t="s">
        <v>240</v>
      </c>
      <c r="E598" s="369" t="s">
        <v>521</v>
      </c>
      <c r="F598" s="369" t="s">
        <v>186</v>
      </c>
      <c r="G598" s="370">
        <v>108</v>
      </c>
      <c r="H598" s="148" t="s">
        <v>259</v>
      </c>
    </row>
    <row r="599" spans="2:8" ht="15" customHeight="1">
      <c r="B599" s="148" t="s">
        <v>992</v>
      </c>
      <c r="C599" s="369" t="s">
        <v>634</v>
      </c>
      <c r="D599" s="369" t="s">
        <v>241</v>
      </c>
      <c r="E599" s="369" t="s">
        <v>528</v>
      </c>
      <c r="F599" s="369" t="s">
        <v>186</v>
      </c>
      <c r="G599" s="370">
        <v>157</v>
      </c>
      <c r="H599" s="148" t="s">
        <v>259</v>
      </c>
    </row>
    <row r="600" spans="2:8" ht="15" customHeight="1">
      <c r="B600" s="148" t="s">
        <v>993</v>
      </c>
      <c r="C600" s="369" t="s">
        <v>634</v>
      </c>
      <c r="D600" s="369" t="s">
        <v>242</v>
      </c>
      <c r="E600" s="369" t="s">
        <v>530</v>
      </c>
      <c r="F600" s="369" t="s">
        <v>186</v>
      </c>
      <c r="G600" s="370">
        <v>166</v>
      </c>
      <c r="H600" s="148" t="s">
        <v>259</v>
      </c>
    </row>
    <row r="601" spans="2:8" ht="15" customHeight="1">
      <c r="B601" s="148" t="s">
        <v>994</v>
      </c>
      <c r="C601" s="369" t="s">
        <v>634</v>
      </c>
      <c r="D601" s="369" t="s">
        <v>243</v>
      </c>
      <c r="E601" s="369" t="s">
        <v>526</v>
      </c>
      <c r="F601" s="369" t="s">
        <v>186</v>
      </c>
      <c r="G601" s="370">
        <v>148</v>
      </c>
      <c r="H601" s="148" t="s">
        <v>259</v>
      </c>
    </row>
    <row r="602" spans="2:8" ht="15" customHeight="1">
      <c r="B602" s="148" t="s">
        <v>995</v>
      </c>
      <c r="C602" s="369" t="s">
        <v>640</v>
      </c>
      <c r="D602" s="369" t="s">
        <v>239</v>
      </c>
      <c r="E602" s="369" t="s">
        <v>524</v>
      </c>
      <c r="F602" s="369" t="s">
        <v>186</v>
      </c>
      <c r="G602" s="370">
        <v>172</v>
      </c>
      <c r="H602" s="148" t="s">
        <v>259</v>
      </c>
    </row>
    <row r="603" spans="2:8" ht="15" customHeight="1">
      <c r="B603" s="148" t="s">
        <v>996</v>
      </c>
      <c r="C603" s="369" t="s">
        <v>640</v>
      </c>
      <c r="D603" s="369" t="s">
        <v>240</v>
      </c>
      <c r="E603" s="369" t="s">
        <v>521</v>
      </c>
      <c r="F603" s="369" t="s">
        <v>186</v>
      </c>
      <c r="G603" s="370">
        <v>166</v>
      </c>
      <c r="H603" s="148" t="s">
        <v>259</v>
      </c>
    </row>
    <row r="604" spans="2:8" ht="15" customHeight="1">
      <c r="B604" s="148" t="s">
        <v>997</v>
      </c>
      <c r="C604" s="369" t="s">
        <v>640</v>
      </c>
      <c r="D604" s="369" t="s">
        <v>241</v>
      </c>
      <c r="E604" s="369" t="s">
        <v>528</v>
      </c>
      <c r="F604" s="369" t="s">
        <v>186</v>
      </c>
      <c r="G604" s="370">
        <v>207</v>
      </c>
      <c r="H604" s="148" t="s">
        <v>259</v>
      </c>
    </row>
    <row r="605" spans="2:8" ht="15" customHeight="1">
      <c r="B605" s="148" t="s">
        <v>998</v>
      </c>
      <c r="C605" s="369" t="s">
        <v>640</v>
      </c>
      <c r="D605" s="369" t="s">
        <v>242</v>
      </c>
      <c r="E605" s="369" t="s">
        <v>530</v>
      </c>
      <c r="F605" s="369" t="s">
        <v>186</v>
      </c>
      <c r="G605" s="370">
        <v>230</v>
      </c>
      <c r="H605" s="148" t="s">
        <v>259</v>
      </c>
    </row>
    <row r="606" spans="2:8" ht="15" customHeight="1">
      <c r="B606" s="148" t="s">
        <v>999</v>
      </c>
      <c r="C606" s="369" t="s">
        <v>640</v>
      </c>
      <c r="D606" s="369" t="s">
        <v>243</v>
      </c>
      <c r="E606" s="369" t="s">
        <v>526</v>
      </c>
      <c r="F606" s="369" t="s">
        <v>186</v>
      </c>
      <c r="G606" s="370">
        <v>195</v>
      </c>
      <c r="H606" s="148" t="s">
        <v>259</v>
      </c>
    </row>
    <row r="607" spans="2:8" ht="15" customHeight="1">
      <c r="B607" s="148" t="s">
        <v>1000</v>
      </c>
      <c r="C607" s="369" t="s">
        <v>646</v>
      </c>
      <c r="D607" s="369" t="s">
        <v>239</v>
      </c>
      <c r="E607" s="369" t="s">
        <v>524</v>
      </c>
      <c r="F607" s="369" t="s">
        <v>186</v>
      </c>
      <c r="G607" s="370">
        <v>147</v>
      </c>
      <c r="H607" s="148" t="s">
        <v>259</v>
      </c>
    </row>
    <row r="608" spans="2:8" ht="15" customHeight="1">
      <c r="B608" s="148" t="s">
        <v>1001</v>
      </c>
      <c r="C608" s="369" t="s">
        <v>646</v>
      </c>
      <c r="D608" s="369" t="s">
        <v>240</v>
      </c>
      <c r="E608" s="369" t="s">
        <v>521</v>
      </c>
      <c r="F608" s="369" t="s">
        <v>186</v>
      </c>
      <c r="G608" s="370">
        <v>124</v>
      </c>
      <c r="H608" s="148" t="s">
        <v>259</v>
      </c>
    </row>
    <row r="609" spans="2:8" ht="15" customHeight="1">
      <c r="B609" s="148" t="s">
        <v>1002</v>
      </c>
      <c r="C609" s="369" t="s">
        <v>646</v>
      </c>
      <c r="D609" s="369" t="s">
        <v>241</v>
      </c>
      <c r="E609" s="369" t="s">
        <v>528</v>
      </c>
      <c r="F609" s="369" t="s">
        <v>186</v>
      </c>
      <c r="G609" s="370">
        <v>177</v>
      </c>
      <c r="H609" s="148" t="s">
        <v>259</v>
      </c>
    </row>
    <row r="610" spans="2:8" ht="15" customHeight="1">
      <c r="B610" s="148" t="s">
        <v>1003</v>
      </c>
      <c r="C610" s="369" t="s">
        <v>646</v>
      </c>
      <c r="D610" s="369" t="s">
        <v>242</v>
      </c>
      <c r="E610" s="369" t="s">
        <v>530</v>
      </c>
      <c r="F610" s="369" t="s">
        <v>186</v>
      </c>
      <c r="G610" s="370">
        <v>189</v>
      </c>
      <c r="H610" s="148" t="s">
        <v>259</v>
      </c>
    </row>
    <row r="611" spans="2:8" ht="15" customHeight="1">
      <c r="B611" s="148" t="s">
        <v>1004</v>
      </c>
      <c r="C611" s="369" t="s">
        <v>646</v>
      </c>
      <c r="D611" s="369" t="s">
        <v>243</v>
      </c>
      <c r="E611" s="369" t="s">
        <v>526</v>
      </c>
      <c r="F611" s="369" t="s">
        <v>186</v>
      </c>
      <c r="G611" s="370">
        <v>170</v>
      </c>
      <c r="H611" s="148" t="s">
        <v>259</v>
      </c>
    </row>
    <row r="612" spans="2:8" ht="15" customHeight="1">
      <c r="B612" s="148" t="s">
        <v>1005</v>
      </c>
      <c r="C612" s="369" t="s">
        <v>652</v>
      </c>
      <c r="D612" s="369" t="s">
        <v>239</v>
      </c>
      <c r="E612" s="369" t="s">
        <v>524</v>
      </c>
      <c r="F612" s="369" t="s">
        <v>186</v>
      </c>
      <c r="G612" s="370">
        <v>126</v>
      </c>
      <c r="H612" s="148" t="s">
        <v>259</v>
      </c>
    </row>
    <row r="613" spans="2:8" ht="15" customHeight="1">
      <c r="B613" s="148" t="s">
        <v>1006</v>
      </c>
      <c r="C613" s="369" t="s">
        <v>652</v>
      </c>
      <c r="D613" s="369" t="s">
        <v>240</v>
      </c>
      <c r="E613" s="369" t="s">
        <v>521</v>
      </c>
      <c r="F613" s="369" t="s">
        <v>186</v>
      </c>
      <c r="G613" s="370">
        <v>122</v>
      </c>
      <c r="H613" s="148" t="s">
        <v>259</v>
      </c>
    </row>
    <row r="614" spans="2:8" ht="15" customHeight="1">
      <c r="B614" s="148" t="s">
        <v>1007</v>
      </c>
      <c r="C614" s="369" t="s">
        <v>652</v>
      </c>
      <c r="D614" s="369" t="s">
        <v>241</v>
      </c>
      <c r="E614" s="369" t="s">
        <v>528</v>
      </c>
      <c r="F614" s="369" t="s">
        <v>186</v>
      </c>
      <c r="G614" s="370">
        <v>170</v>
      </c>
      <c r="H614" s="148" t="s">
        <v>259</v>
      </c>
    </row>
    <row r="615" spans="2:8" ht="15" customHeight="1">
      <c r="B615" s="148" t="s">
        <v>1008</v>
      </c>
      <c r="C615" s="369" t="s">
        <v>652</v>
      </c>
      <c r="D615" s="369" t="s">
        <v>242</v>
      </c>
      <c r="E615" s="369" t="s">
        <v>530</v>
      </c>
      <c r="F615" s="369" t="s">
        <v>186</v>
      </c>
      <c r="G615" s="370">
        <v>187</v>
      </c>
      <c r="H615" s="148" t="s">
        <v>259</v>
      </c>
    </row>
    <row r="616" spans="2:8" ht="15" customHeight="1">
      <c r="B616" s="148" t="s">
        <v>1009</v>
      </c>
      <c r="C616" s="369" t="s">
        <v>652</v>
      </c>
      <c r="D616" s="369" t="s">
        <v>243</v>
      </c>
      <c r="E616" s="369" t="s">
        <v>526</v>
      </c>
      <c r="F616" s="369" t="s">
        <v>186</v>
      </c>
      <c r="G616" s="370">
        <v>155</v>
      </c>
      <c r="H616" s="148" t="s">
        <v>259</v>
      </c>
    </row>
    <row r="617" spans="2:8" ht="15" customHeight="1">
      <c r="B617" s="148" t="s">
        <v>1010</v>
      </c>
      <c r="C617" s="369" t="s">
        <v>658</v>
      </c>
      <c r="D617" s="369" t="s">
        <v>239</v>
      </c>
      <c r="E617" s="369" t="s">
        <v>524</v>
      </c>
      <c r="F617" s="369" t="s">
        <v>186</v>
      </c>
      <c r="G617" s="370">
        <v>120</v>
      </c>
      <c r="H617" s="148" t="s">
        <v>259</v>
      </c>
    </row>
    <row r="618" spans="2:8" ht="15" customHeight="1">
      <c r="B618" s="148" t="s">
        <v>1011</v>
      </c>
      <c r="C618" s="369" t="s">
        <v>658</v>
      </c>
      <c r="D618" s="369" t="s">
        <v>240</v>
      </c>
      <c r="E618" s="369" t="s">
        <v>521</v>
      </c>
      <c r="F618" s="369" t="s">
        <v>186</v>
      </c>
      <c r="G618" s="370">
        <v>108</v>
      </c>
      <c r="H618" s="148" t="s">
        <v>259</v>
      </c>
    </row>
    <row r="619" spans="2:8" ht="15" customHeight="1">
      <c r="B619" s="148" t="s">
        <v>1012</v>
      </c>
      <c r="C619" s="369" t="s">
        <v>658</v>
      </c>
      <c r="D619" s="369" t="s">
        <v>241</v>
      </c>
      <c r="E619" s="369" t="s">
        <v>528</v>
      </c>
      <c r="F619" s="369" t="s">
        <v>186</v>
      </c>
      <c r="G619" s="370">
        <v>146</v>
      </c>
      <c r="H619" s="148" t="s">
        <v>259</v>
      </c>
    </row>
    <row r="620" spans="2:8" ht="15" customHeight="1">
      <c r="B620" s="148" t="s">
        <v>1013</v>
      </c>
      <c r="C620" s="369" t="s">
        <v>658</v>
      </c>
      <c r="D620" s="369" t="s">
        <v>242</v>
      </c>
      <c r="E620" s="369" t="s">
        <v>530</v>
      </c>
      <c r="F620" s="369" t="s">
        <v>186</v>
      </c>
      <c r="G620" s="370">
        <v>158</v>
      </c>
      <c r="H620" s="148" t="s">
        <v>259</v>
      </c>
    </row>
    <row r="621" spans="2:8" ht="15" customHeight="1">
      <c r="B621" s="148" t="s">
        <v>1014</v>
      </c>
      <c r="C621" s="369" t="s">
        <v>658</v>
      </c>
      <c r="D621" s="369" t="s">
        <v>243</v>
      </c>
      <c r="E621" s="369" t="s">
        <v>526</v>
      </c>
      <c r="F621" s="369" t="s">
        <v>186</v>
      </c>
      <c r="G621" s="370">
        <v>142</v>
      </c>
      <c r="H621" s="148" t="s">
        <v>259</v>
      </c>
    </row>
    <row r="622" spans="2:8" ht="15" customHeight="1">
      <c r="B622" s="148" t="s">
        <v>1015</v>
      </c>
      <c r="C622" s="369" t="s">
        <v>664</v>
      </c>
      <c r="D622" s="369" t="s">
        <v>239</v>
      </c>
      <c r="E622" s="369" t="s">
        <v>524</v>
      </c>
      <c r="F622" s="369" t="s">
        <v>186</v>
      </c>
      <c r="G622" s="370">
        <v>121</v>
      </c>
      <c r="H622" s="148" t="s">
        <v>259</v>
      </c>
    </row>
    <row r="623" spans="2:8" ht="15" customHeight="1">
      <c r="B623" s="148" t="s">
        <v>1016</v>
      </c>
      <c r="C623" s="369" t="s">
        <v>664</v>
      </c>
      <c r="D623" s="369" t="s">
        <v>240</v>
      </c>
      <c r="E623" s="369" t="s">
        <v>521</v>
      </c>
      <c r="F623" s="369" t="s">
        <v>186</v>
      </c>
      <c r="G623" s="370">
        <v>106</v>
      </c>
      <c r="H623" s="148" t="s">
        <v>259</v>
      </c>
    </row>
    <row r="624" spans="2:8" ht="15" customHeight="1">
      <c r="B624" s="148" t="s">
        <v>1017</v>
      </c>
      <c r="C624" s="369" t="s">
        <v>664</v>
      </c>
      <c r="D624" s="369" t="s">
        <v>241</v>
      </c>
      <c r="E624" s="369" t="s">
        <v>528</v>
      </c>
      <c r="F624" s="369" t="s">
        <v>186</v>
      </c>
      <c r="G624" s="370">
        <v>145</v>
      </c>
      <c r="H624" s="148" t="s">
        <v>259</v>
      </c>
    </row>
    <row r="625" spans="2:8" ht="15" customHeight="1">
      <c r="B625" s="148" t="s">
        <v>1018</v>
      </c>
      <c r="C625" s="369" t="s">
        <v>664</v>
      </c>
      <c r="D625" s="369" t="s">
        <v>242</v>
      </c>
      <c r="E625" s="369" t="s">
        <v>530</v>
      </c>
      <c r="F625" s="369" t="s">
        <v>186</v>
      </c>
      <c r="G625" s="370">
        <v>167</v>
      </c>
      <c r="H625" s="148" t="s">
        <v>259</v>
      </c>
    </row>
    <row r="626" spans="2:8" ht="15" customHeight="1">
      <c r="B626" s="148" t="s">
        <v>1019</v>
      </c>
      <c r="C626" s="369" t="s">
        <v>664</v>
      </c>
      <c r="D626" s="369" t="s">
        <v>243</v>
      </c>
      <c r="E626" s="369" t="s">
        <v>526</v>
      </c>
      <c r="F626" s="369" t="s">
        <v>186</v>
      </c>
      <c r="G626" s="370">
        <v>133</v>
      </c>
      <c r="H626" s="148" t="s">
        <v>259</v>
      </c>
    </row>
    <row r="627" spans="2:8" ht="15" customHeight="1">
      <c r="B627" s="148" t="s">
        <v>1020</v>
      </c>
      <c r="C627" s="369" t="s">
        <v>670</v>
      </c>
      <c r="D627" s="369" t="s">
        <v>384</v>
      </c>
      <c r="E627" s="369" t="s">
        <v>591</v>
      </c>
      <c r="F627" s="369" t="s">
        <v>186</v>
      </c>
      <c r="G627" s="370">
        <v>273</v>
      </c>
      <c r="H627" s="148" t="s">
        <v>261</v>
      </c>
    </row>
    <row r="628" spans="2:8" ht="15" customHeight="1">
      <c r="B628" s="148" t="s">
        <v>1021</v>
      </c>
      <c r="C628" s="369" t="s">
        <v>670</v>
      </c>
      <c r="D628" s="369" t="s">
        <v>368</v>
      </c>
      <c r="E628" s="369" t="s">
        <v>593</v>
      </c>
      <c r="F628" s="369" t="s">
        <v>186</v>
      </c>
      <c r="G628" s="370">
        <v>273</v>
      </c>
      <c r="H628" s="148" t="s">
        <v>261</v>
      </c>
    </row>
    <row r="629" spans="2:8" ht="15" customHeight="1">
      <c r="B629" s="148" t="s">
        <v>1022</v>
      </c>
      <c r="C629" s="369" t="s">
        <v>670</v>
      </c>
      <c r="D629" s="369" t="s">
        <v>376</v>
      </c>
      <c r="E629" s="369" t="s">
        <v>595</v>
      </c>
      <c r="F629" s="369" t="s">
        <v>186</v>
      </c>
      <c r="G629" s="370">
        <v>541</v>
      </c>
      <c r="H629" s="148" t="s">
        <v>261</v>
      </c>
    </row>
    <row r="630" spans="2:8" ht="15" customHeight="1">
      <c r="B630" s="148" t="s">
        <v>1023</v>
      </c>
      <c r="C630" s="369" t="s">
        <v>813</v>
      </c>
      <c r="D630" s="369" t="s">
        <v>357</v>
      </c>
      <c r="E630" s="369" t="s">
        <v>597</v>
      </c>
      <c r="F630" s="369" t="s">
        <v>184</v>
      </c>
      <c r="G630" s="370">
        <v>391</v>
      </c>
      <c r="H630" s="148" t="s">
        <v>261</v>
      </c>
    </row>
    <row r="631" spans="2:8" ht="15" customHeight="1">
      <c r="B631" s="148" t="s">
        <v>1024</v>
      </c>
      <c r="C631" s="369" t="s">
        <v>670</v>
      </c>
      <c r="D631" s="369" t="s">
        <v>242</v>
      </c>
      <c r="E631" s="369" t="s">
        <v>599</v>
      </c>
      <c r="F631" s="369" t="s">
        <v>186</v>
      </c>
      <c r="G631" s="370">
        <v>730</v>
      </c>
      <c r="H631" s="148" t="s">
        <v>261</v>
      </c>
    </row>
    <row r="632" spans="2:8" ht="15" customHeight="1">
      <c r="B632" s="148" t="s">
        <v>1025</v>
      </c>
      <c r="C632" s="369" t="s">
        <v>670</v>
      </c>
      <c r="D632" s="369" t="s">
        <v>364</v>
      </c>
      <c r="E632" s="369" t="s">
        <v>601</v>
      </c>
      <c r="F632" s="369" t="s">
        <v>186</v>
      </c>
      <c r="G632" s="370">
        <v>404</v>
      </c>
      <c r="H632" s="148" t="s">
        <v>261</v>
      </c>
    </row>
    <row r="633" spans="2:8" ht="15" customHeight="1">
      <c r="B633" s="148" t="s">
        <v>1026</v>
      </c>
      <c r="C633" s="369" t="s">
        <v>670</v>
      </c>
      <c r="D633" s="369" t="s">
        <v>361</v>
      </c>
      <c r="E633" s="369" t="s">
        <v>603</v>
      </c>
      <c r="F633" s="369" t="s">
        <v>186</v>
      </c>
      <c r="G633" s="370">
        <v>675</v>
      </c>
      <c r="H633" s="148" t="s">
        <v>261</v>
      </c>
    </row>
    <row r="634" spans="2:8" ht="15" customHeight="1">
      <c r="B634" s="148" t="s">
        <v>1027</v>
      </c>
      <c r="C634" s="369" t="s">
        <v>678</v>
      </c>
      <c r="D634" s="369" t="s">
        <v>239</v>
      </c>
      <c r="E634" s="369" t="s">
        <v>524</v>
      </c>
      <c r="F634" s="369" t="s">
        <v>186</v>
      </c>
      <c r="G634" s="370">
        <v>166</v>
      </c>
      <c r="H634" s="148" t="s">
        <v>259</v>
      </c>
    </row>
    <row r="635" spans="2:8" ht="15" customHeight="1">
      <c r="B635" s="148" t="s">
        <v>1028</v>
      </c>
      <c r="C635" s="369" t="s">
        <v>678</v>
      </c>
      <c r="D635" s="369" t="s">
        <v>240</v>
      </c>
      <c r="E635" s="369" t="s">
        <v>521</v>
      </c>
      <c r="F635" s="369" t="s">
        <v>186</v>
      </c>
      <c r="G635" s="370">
        <v>150</v>
      </c>
      <c r="H635" s="148" t="s">
        <v>259</v>
      </c>
    </row>
    <row r="636" spans="2:8" ht="15" customHeight="1">
      <c r="B636" s="148" t="s">
        <v>1029</v>
      </c>
      <c r="C636" s="369" t="s">
        <v>678</v>
      </c>
      <c r="D636" s="369" t="s">
        <v>241</v>
      </c>
      <c r="E636" s="369" t="s">
        <v>528</v>
      </c>
      <c r="F636" s="369" t="s">
        <v>186</v>
      </c>
      <c r="G636" s="370">
        <v>189</v>
      </c>
      <c r="H636" s="148" t="s">
        <v>259</v>
      </c>
    </row>
    <row r="637" spans="2:8" ht="15" customHeight="1">
      <c r="B637" s="148" t="s">
        <v>1030</v>
      </c>
      <c r="C637" s="369" t="s">
        <v>678</v>
      </c>
      <c r="D637" s="369" t="s">
        <v>242</v>
      </c>
      <c r="E637" s="369" t="s">
        <v>530</v>
      </c>
      <c r="F637" s="369" t="s">
        <v>186</v>
      </c>
      <c r="G637" s="370">
        <v>201</v>
      </c>
      <c r="H637" s="148" t="s">
        <v>259</v>
      </c>
    </row>
    <row r="638" spans="2:8" ht="15" customHeight="1">
      <c r="B638" s="148" t="s">
        <v>1031</v>
      </c>
      <c r="C638" s="369" t="s">
        <v>678</v>
      </c>
      <c r="D638" s="369" t="s">
        <v>243</v>
      </c>
      <c r="E638" s="369" t="s">
        <v>526</v>
      </c>
      <c r="F638" s="369" t="s">
        <v>186</v>
      </c>
      <c r="G638" s="370">
        <v>178</v>
      </c>
      <c r="H638" s="148" t="s">
        <v>259</v>
      </c>
    </row>
    <row r="639" spans="2:8" ht="15" customHeight="1">
      <c r="B639" s="148" t="s">
        <v>1032</v>
      </c>
      <c r="C639" s="369" t="s">
        <v>684</v>
      </c>
      <c r="D639" s="369" t="s">
        <v>239</v>
      </c>
      <c r="E639" s="369" t="s">
        <v>524</v>
      </c>
      <c r="F639" s="369" t="s">
        <v>186</v>
      </c>
      <c r="G639" s="370">
        <v>109</v>
      </c>
      <c r="H639" s="148" t="s">
        <v>259</v>
      </c>
    </row>
    <row r="640" spans="2:8" ht="15" customHeight="1">
      <c r="B640" s="148" t="s">
        <v>1033</v>
      </c>
      <c r="C640" s="369" t="s">
        <v>684</v>
      </c>
      <c r="D640" s="369" t="s">
        <v>240</v>
      </c>
      <c r="E640" s="369" t="s">
        <v>521</v>
      </c>
      <c r="F640" s="369" t="s">
        <v>186</v>
      </c>
      <c r="G640" s="370">
        <v>86</v>
      </c>
      <c r="H640" s="148" t="s">
        <v>259</v>
      </c>
    </row>
    <row r="641" spans="2:8" ht="15" customHeight="1">
      <c r="B641" s="148" t="s">
        <v>1034</v>
      </c>
      <c r="C641" s="369" t="s">
        <v>684</v>
      </c>
      <c r="D641" s="369" t="s">
        <v>241</v>
      </c>
      <c r="E641" s="369" t="s">
        <v>528</v>
      </c>
      <c r="F641" s="369" t="s">
        <v>186</v>
      </c>
      <c r="G641" s="370">
        <v>132</v>
      </c>
      <c r="H641" s="148" t="s">
        <v>259</v>
      </c>
    </row>
    <row r="642" spans="2:8" ht="15" customHeight="1">
      <c r="B642" s="148" t="s">
        <v>1035</v>
      </c>
      <c r="C642" s="369" t="s">
        <v>684</v>
      </c>
      <c r="D642" s="369" t="s">
        <v>242</v>
      </c>
      <c r="E642" s="369" t="s">
        <v>530</v>
      </c>
      <c r="F642" s="369" t="s">
        <v>186</v>
      </c>
      <c r="G642" s="370">
        <v>166</v>
      </c>
      <c r="H642" s="148" t="s">
        <v>259</v>
      </c>
    </row>
    <row r="643" spans="2:8" ht="15" customHeight="1">
      <c r="B643" s="148" t="s">
        <v>1036</v>
      </c>
      <c r="C643" s="369" t="s">
        <v>684</v>
      </c>
      <c r="D643" s="369" t="s">
        <v>243</v>
      </c>
      <c r="E643" s="369" t="s">
        <v>526</v>
      </c>
      <c r="F643" s="369" t="s">
        <v>186</v>
      </c>
      <c r="G643" s="370">
        <v>120</v>
      </c>
      <c r="H643" s="148" t="s">
        <v>259</v>
      </c>
    </row>
    <row r="644" spans="2:8" ht="15" customHeight="1">
      <c r="B644" s="148" t="s">
        <v>1037</v>
      </c>
      <c r="C644" s="369" t="s">
        <v>690</v>
      </c>
      <c r="D644" s="369" t="s">
        <v>239</v>
      </c>
      <c r="E644" s="369" t="s">
        <v>524</v>
      </c>
      <c r="F644" s="369" t="s">
        <v>186</v>
      </c>
      <c r="G644" s="370">
        <v>124</v>
      </c>
      <c r="H644" s="148" t="s">
        <v>259</v>
      </c>
    </row>
    <row r="645" spans="2:8" ht="15" customHeight="1">
      <c r="B645" s="148" t="s">
        <v>1038</v>
      </c>
      <c r="C645" s="369" t="s">
        <v>690</v>
      </c>
      <c r="D645" s="369" t="s">
        <v>240</v>
      </c>
      <c r="E645" s="369" t="s">
        <v>521</v>
      </c>
      <c r="F645" s="369" t="s">
        <v>186</v>
      </c>
      <c r="G645" s="370">
        <v>108</v>
      </c>
      <c r="H645" s="148" t="s">
        <v>259</v>
      </c>
    </row>
    <row r="646" spans="2:8" ht="15" customHeight="1">
      <c r="B646" s="148" t="s">
        <v>1039</v>
      </c>
      <c r="C646" s="369" t="s">
        <v>690</v>
      </c>
      <c r="D646" s="369" t="s">
        <v>241</v>
      </c>
      <c r="E646" s="369" t="s">
        <v>528</v>
      </c>
      <c r="F646" s="369" t="s">
        <v>186</v>
      </c>
      <c r="G646" s="370">
        <v>153</v>
      </c>
      <c r="H646" s="148" t="s">
        <v>259</v>
      </c>
    </row>
    <row r="647" spans="2:8" ht="15" customHeight="1">
      <c r="B647" s="148" t="s">
        <v>1040</v>
      </c>
      <c r="C647" s="369" t="s">
        <v>690</v>
      </c>
      <c r="D647" s="369" t="s">
        <v>242</v>
      </c>
      <c r="E647" s="369" t="s">
        <v>530</v>
      </c>
      <c r="F647" s="369" t="s">
        <v>186</v>
      </c>
      <c r="G647" s="370">
        <v>166</v>
      </c>
      <c r="H647" s="148" t="s">
        <v>259</v>
      </c>
    </row>
    <row r="648" spans="2:8" ht="15" customHeight="1">
      <c r="B648" s="148" t="s">
        <v>1041</v>
      </c>
      <c r="C648" s="369" t="s">
        <v>690</v>
      </c>
      <c r="D648" s="369" t="s">
        <v>243</v>
      </c>
      <c r="E648" s="369" t="s">
        <v>526</v>
      </c>
      <c r="F648" s="369" t="s">
        <v>186</v>
      </c>
      <c r="G648" s="370">
        <v>132</v>
      </c>
      <c r="H648" s="148" t="s">
        <v>259</v>
      </c>
    </row>
    <row r="649" spans="2:8" ht="15" customHeight="1">
      <c r="B649" s="148" t="s">
        <v>1042</v>
      </c>
      <c r="C649" s="369" t="s">
        <v>696</v>
      </c>
      <c r="D649" s="369" t="s">
        <v>239</v>
      </c>
      <c r="E649" s="369" t="s">
        <v>524</v>
      </c>
      <c r="F649" s="369" t="s">
        <v>186</v>
      </c>
      <c r="G649" s="370">
        <v>128</v>
      </c>
      <c r="H649" s="148" t="s">
        <v>259</v>
      </c>
    </row>
    <row r="650" spans="2:8" ht="15" customHeight="1">
      <c r="B650" s="148" t="s">
        <v>1043</v>
      </c>
      <c r="C650" s="369" t="s">
        <v>696</v>
      </c>
      <c r="D650" s="369" t="s">
        <v>240</v>
      </c>
      <c r="E650" s="369" t="s">
        <v>521</v>
      </c>
      <c r="F650" s="369" t="s">
        <v>186</v>
      </c>
      <c r="G650" s="370">
        <v>108</v>
      </c>
      <c r="H650" s="148" t="s">
        <v>259</v>
      </c>
    </row>
    <row r="651" spans="2:8" ht="15" customHeight="1">
      <c r="B651" s="148" t="s">
        <v>1044</v>
      </c>
      <c r="C651" s="369" t="s">
        <v>696</v>
      </c>
      <c r="D651" s="369" t="s">
        <v>241</v>
      </c>
      <c r="E651" s="369" t="s">
        <v>528</v>
      </c>
      <c r="F651" s="369" t="s">
        <v>186</v>
      </c>
      <c r="G651" s="370">
        <v>176</v>
      </c>
      <c r="H651" s="148" t="s">
        <v>259</v>
      </c>
    </row>
    <row r="652" spans="2:8" ht="15" customHeight="1">
      <c r="B652" s="148" t="s">
        <v>1045</v>
      </c>
      <c r="C652" s="369" t="s">
        <v>696</v>
      </c>
      <c r="D652" s="369" t="s">
        <v>242</v>
      </c>
      <c r="E652" s="369" t="s">
        <v>530</v>
      </c>
      <c r="F652" s="369" t="s">
        <v>186</v>
      </c>
      <c r="G652" s="370">
        <v>195</v>
      </c>
      <c r="H652" s="148" t="s">
        <v>259</v>
      </c>
    </row>
    <row r="653" spans="2:8" ht="15" customHeight="1">
      <c r="B653" s="148" t="s">
        <v>1046</v>
      </c>
      <c r="C653" s="369" t="s">
        <v>696</v>
      </c>
      <c r="D653" s="369" t="s">
        <v>243</v>
      </c>
      <c r="E653" s="369" t="s">
        <v>526</v>
      </c>
      <c r="F653" s="369" t="s">
        <v>186</v>
      </c>
      <c r="G653" s="370">
        <v>151</v>
      </c>
      <c r="H653" s="148" t="s">
        <v>259</v>
      </c>
    </row>
    <row r="654" spans="2:8" ht="15" customHeight="1">
      <c r="B654" s="148" t="s">
        <v>1047</v>
      </c>
      <c r="C654" s="369" t="s">
        <v>702</v>
      </c>
      <c r="D654" s="369" t="s">
        <v>239</v>
      </c>
      <c r="E654" s="369" t="s">
        <v>524</v>
      </c>
      <c r="F654" s="369" t="s">
        <v>186</v>
      </c>
      <c r="G654" s="370">
        <v>189</v>
      </c>
      <c r="H654" s="148" t="s">
        <v>259</v>
      </c>
    </row>
    <row r="655" spans="2:8" ht="15" customHeight="1">
      <c r="B655" s="148" t="s">
        <v>1048</v>
      </c>
      <c r="C655" s="369" t="s">
        <v>702</v>
      </c>
      <c r="D655" s="369" t="s">
        <v>240</v>
      </c>
      <c r="E655" s="369" t="s">
        <v>521</v>
      </c>
      <c r="F655" s="369" t="s">
        <v>186</v>
      </c>
      <c r="G655" s="370">
        <v>153</v>
      </c>
      <c r="H655" s="148" t="s">
        <v>259</v>
      </c>
    </row>
    <row r="656" spans="2:8" ht="15" customHeight="1">
      <c r="B656" s="148" t="s">
        <v>1049</v>
      </c>
      <c r="C656" s="369" t="s">
        <v>702</v>
      </c>
      <c r="D656" s="369" t="s">
        <v>241</v>
      </c>
      <c r="E656" s="369" t="s">
        <v>528</v>
      </c>
      <c r="F656" s="369" t="s">
        <v>186</v>
      </c>
      <c r="G656" s="370">
        <v>258</v>
      </c>
      <c r="H656" s="148" t="s">
        <v>259</v>
      </c>
    </row>
    <row r="657" spans="2:8" ht="15" customHeight="1">
      <c r="B657" s="148" t="s">
        <v>1050</v>
      </c>
      <c r="C657" s="369" t="s">
        <v>702</v>
      </c>
      <c r="D657" s="369" t="s">
        <v>242</v>
      </c>
      <c r="E657" s="369" t="s">
        <v>530</v>
      </c>
      <c r="F657" s="369" t="s">
        <v>186</v>
      </c>
      <c r="G657" s="370">
        <v>316</v>
      </c>
      <c r="H657" s="148" t="s">
        <v>259</v>
      </c>
    </row>
    <row r="658" spans="2:8" ht="15" customHeight="1">
      <c r="B658" s="148" t="s">
        <v>1051</v>
      </c>
      <c r="C658" s="369" t="s">
        <v>702</v>
      </c>
      <c r="D658" s="369" t="s">
        <v>243</v>
      </c>
      <c r="E658" s="369" t="s">
        <v>526</v>
      </c>
      <c r="F658" s="369" t="s">
        <v>186</v>
      </c>
      <c r="G658" s="370">
        <v>227</v>
      </c>
      <c r="H658" s="148" t="s">
        <v>259</v>
      </c>
    </row>
    <row r="659" spans="2:8" ht="15" customHeight="1">
      <c r="B659" s="148" t="s">
        <v>1052</v>
      </c>
      <c r="C659" s="369" t="s">
        <v>708</v>
      </c>
      <c r="D659" s="369" t="s">
        <v>239</v>
      </c>
      <c r="E659" s="369" t="s">
        <v>524</v>
      </c>
      <c r="F659" s="369" t="s">
        <v>186</v>
      </c>
      <c r="G659" s="370">
        <v>164</v>
      </c>
      <c r="H659" s="148" t="s">
        <v>259</v>
      </c>
    </row>
    <row r="660" spans="2:8" ht="15" customHeight="1">
      <c r="B660" s="148" t="s">
        <v>1053</v>
      </c>
      <c r="C660" s="369" t="s">
        <v>708</v>
      </c>
      <c r="D660" s="369" t="s">
        <v>240</v>
      </c>
      <c r="E660" s="369" t="s">
        <v>521</v>
      </c>
      <c r="F660" s="369" t="s">
        <v>186</v>
      </c>
      <c r="G660" s="370">
        <v>143</v>
      </c>
      <c r="H660" s="148" t="s">
        <v>259</v>
      </c>
    </row>
    <row r="661" spans="2:8" ht="15" customHeight="1">
      <c r="B661" s="148" t="s">
        <v>1054</v>
      </c>
      <c r="C661" s="369" t="s">
        <v>708</v>
      </c>
      <c r="D661" s="369" t="s">
        <v>241</v>
      </c>
      <c r="E661" s="369" t="s">
        <v>528</v>
      </c>
      <c r="F661" s="369" t="s">
        <v>186</v>
      </c>
      <c r="G661" s="370">
        <v>235</v>
      </c>
      <c r="H661" s="148" t="s">
        <v>259</v>
      </c>
    </row>
    <row r="662" spans="2:8" ht="15" customHeight="1">
      <c r="B662" s="148" t="s">
        <v>1055</v>
      </c>
      <c r="C662" s="369" t="s">
        <v>708</v>
      </c>
      <c r="D662" s="369" t="s">
        <v>242</v>
      </c>
      <c r="E662" s="369" t="s">
        <v>530</v>
      </c>
      <c r="F662" s="369" t="s">
        <v>186</v>
      </c>
      <c r="G662" s="370">
        <v>258</v>
      </c>
      <c r="H662" s="148" t="s">
        <v>259</v>
      </c>
    </row>
    <row r="663" spans="2:8" ht="15" customHeight="1">
      <c r="B663" s="148" t="s">
        <v>1056</v>
      </c>
      <c r="C663" s="369" t="s">
        <v>708</v>
      </c>
      <c r="D663" s="369" t="s">
        <v>243</v>
      </c>
      <c r="E663" s="369" t="s">
        <v>526</v>
      </c>
      <c r="F663" s="369" t="s">
        <v>186</v>
      </c>
      <c r="G663" s="370">
        <v>204</v>
      </c>
      <c r="H663" s="148" t="s">
        <v>259</v>
      </c>
    </row>
    <row r="664" spans="2:8" ht="15" customHeight="1">
      <c r="B664" s="148" t="s">
        <v>1057</v>
      </c>
      <c r="C664" s="369" t="s">
        <v>492</v>
      </c>
      <c r="D664" s="369" t="s">
        <v>384</v>
      </c>
      <c r="E664" s="369" t="s">
        <v>591</v>
      </c>
      <c r="F664" s="369" t="s">
        <v>186</v>
      </c>
      <c r="G664" s="370">
        <v>248</v>
      </c>
      <c r="H664" s="148" t="s">
        <v>261</v>
      </c>
    </row>
    <row r="665" spans="2:8" ht="15" customHeight="1">
      <c r="B665" s="148" t="s">
        <v>1058</v>
      </c>
      <c r="C665" s="369" t="s">
        <v>492</v>
      </c>
      <c r="D665" s="369" t="s">
        <v>368</v>
      </c>
      <c r="E665" s="369" t="s">
        <v>593</v>
      </c>
      <c r="F665" s="369" t="s">
        <v>186</v>
      </c>
      <c r="G665" s="370">
        <v>268</v>
      </c>
      <c r="H665" s="148" t="s">
        <v>261</v>
      </c>
    </row>
    <row r="666" spans="2:8" ht="15" customHeight="1">
      <c r="B666" s="148" t="s">
        <v>1059</v>
      </c>
      <c r="C666" s="369" t="s">
        <v>492</v>
      </c>
      <c r="D666" s="369" t="s">
        <v>376</v>
      </c>
      <c r="E666" s="369" t="s">
        <v>595</v>
      </c>
      <c r="F666" s="369" t="s">
        <v>186</v>
      </c>
      <c r="G666" s="370">
        <v>377</v>
      </c>
      <c r="H666" s="148" t="s">
        <v>261</v>
      </c>
    </row>
    <row r="667" spans="2:8" ht="15" customHeight="1">
      <c r="B667" s="148" t="s">
        <v>1060</v>
      </c>
      <c r="C667" s="369" t="s">
        <v>813</v>
      </c>
      <c r="D667" s="369" t="s">
        <v>357</v>
      </c>
      <c r="E667" s="369" t="s">
        <v>597</v>
      </c>
      <c r="F667" s="369" t="s">
        <v>186</v>
      </c>
      <c r="G667" s="370">
        <v>750</v>
      </c>
      <c r="H667" s="148" t="s">
        <v>261</v>
      </c>
    </row>
    <row r="668" spans="2:8" ht="15" customHeight="1">
      <c r="B668" s="148" t="s">
        <v>1061</v>
      </c>
      <c r="C668" s="369" t="s">
        <v>492</v>
      </c>
      <c r="D668" s="369" t="s">
        <v>242</v>
      </c>
      <c r="E668" s="369" t="s">
        <v>599</v>
      </c>
      <c r="F668" s="369" t="s">
        <v>186</v>
      </c>
      <c r="G668" s="370">
        <v>488</v>
      </c>
      <c r="H668" s="148" t="s">
        <v>261</v>
      </c>
    </row>
    <row r="669" spans="2:8" ht="15" customHeight="1">
      <c r="B669" s="148" t="s">
        <v>1062</v>
      </c>
      <c r="C669" s="369" t="s">
        <v>492</v>
      </c>
      <c r="D669" s="369" t="s">
        <v>364</v>
      </c>
      <c r="E669" s="369" t="s">
        <v>601</v>
      </c>
      <c r="F669" s="369" t="s">
        <v>186</v>
      </c>
      <c r="G669" s="370">
        <v>326</v>
      </c>
      <c r="H669" s="148" t="s">
        <v>261</v>
      </c>
    </row>
    <row r="670" spans="2:8" ht="15" customHeight="1">
      <c r="B670" s="148" t="s">
        <v>1063</v>
      </c>
      <c r="C670" s="369" t="s">
        <v>492</v>
      </c>
      <c r="D670" s="369" t="s">
        <v>361</v>
      </c>
      <c r="E670" s="369" t="s">
        <v>603</v>
      </c>
      <c r="F670" s="369" t="s">
        <v>186</v>
      </c>
      <c r="G670" s="370">
        <v>409</v>
      </c>
      <c r="H670" s="148" t="s">
        <v>261</v>
      </c>
    </row>
    <row r="671" spans="2:8" ht="15" customHeight="1">
      <c r="B671" s="148" t="s">
        <v>1064</v>
      </c>
      <c r="C671" s="369" t="s">
        <v>721</v>
      </c>
      <c r="D671" s="369" t="s">
        <v>239</v>
      </c>
      <c r="E671" s="369" t="s">
        <v>524</v>
      </c>
      <c r="F671" s="369" t="s">
        <v>186</v>
      </c>
      <c r="G671" s="370">
        <v>143</v>
      </c>
      <c r="H671" s="148" t="s">
        <v>259</v>
      </c>
    </row>
    <row r="672" spans="2:8" ht="15" customHeight="1">
      <c r="B672" s="148" t="s">
        <v>1065</v>
      </c>
      <c r="C672" s="369" t="s">
        <v>721</v>
      </c>
      <c r="D672" s="369" t="s">
        <v>240</v>
      </c>
      <c r="E672" s="369" t="s">
        <v>521</v>
      </c>
      <c r="F672" s="369" t="s">
        <v>186</v>
      </c>
      <c r="G672" s="370">
        <v>132</v>
      </c>
      <c r="H672" s="148" t="s">
        <v>259</v>
      </c>
    </row>
    <row r="673" spans="2:8" ht="15" customHeight="1">
      <c r="B673" s="148" t="s">
        <v>1066</v>
      </c>
      <c r="C673" s="369" t="s">
        <v>721</v>
      </c>
      <c r="D673" s="369" t="s">
        <v>241</v>
      </c>
      <c r="E673" s="369" t="s">
        <v>528</v>
      </c>
      <c r="F673" s="369" t="s">
        <v>186</v>
      </c>
      <c r="G673" s="370">
        <v>217</v>
      </c>
      <c r="H673" s="148" t="s">
        <v>259</v>
      </c>
    </row>
    <row r="674" spans="2:8" ht="15" customHeight="1">
      <c r="B674" s="148" t="s">
        <v>1067</v>
      </c>
      <c r="C674" s="369" t="s">
        <v>721</v>
      </c>
      <c r="D674" s="369" t="s">
        <v>242</v>
      </c>
      <c r="E674" s="369" t="s">
        <v>530</v>
      </c>
      <c r="F674" s="369" t="s">
        <v>186</v>
      </c>
      <c r="G674" s="370">
        <v>258</v>
      </c>
      <c r="H674" s="148" t="s">
        <v>259</v>
      </c>
    </row>
    <row r="675" spans="2:8" ht="15" customHeight="1">
      <c r="B675" s="148" t="s">
        <v>1068</v>
      </c>
      <c r="C675" s="369" t="s">
        <v>721</v>
      </c>
      <c r="D675" s="369" t="s">
        <v>243</v>
      </c>
      <c r="E675" s="369" t="s">
        <v>526</v>
      </c>
      <c r="F675" s="369" t="s">
        <v>186</v>
      </c>
      <c r="G675" s="370">
        <v>189</v>
      </c>
      <c r="H675" s="148" t="s">
        <v>259</v>
      </c>
    </row>
    <row r="676" spans="2:8" ht="15" customHeight="1">
      <c r="B676" s="148" t="s">
        <v>1069</v>
      </c>
      <c r="C676" s="369" t="s">
        <v>727</v>
      </c>
      <c r="D676" s="369" t="s">
        <v>239</v>
      </c>
      <c r="E676" s="369" t="s">
        <v>524</v>
      </c>
      <c r="F676" s="369" t="s">
        <v>186</v>
      </c>
      <c r="G676" s="370">
        <v>143</v>
      </c>
      <c r="H676" s="148" t="s">
        <v>259</v>
      </c>
    </row>
    <row r="677" spans="2:8" ht="15" customHeight="1">
      <c r="B677" s="148" t="s">
        <v>1070</v>
      </c>
      <c r="C677" s="369" t="s">
        <v>727</v>
      </c>
      <c r="D677" s="369" t="s">
        <v>240</v>
      </c>
      <c r="E677" s="369" t="s">
        <v>521</v>
      </c>
      <c r="F677" s="369" t="s">
        <v>186</v>
      </c>
      <c r="G677" s="370">
        <v>120</v>
      </c>
      <c r="H677" s="148" t="s">
        <v>259</v>
      </c>
    </row>
    <row r="678" spans="2:8" ht="15" customHeight="1">
      <c r="B678" s="148" t="s">
        <v>1071</v>
      </c>
      <c r="C678" s="369" t="s">
        <v>727</v>
      </c>
      <c r="D678" s="369" t="s">
        <v>241</v>
      </c>
      <c r="E678" s="369" t="s">
        <v>528</v>
      </c>
      <c r="F678" s="369" t="s">
        <v>186</v>
      </c>
      <c r="G678" s="370">
        <v>173</v>
      </c>
      <c r="H678" s="148" t="s">
        <v>259</v>
      </c>
    </row>
    <row r="679" spans="2:8" ht="15" customHeight="1">
      <c r="B679" s="148" t="s">
        <v>1072</v>
      </c>
      <c r="C679" s="369" t="s">
        <v>727</v>
      </c>
      <c r="D679" s="369" t="s">
        <v>242</v>
      </c>
      <c r="E679" s="369" t="s">
        <v>530</v>
      </c>
      <c r="F679" s="369" t="s">
        <v>186</v>
      </c>
      <c r="G679" s="370">
        <v>189</v>
      </c>
      <c r="H679" s="148" t="s">
        <v>259</v>
      </c>
    </row>
    <row r="680" spans="2:8" ht="15" customHeight="1">
      <c r="B680" s="148" t="s">
        <v>1073</v>
      </c>
      <c r="C680" s="369" t="s">
        <v>727</v>
      </c>
      <c r="D680" s="369" t="s">
        <v>243</v>
      </c>
      <c r="E680" s="369" t="s">
        <v>526</v>
      </c>
      <c r="F680" s="369" t="s">
        <v>186</v>
      </c>
      <c r="G680" s="370">
        <v>166</v>
      </c>
      <c r="H680" s="148" t="s">
        <v>259</v>
      </c>
    </row>
    <row r="681" spans="2:8" ht="15" customHeight="1">
      <c r="B681" s="148" t="s">
        <v>1074</v>
      </c>
      <c r="C681" s="369" t="s">
        <v>733</v>
      </c>
      <c r="D681" s="369" t="s">
        <v>239</v>
      </c>
      <c r="E681" s="369" t="s">
        <v>524</v>
      </c>
      <c r="F681" s="369" t="s">
        <v>186</v>
      </c>
      <c r="G681" s="370">
        <v>120</v>
      </c>
      <c r="H681" s="148" t="s">
        <v>259</v>
      </c>
    </row>
    <row r="682" spans="2:8" ht="15" customHeight="1">
      <c r="B682" s="148" t="s">
        <v>1075</v>
      </c>
      <c r="C682" s="369" t="s">
        <v>733</v>
      </c>
      <c r="D682" s="369" t="s">
        <v>240</v>
      </c>
      <c r="E682" s="369" t="s">
        <v>521</v>
      </c>
      <c r="F682" s="369" t="s">
        <v>186</v>
      </c>
      <c r="G682" s="370">
        <v>108</v>
      </c>
      <c r="H682" s="148" t="s">
        <v>259</v>
      </c>
    </row>
    <row r="683" spans="2:8" ht="15" customHeight="1">
      <c r="B683" s="148" t="s">
        <v>1076</v>
      </c>
      <c r="C683" s="369" t="s">
        <v>733</v>
      </c>
      <c r="D683" s="369" t="s">
        <v>241</v>
      </c>
      <c r="E683" s="369" t="s">
        <v>528</v>
      </c>
      <c r="F683" s="369" t="s">
        <v>186</v>
      </c>
      <c r="G683" s="370">
        <v>148</v>
      </c>
      <c r="H683" s="148" t="s">
        <v>259</v>
      </c>
    </row>
    <row r="684" spans="2:8" ht="15" customHeight="1">
      <c r="B684" s="148" t="s">
        <v>1077</v>
      </c>
      <c r="C684" s="369" t="s">
        <v>733</v>
      </c>
      <c r="D684" s="369" t="s">
        <v>242</v>
      </c>
      <c r="E684" s="369" t="s">
        <v>530</v>
      </c>
      <c r="F684" s="369" t="s">
        <v>186</v>
      </c>
      <c r="G684" s="370">
        <v>166</v>
      </c>
      <c r="H684" s="148" t="s">
        <v>259</v>
      </c>
    </row>
    <row r="685" spans="2:8" ht="15" customHeight="1">
      <c r="B685" s="148" t="s">
        <v>1078</v>
      </c>
      <c r="C685" s="369" t="s">
        <v>733</v>
      </c>
      <c r="D685" s="369" t="s">
        <v>243</v>
      </c>
      <c r="E685" s="369" t="s">
        <v>526</v>
      </c>
      <c r="F685" s="369" t="s">
        <v>186</v>
      </c>
      <c r="G685" s="370">
        <v>140</v>
      </c>
      <c r="H685" s="148" t="s">
        <v>259</v>
      </c>
    </row>
    <row r="686" spans="2:8" ht="15" customHeight="1">
      <c r="B686" s="148" t="s">
        <v>1079</v>
      </c>
      <c r="C686" s="369" t="s">
        <v>739</v>
      </c>
      <c r="D686" s="369" t="s">
        <v>239</v>
      </c>
      <c r="E686" s="369" t="s">
        <v>524</v>
      </c>
      <c r="F686" s="369" t="s">
        <v>186</v>
      </c>
      <c r="G686" s="370">
        <v>148</v>
      </c>
      <c r="H686" s="148" t="s">
        <v>259</v>
      </c>
    </row>
    <row r="687" spans="2:8" ht="15" customHeight="1">
      <c r="B687" s="148" t="s">
        <v>1080</v>
      </c>
      <c r="C687" s="369" t="s">
        <v>739</v>
      </c>
      <c r="D687" s="369" t="s">
        <v>240</v>
      </c>
      <c r="E687" s="369" t="s">
        <v>521</v>
      </c>
      <c r="F687" s="369" t="s">
        <v>186</v>
      </c>
      <c r="G687" s="370">
        <v>139</v>
      </c>
      <c r="H687" s="148" t="s">
        <v>259</v>
      </c>
    </row>
    <row r="688" spans="2:8" ht="15" customHeight="1">
      <c r="B688" s="148" t="s">
        <v>1081</v>
      </c>
      <c r="C688" s="369" t="s">
        <v>739</v>
      </c>
      <c r="D688" s="369" t="s">
        <v>241</v>
      </c>
      <c r="E688" s="369" t="s">
        <v>528</v>
      </c>
      <c r="F688" s="369" t="s">
        <v>186</v>
      </c>
      <c r="G688" s="370">
        <v>171</v>
      </c>
      <c r="H688" s="148" t="s">
        <v>259</v>
      </c>
    </row>
    <row r="689" spans="2:8" ht="15" customHeight="1">
      <c r="B689" s="148" t="s">
        <v>1082</v>
      </c>
      <c r="C689" s="369" t="s">
        <v>739</v>
      </c>
      <c r="D689" s="369" t="s">
        <v>242</v>
      </c>
      <c r="E689" s="369" t="s">
        <v>530</v>
      </c>
      <c r="F689" s="369" t="s">
        <v>186</v>
      </c>
      <c r="G689" s="370">
        <v>187</v>
      </c>
      <c r="H689" s="148" t="s">
        <v>259</v>
      </c>
    </row>
    <row r="690" spans="2:8" ht="15" customHeight="1">
      <c r="B690" s="148" t="s">
        <v>1083</v>
      </c>
      <c r="C690" s="369" t="s">
        <v>739</v>
      </c>
      <c r="D690" s="369" t="s">
        <v>243</v>
      </c>
      <c r="E690" s="369" t="s">
        <v>526</v>
      </c>
      <c r="F690" s="369" t="s">
        <v>186</v>
      </c>
      <c r="G690" s="370">
        <v>154</v>
      </c>
      <c r="H690" s="148" t="s">
        <v>259</v>
      </c>
    </row>
    <row r="691" spans="2:8" ht="15" customHeight="1">
      <c r="B691" s="148" t="s">
        <v>1084</v>
      </c>
      <c r="C691" s="369" t="s">
        <v>745</v>
      </c>
      <c r="D691" s="369" t="s">
        <v>239</v>
      </c>
      <c r="E691" s="369" t="s">
        <v>524</v>
      </c>
      <c r="F691" s="369" t="s">
        <v>186</v>
      </c>
      <c r="G691" s="370">
        <v>117</v>
      </c>
      <c r="H691" s="148" t="s">
        <v>259</v>
      </c>
    </row>
    <row r="692" spans="2:8" ht="15" customHeight="1">
      <c r="B692" s="148" t="s">
        <v>1085</v>
      </c>
      <c r="C692" s="369" t="s">
        <v>745</v>
      </c>
      <c r="D692" s="369" t="s">
        <v>240</v>
      </c>
      <c r="E692" s="369" t="s">
        <v>521</v>
      </c>
      <c r="F692" s="369" t="s">
        <v>186</v>
      </c>
      <c r="G692" s="370">
        <v>106</v>
      </c>
      <c r="H692" s="148" t="s">
        <v>259</v>
      </c>
    </row>
    <row r="693" spans="2:8" ht="15" customHeight="1">
      <c r="B693" s="148" t="s">
        <v>1086</v>
      </c>
      <c r="C693" s="369" t="s">
        <v>745</v>
      </c>
      <c r="D693" s="369" t="s">
        <v>241</v>
      </c>
      <c r="E693" s="369" t="s">
        <v>528</v>
      </c>
      <c r="F693" s="369" t="s">
        <v>186</v>
      </c>
      <c r="G693" s="370">
        <v>166</v>
      </c>
      <c r="H693" s="148" t="s">
        <v>259</v>
      </c>
    </row>
    <row r="694" spans="2:8" ht="15" customHeight="1">
      <c r="B694" s="148" t="s">
        <v>1087</v>
      </c>
      <c r="C694" s="369" t="s">
        <v>745</v>
      </c>
      <c r="D694" s="369" t="s">
        <v>242</v>
      </c>
      <c r="E694" s="369" t="s">
        <v>530</v>
      </c>
      <c r="F694" s="369" t="s">
        <v>186</v>
      </c>
      <c r="G694" s="370">
        <v>187</v>
      </c>
      <c r="H694" s="148" t="s">
        <v>259</v>
      </c>
    </row>
    <row r="695" spans="2:8" ht="15" customHeight="1">
      <c r="B695" s="148" t="s">
        <v>1088</v>
      </c>
      <c r="C695" s="369" t="s">
        <v>745</v>
      </c>
      <c r="D695" s="369" t="s">
        <v>243</v>
      </c>
      <c r="E695" s="369" t="s">
        <v>526</v>
      </c>
      <c r="F695" s="369" t="s">
        <v>186</v>
      </c>
      <c r="G695" s="370">
        <v>140</v>
      </c>
      <c r="H695" s="148" t="s">
        <v>259</v>
      </c>
    </row>
    <row r="696" spans="2:8" ht="15" customHeight="1">
      <c r="B696" s="148" t="s">
        <v>1089</v>
      </c>
      <c r="C696" s="369" t="s">
        <v>751</v>
      </c>
      <c r="D696" s="369" t="s">
        <v>239</v>
      </c>
      <c r="E696" s="369" t="s">
        <v>524</v>
      </c>
      <c r="F696" s="369" t="s">
        <v>186</v>
      </c>
      <c r="G696" s="370">
        <v>149</v>
      </c>
      <c r="H696" s="148" t="s">
        <v>259</v>
      </c>
    </row>
    <row r="697" spans="2:8" ht="15" customHeight="1">
      <c r="B697" s="148" t="s">
        <v>1090</v>
      </c>
      <c r="C697" s="369" t="s">
        <v>751</v>
      </c>
      <c r="D697" s="369" t="s">
        <v>240</v>
      </c>
      <c r="E697" s="369" t="s">
        <v>521</v>
      </c>
      <c r="F697" s="369" t="s">
        <v>186</v>
      </c>
      <c r="G697" s="370">
        <v>127</v>
      </c>
      <c r="H697" s="148" t="s">
        <v>259</v>
      </c>
    </row>
    <row r="698" spans="2:8" ht="15" customHeight="1">
      <c r="B698" s="148" t="s">
        <v>1091</v>
      </c>
      <c r="C698" s="369" t="s">
        <v>751</v>
      </c>
      <c r="D698" s="369" t="s">
        <v>241</v>
      </c>
      <c r="E698" s="369" t="s">
        <v>528</v>
      </c>
      <c r="F698" s="369" t="s">
        <v>186</v>
      </c>
      <c r="G698" s="370">
        <v>227</v>
      </c>
      <c r="H698" s="148" t="s">
        <v>259</v>
      </c>
    </row>
    <row r="699" spans="2:8" ht="15" customHeight="1">
      <c r="B699" s="148" t="s">
        <v>1092</v>
      </c>
      <c r="C699" s="369" t="s">
        <v>751</v>
      </c>
      <c r="D699" s="369" t="s">
        <v>242</v>
      </c>
      <c r="E699" s="369" t="s">
        <v>530</v>
      </c>
      <c r="F699" s="369" t="s">
        <v>186</v>
      </c>
      <c r="G699" s="370">
        <v>258</v>
      </c>
      <c r="H699" s="148" t="s">
        <v>259</v>
      </c>
    </row>
    <row r="700" spans="2:8" ht="15" customHeight="1">
      <c r="B700" s="148" t="s">
        <v>1093</v>
      </c>
      <c r="C700" s="369" t="s">
        <v>751</v>
      </c>
      <c r="D700" s="369" t="s">
        <v>243</v>
      </c>
      <c r="E700" s="369" t="s">
        <v>526</v>
      </c>
      <c r="F700" s="369" t="s">
        <v>186</v>
      </c>
      <c r="G700" s="370">
        <v>203</v>
      </c>
      <c r="H700" s="148" t="s">
        <v>259</v>
      </c>
    </row>
    <row r="701" spans="2:8" ht="15" customHeight="1">
      <c r="B701" s="148" t="s">
        <v>1094</v>
      </c>
      <c r="C701" s="369" t="s">
        <v>757</v>
      </c>
      <c r="D701" s="369" t="s">
        <v>239</v>
      </c>
      <c r="E701" s="369" t="s">
        <v>524</v>
      </c>
      <c r="F701" s="369" t="s">
        <v>186</v>
      </c>
      <c r="G701" s="370">
        <v>120</v>
      </c>
      <c r="H701" s="148" t="s">
        <v>259</v>
      </c>
    </row>
    <row r="702" spans="2:8" ht="15" customHeight="1">
      <c r="B702" s="148" t="s">
        <v>1095</v>
      </c>
      <c r="C702" s="369" t="s">
        <v>757</v>
      </c>
      <c r="D702" s="369" t="s">
        <v>240</v>
      </c>
      <c r="E702" s="369" t="s">
        <v>521</v>
      </c>
      <c r="F702" s="369" t="s">
        <v>186</v>
      </c>
      <c r="G702" s="370">
        <v>115</v>
      </c>
      <c r="H702" s="148" t="s">
        <v>259</v>
      </c>
    </row>
    <row r="703" spans="2:8" ht="15" customHeight="1">
      <c r="B703" s="148" t="s">
        <v>1096</v>
      </c>
      <c r="C703" s="369" t="s">
        <v>757</v>
      </c>
      <c r="D703" s="369" t="s">
        <v>241</v>
      </c>
      <c r="E703" s="369" t="s">
        <v>528</v>
      </c>
      <c r="F703" s="369" t="s">
        <v>186</v>
      </c>
      <c r="G703" s="370">
        <v>138</v>
      </c>
      <c r="H703" s="148" t="s">
        <v>259</v>
      </c>
    </row>
    <row r="704" spans="2:8" ht="15" customHeight="1">
      <c r="B704" s="148" t="s">
        <v>1097</v>
      </c>
      <c r="C704" s="369" t="s">
        <v>757</v>
      </c>
      <c r="D704" s="369" t="s">
        <v>242</v>
      </c>
      <c r="E704" s="369" t="s">
        <v>530</v>
      </c>
      <c r="F704" s="369" t="s">
        <v>186</v>
      </c>
      <c r="G704" s="370">
        <v>178</v>
      </c>
      <c r="H704" s="148" t="s">
        <v>259</v>
      </c>
    </row>
    <row r="705" spans="2:8" ht="15" customHeight="1">
      <c r="B705" s="148" t="s">
        <v>1098</v>
      </c>
      <c r="C705" s="369" t="s">
        <v>757</v>
      </c>
      <c r="D705" s="369" t="s">
        <v>243</v>
      </c>
      <c r="E705" s="369" t="s">
        <v>526</v>
      </c>
      <c r="F705" s="369" t="s">
        <v>186</v>
      </c>
      <c r="G705" s="370">
        <v>124</v>
      </c>
      <c r="H705" s="148" t="s">
        <v>259</v>
      </c>
    </row>
    <row r="706" spans="2:8" ht="15" customHeight="1">
      <c r="B706" s="148" t="s">
        <v>1099</v>
      </c>
      <c r="C706" s="369" t="s">
        <v>763</v>
      </c>
      <c r="D706" s="369" t="s">
        <v>239</v>
      </c>
      <c r="E706" s="369" t="s">
        <v>524</v>
      </c>
      <c r="F706" s="369" t="s">
        <v>186</v>
      </c>
      <c r="G706" s="370">
        <v>224</v>
      </c>
      <c r="H706" s="148" t="s">
        <v>259</v>
      </c>
    </row>
    <row r="707" spans="2:8" ht="15" customHeight="1">
      <c r="B707" s="148" t="s">
        <v>1100</v>
      </c>
      <c r="C707" s="369" t="s">
        <v>763</v>
      </c>
      <c r="D707" s="369" t="s">
        <v>240</v>
      </c>
      <c r="E707" s="369" t="s">
        <v>521</v>
      </c>
      <c r="F707" s="369" t="s">
        <v>186</v>
      </c>
      <c r="G707" s="370">
        <v>163</v>
      </c>
      <c r="H707" s="148" t="s">
        <v>259</v>
      </c>
    </row>
    <row r="708" spans="2:8" ht="15" customHeight="1">
      <c r="B708" s="148" t="s">
        <v>1101</v>
      </c>
      <c r="C708" s="369" t="s">
        <v>763</v>
      </c>
      <c r="D708" s="369" t="s">
        <v>241</v>
      </c>
      <c r="E708" s="369" t="s">
        <v>528</v>
      </c>
      <c r="F708" s="369" t="s">
        <v>186</v>
      </c>
      <c r="G708" s="370">
        <v>316</v>
      </c>
      <c r="H708" s="148" t="s">
        <v>259</v>
      </c>
    </row>
    <row r="709" spans="2:8" ht="15" customHeight="1">
      <c r="B709" s="148" t="s">
        <v>1102</v>
      </c>
      <c r="C709" s="369" t="s">
        <v>763</v>
      </c>
      <c r="D709" s="369" t="s">
        <v>242</v>
      </c>
      <c r="E709" s="369" t="s">
        <v>530</v>
      </c>
      <c r="F709" s="369" t="s">
        <v>186</v>
      </c>
      <c r="G709" s="370">
        <v>344</v>
      </c>
      <c r="H709" s="148" t="s">
        <v>259</v>
      </c>
    </row>
    <row r="710" spans="2:8" ht="15" customHeight="1">
      <c r="B710" s="148" t="s">
        <v>1103</v>
      </c>
      <c r="C710" s="369" t="s">
        <v>763</v>
      </c>
      <c r="D710" s="369" t="s">
        <v>243</v>
      </c>
      <c r="E710" s="369" t="s">
        <v>526</v>
      </c>
      <c r="F710" s="369" t="s">
        <v>186</v>
      </c>
      <c r="G710" s="370">
        <v>287</v>
      </c>
      <c r="H710" s="148" t="s">
        <v>259</v>
      </c>
    </row>
    <row r="711" spans="2:8" ht="15" customHeight="1">
      <c r="B711" s="148" t="s">
        <v>1104</v>
      </c>
      <c r="C711" s="369" t="s">
        <v>358</v>
      </c>
      <c r="D711" s="369" t="s">
        <v>239</v>
      </c>
      <c r="E711" s="369" t="s">
        <v>524</v>
      </c>
      <c r="F711" s="369" t="s">
        <v>186</v>
      </c>
      <c r="G711" s="370">
        <v>218</v>
      </c>
      <c r="H711" s="148" t="s">
        <v>259</v>
      </c>
    </row>
    <row r="712" spans="2:8" ht="15" customHeight="1">
      <c r="B712" s="148" t="s">
        <v>1105</v>
      </c>
      <c r="C712" s="369" t="s">
        <v>358</v>
      </c>
      <c r="D712" s="369" t="s">
        <v>240</v>
      </c>
      <c r="E712" s="369" t="s">
        <v>521</v>
      </c>
      <c r="F712" s="369" t="s">
        <v>186</v>
      </c>
      <c r="G712" s="370">
        <v>163</v>
      </c>
      <c r="H712" s="148" t="s">
        <v>259</v>
      </c>
    </row>
    <row r="713" spans="2:8" ht="15" customHeight="1">
      <c r="B713" s="148" t="s">
        <v>1106</v>
      </c>
      <c r="C713" s="369" t="s">
        <v>358</v>
      </c>
      <c r="D713" s="369" t="s">
        <v>241</v>
      </c>
      <c r="E713" s="369" t="s">
        <v>528</v>
      </c>
      <c r="F713" s="369" t="s">
        <v>186</v>
      </c>
      <c r="G713" s="370">
        <v>281</v>
      </c>
      <c r="H713" s="148" t="s">
        <v>259</v>
      </c>
    </row>
    <row r="714" spans="2:8" ht="15" customHeight="1">
      <c r="B714" s="148" t="s">
        <v>1107</v>
      </c>
      <c r="C714" s="369" t="s">
        <v>358</v>
      </c>
      <c r="D714" s="369" t="s">
        <v>242</v>
      </c>
      <c r="E714" s="369" t="s">
        <v>530</v>
      </c>
      <c r="F714" s="369" t="s">
        <v>186</v>
      </c>
      <c r="G714" s="370">
        <v>304</v>
      </c>
      <c r="H714" s="148" t="s">
        <v>259</v>
      </c>
    </row>
    <row r="715" spans="2:8" ht="15" customHeight="1">
      <c r="B715" s="148" t="s">
        <v>1108</v>
      </c>
      <c r="C715" s="369" t="s">
        <v>358</v>
      </c>
      <c r="D715" s="369" t="s">
        <v>243</v>
      </c>
      <c r="E715" s="369" t="s">
        <v>526</v>
      </c>
      <c r="F715" s="369" t="s">
        <v>186</v>
      </c>
      <c r="G715" s="370">
        <v>247</v>
      </c>
      <c r="H715" s="148" t="s">
        <v>259</v>
      </c>
    </row>
    <row r="716" spans="2:8" ht="15" customHeight="1">
      <c r="B716" s="148" t="s">
        <v>1109</v>
      </c>
      <c r="C716" s="369" t="s">
        <v>774</v>
      </c>
      <c r="D716" s="369" t="s">
        <v>239</v>
      </c>
      <c r="E716" s="369" t="s">
        <v>524</v>
      </c>
      <c r="F716" s="369" t="s">
        <v>186</v>
      </c>
      <c r="G716" s="370">
        <v>143</v>
      </c>
      <c r="H716" s="148" t="s">
        <v>259</v>
      </c>
    </row>
    <row r="717" spans="2:8" ht="15" customHeight="1">
      <c r="B717" s="148" t="s">
        <v>1110</v>
      </c>
      <c r="C717" s="369" t="s">
        <v>774</v>
      </c>
      <c r="D717" s="369" t="s">
        <v>240</v>
      </c>
      <c r="E717" s="369" t="s">
        <v>521</v>
      </c>
      <c r="F717" s="369" t="s">
        <v>186</v>
      </c>
      <c r="G717" s="370">
        <v>120</v>
      </c>
      <c r="H717" s="148" t="s">
        <v>259</v>
      </c>
    </row>
    <row r="718" spans="2:8" ht="15" customHeight="1">
      <c r="B718" s="148" t="s">
        <v>1111</v>
      </c>
      <c r="C718" s="369" t="s">
        <v>774</v>
      </c>
      <c r="D718" s="369" t="s">
        <v>241</v>
      </c>
      <c r="E718" s="369" t="s">
        <v>528</v>
      </c>
      <c r="F718" s="369" t="s">
        <v>186</v>
      </c>
      <c r="G718" s="370">
        <v>173</v>
      </c>
      <c r="H718" s="148" t="s">
        <v>259</v>
      </c>
    </row>
    <row r="719" spans="2:8" ht="15" customHeight="1">
      <c r="B719" s="148" t="s">
        <v>1112</v>
      </c>
      <c r="C719" s="369" t="s">
        <v>774</v>
      </c>
      <c r="D719" s="369" t="s">
        <v>242</v>
      </c>
      <c r="E719" s="369" t="s">
        <v>530</v>
      </c>
      <c r="F719" s="369" t="s">
        <v>186</v>
      </c>
      <c r="G719" s="370">
        <v>192</v>
      </c>
      <c r="H719" s="148" t="s">
        <v>259</v>
      </c>
    </row>
    <row r="720" spans="2:8" ht="15" customHeight="1">
      <c r="B720" s="148" t="s">
        <v>1113</v>
      </c>
      <c r="C720" s="369" t="s">
        <v>774</v>
      </c>
      <c r="D720" s="369" t="s">
        <v>243</v>
      </c>
      <c r="E720" s="369" t="s">
        <v>526</v>
      </c>
      <c r="F720" s="369" t="s">
        <v>186</v>
      </c>
      <c r="G720" s="370">
        <v>166</v>
      </c>
      <c r="H720" s="148" t="s">
        <v>259</v>
      </c>
    </row>
    <row r="721" spans="2:8" ht="15" customHeight="1">
      <c r="B721" s="148" t="s">
        <v>1114</v>
      </c>
      <c r="C721" s="369" t="s">
        <v>780</v>
      </c>
      <c r="D721" s="369" t="s">
        <v>239</v>
      </c>
      <c r="E721" s="369" t="s">
        <v>524</v>
      </c>
      <c r="F721" s="369" t="s">
        <v>186</v>
      </c>
      <c r="G721" s="370">
        <v>143</v>
      </c>
      <c r="H721" s="148" t="s">
        <v>259</v>
      </c>
    </row>
    <row r="722" spans="2:8" ht="15" customHeight="1">
      <c r="B722" s="148" t="s">
        <v>1115</v>
      </c>
      <c r="C722" s="148" t="s">
        <v>780</v>
      </c>
      <c r="D722" s="148" t="s">
        <v>240</v>
      </c>
      <c r="E722" s="148" t="s">
        <v>521</v>
      </c>
      <c r="F722" s="369" t="s">
        <v>186</v>
      </c>
      <c r="G722" s="370">
        <v>120</v>
      </c>
      <c r="H722" s="148" t="s">
        <v>259</v>
      </c>
    </row>
    <row r="723" spans="2:8" ht="15" customHeight="1">
      <c r="B723" s="148" t="s">
        <v>1116</v>
      </c>
      <c r="C723" s="148" t="s">
        <v>780</v>
      </c>
      <c r="D723" s="148" t="s">
        <v>241</v>
      </c>
      <c r="E723" s="148" t="s">
        <v>528</v>
      </c>
      <c r="F723" s="369" t="s">
        <v>186</v>
      </c>
      <c r="G723" s="370">
        <v>181</v>
      </c>
      <c r="H723" s="148" t="s">
        <v>259</v>
      </c>
    </row>
    <row r="724" spans="2:8" ht="15" customHeight="1">
      <c r="B724" s="148" t="s">
        <v>1117</v>
      </c>
      <c r="C724" s="148" t="s">
        <v>780</v>
      </c>
      <c r="D724" s="148" t="s">
        <v>242</v>
      </c>
      <c r="E724" s="148" t="s">
        <v>530</v>
      </c>
      <c r="F724" s="369" t="s">
        <v>186</v>
      </c>
      <c r="G724" s="370">
        <v>201</v>
      </c>
      <c r="H724" s="148" t="s">
        <v>259</v>
      </c>
    </row>
    <row r="725" spans="2:8" ht="15" customHeight="1">
      <c r="B725" s="148" t="s">
        <v>1118</v>
      </c>
      <c r="C725" s="148" t="s">
        <v>780</v>
      </c>
      <c r="D725" s="148" t="s">
        <v>243</v>
      </c>
      <c r="E725" s="148" t="s">
        <v>526</v>
      </c>
      <c r="F725" s="369" t="s">
        <v>186</v>
      </c>
      <c r="G725" s="370">
        <v>166</v>
      </c>
      <c r="H725" s="148" t="s">
        <v>259</v>
      </c>
    </row>
    <row r="726" spans="2:8" ht="15" customHeight="1">
      <c r="B726" s="148" t="s">
        <v>1119</v>
      </c>
      <c r="C726" s="148" t="s">
        <v>786</v>
      </c>
      <c r="D726" s="148" t="s">
        <v>239</v>
      </c>
      <c r="E726" s="148" t="s">
        <v>524</v>
      </c>
      <c r="F726" s="369" t="s">
        <v>186</v>
      </c>
      <c r="G726" s="370">
        <v>195</v>
      </c>
      <c r="H726" s="148" t="s">
        <v>259</v>
      </c>
    </row>
    <row r="727" spans="2:8" ht="15" customHeight="1">
      <c r="B727" s="148" t="s">
        <v>1120</v>
      </c>
      <c r="C727" s="148" t="s">
        <v>786</v>
      </c>
      <c r="D727" s="148" t="s">
        <v>240</v>
      </c>
      <c r="E727" s="148" t="s">
        <v>521</v>
      </c>
      <c r="F727" s="369" t="s">
        <v>186</v>
      </c>
      <c r="G727" s="370">
        <v>189</v>
      </c>
      <c r="H727" s="148" t="s">
        <v>259</v>
      </c>
    </row>
    <row r="728" spans="2:8" ht="15" customHeight="1">
      <c r="B728" s="148" t="s">
        <v>1121</v>
      </c>
      <c r="C728" s="148" t="s">
        <v>786</v>
      </c>
      <c r="D728" s="148" t="s">
        <v>241</v>
      </c>
      <c r="E728" s="148" t="s">
        <v>528</v>
      </c>
      <c r="F728" s="369" t="s">
        <v>186</v>
      </c>
      <c r="G728" s="370">
        <v>258</v>
      </c>
      <c r="H728" s="148" t="s">
        <v>259</v>
      </c>
    </row>
    <row r="729" spans="2:8" ht="15" customHeight="1">
      <c r="B729" s="148" t="s">
        <v>1122</v>
      </c>
      <c r="C729" s="148" t="s">
        <v>786</v>
      </c>
      <c r="D729" s="148" t="s">
        <v>242</v>
      </c>
      <c r="E729" s="148" t="s">
        <v>530</v>
      </c>
      <c r="F729" s="369" t="s">
        <v>186</v>
      </c>
      <c r="G729" s="370">
        <v>316</v>
      </c>
      <c r="H729" s="148" t="s">
        <v>259</v>
      </c>
    </row>
    <row r="730" spans="2:8" ht="15" customHeight="1">
      <c r="B730" s="148" t="s">
        <v>1123</v>
      </c>
      <c r="C730" s="148" t="s">
        <v>786</v>
      </c>
      <c r="D730" s="148" t="s">
        <v>243</v>
      </c>
      <c r="E730" s="148" t="s">
        <v>526</v>
      </c>
      <c r="F730" s="369" t="s">
        <v>186</v>
      </c>
      <c r="G730" s="370">
        <v>227</v>
      </c>
      <c r="H730" s="148" t="s">
        <v>259</v>
      </c>
    </row>
    <row r="731" spans="2:8" ht="15" customHeight="1">
      <c r="B731" s="148" t="s">
        <v>1124</v>
      </c>
      <c r="C731" s="369" t="s">
        <v>792</v>
      </c>
      <c r="D731" s="369" t="s">
        <v>239</v>
      </c>
      <c r="E731" s="369" t="s">
        <v>524</v>
      </c>
      <c r="F731" s="369" t="s">
        <v>186</v>
      </c>
      <c r="G731" s="370">
        <v>122</v>
      </c>
      <c r="H731" s="148" t="s">
        <v>259</v>
      </c>
    </row>
    <row r="732" spans="2:8" ht="15" customHeight="1">
      <c r="B732" s="148" t="s">
        <v>1125</v>
      </c>
      <c r="C732" s="369" t="s">
        <v>792</v>
      </c>
      <c r="D732" s="369" t="s">
        <v>240</v>
      </c>
      <c r="E732" s="369" t="s">
        <v>521</v>
      </c>
      <c r="F732" s="369" t="s">
        <v>186</v>
      </c>
      <c r="G732" s="370">
        <v>118</v>
      </c>
      <c r="H732" s="148" t="s">
        <v>259</v>
      </c>
    </row>
    <row r="733" spans="2:8" ht="15" customHeight="1">
      <c r="B733" s="148" t="s">
        <v>1126</v>
      </c>
      <c r="C733" s="369" t="s">
        <v>792</v>
      </c>
      <c r="D733" s="369" t="s">
        <v>241</v>
      </c>
      <c r="E733" s="369" t="s">
        <v>528</v>
      </c>
      <c r="F733" s="369" t="s">
        <v>186</v>
      </c>
      <c r="G733" s="370">
        <v>164</v>
      </c>
      <c r="H733" s="148" t="s">
        <v>259</v>
      </c>
    </row>
    <row r="734" spans="2:8" ht="15" customHeight="1">
      <c r="B734" s="148" t="s">
        <v>1127</v>
      </c>
      <c r="C734" s="369" t="s">
        <v>792</v>
      </c>
      <c r="D734" s="369" t="s">
        <v>242</v>
      </c>
      <c r="E734" s="369" t="s">
        <v>530</v>
      </c>
      <c r="F734" s="369" t="s">
        <v>186</v>
      </c>
      <c r="G734" s="370">
        <v>187</v>
      </c>
      <c r="H734" s="148" t="s">
        <v>259</v>
      </c>
    </row>
    <row r="735" spans="2:8" ht="15" customHeight="1">
      <c r="B735" s="148" t="s">
        <v>1128</v>
      </c>
      <c r="C735" s="369" t="s">
        <v>792</v>
      </c>
      <c r="D735" s="369" t="s">
        <v>243</v>
      </c>
      <c r="E735" s="369" t="s">
        <v>526</v>
      </c>
      <c r="F735" s="369" t="s">
        <v>186</v>
      </c>
      <c r="G735" s="370">
        <v>157</v>
      </c>
      <c r="H735" s="148" t="s">
        <v>259</v>
      </c>
    </row>
    <row r="736" spans="2:8" ht="15" customHeight="1">
      <c r="B736" s="148" t="s">
        <v>1129</v>
      </c>
      <c r="C736" s="369" t="s">
        <v>253</v>
      </c>
      <c r="D736" s="369" t="s">
        <v>239</v>
      </c>
      <c r="E736" s="369" t="s">
        <v>524</v>
      </c>
      <c r="F736" s="369" t="s">
        <v>186</v>
      </c>
      <c r="G736" s="370">
        <v>172</v>
      </c>
      <c r="H736" s="148" t="s">
        <v>259</v>
      </c>
    </row>
    <row r="737" spans="2:8" ht="15" customHeight="1">
      <c r="B737" s="148" t="s">
        <v>1130</v>
      </c>
      <c r="C737" s="369" t="s">
        <v>253</v>
      </c>
      <c r="D737" s="369" t="s">
        <v>240</v>
      </c>
      <c r="E737" s="369" t="s">
        <v>521</v>
      </c>
      <c r="F737" s="369" t="s">
        <v>186</v>
      </c>
      <c r="G737" s="370">
        <v>153</v>
      </c>
      <c r="H737" s="148" t="s">
        <v>259</v>
      </c>
    </row>
    <row r="738" spans="2:8" ht="15" customHeight="1">
      <c r="B738" s="148" t="s">
        <v>1131</v>
      </c>
      <c r="C738" s="369" t="s">
        <v>253</v>
      </c>
      <c r="D738" s="369" t="s">
        <v>241</v>
      </c>
      <c r="E738" s="369" t="s">
        <v>528</v>
      </c>
      <c r="F738" s="369" t="s">
        <v>186</v>
      </c>
      <c r="G738" s="370">
        <v>201</v>
      </c>
      <c r="H738" s="148" t="s">
        <v>259</v>
      </c>
    </row>
    <row r="739" spans="2:8" ht="15" customHeight="1">
      <c r="B739" s="148" t="s">
        <v>1132</v>
      </c>
      <c r="C739" s="369" t="s">
        <v>253</v>
      </c>
      <c r="D739" s="369" t="s">
        <v>242</v>
      </c>
      <c r="E739" s="369" t="s">
        <v>530</v>
      </c>
      <c r="F739" s="369" t="s">
        <v>186</v>
      </c>
      <c r="G739" s="370">
        <v>223</v>
      </c>
      <c r="H739" s="148" t="s">
        <v>259</v>
      </c>
    </row>
    <row r="740" spans="2:8" ht="15" customHeight="1">
      <c r="B740" s="148" t="s">
        <v>1133</v>
      </c>
      <c r="C740" s="369" t="s">
        <v>253</v>
      </c>
      <c r="D740" s="369" t="s">
        <v>243</v>
      </c>
      <c r="E740" s="369" t="s">
        <v>526</v>
      </c>
      <c r="F740" s="369" t="s">
        <v>186</v>
      </c>
      <c r="G740" s="370">
        <v>192</v>
      </c>
      <c r="H740" s="148" t="s">
        <v>259</v>
      </c>
    </row>
    <row r="741" spans="2:8" ht="15" customHeight="1">
      <c r="B741" s="148" t="s">
        <v>1134</v>
      </c>
      <c r="C741" s="369" t="s">
        <v>802</v>
      </c>
      <c r="D741" s="369" t="s">
        <v>239</v>
      </c>
      <c r="E741" s="369" t="s">
        <v>524</v>
      </c>
      <c r="F741" s="369" t="s">
        <v>186</v>
      </c>
      <c r="G741" s="370">
        <v>124</v>
      </c>
      <c r="H741" s="148" t="s">
        <v>259</v>
      </c>
    </row>
    <row r="742" spans="2:8" ht="15" customHeight="1">
      <c r="B742" s="148" t="s">
        <v>1135</v>
      </c>
      <c r="C742" s="369" t="s">
        <v>802</v>
      </c>
      <c r="D742" s="369" t="s">
        <v>240</v>
      </c>
      <c r="E742" s="369" t="s">
        <v>521</v>
      </c>
      <c r="F742" s="369" t="s">
        <v>186</v>
      </c>
      <c r="G742" s="370">
        <v>108</v>
      </c>
      <c r="H742" s="148" t="s">
        <v>259</v>
      </c>
    </row>
    <row r="743" spans="2:8" ht="15" customHeight="1">
      <c r="B743" s="148" t="s">
        <v>1136</v>
      </c>
      <c r="C743" s="369" t="s">
        <v>802</v>
      </c>
      <c r="D743" s="369" t="s">
        <v>241</v>
      </c>
      <c r="E743" s="369" t="s">
        <v>528</v>
      </c>
      <c r="F743" s="369" t="s">
        <v>186</v>
      </c>
      <c r="G743" s="370">
        <v>153</v>
      </c>
      <c r="H743" s="148" t="s">
        <v>259</v>
      </c>
    </row>
    <row r="744" spans="2:8" ht="15" customHeight="1">
      <c r="B744" s="148" t="s">
        <v>1137</v>
      </c>
      <c r="C744" s="369" t="s">
        <v>802</v>
      </c>
      <c r="D744" s="369" t="s">
        <v>242</v>
      </c>
      <c r="E744" s="369" t="s">
        <v>530</v>
      </c>
      <c r="F744" s="369" t="s">
        <v>186</v>
      </c>
      <c r="G744" s="370">
        <v>166</v>
      </c>
      <c r="H744" s="148" t="s">
        <v>259</v>
      </c>
    </row>
    <row r="745" spans="2:8" ht="15" customHeight="1">
      <c r="B745" s="148" t="s">
        <v>1138</v>
      </c>
      <c r="C745" s="369" t="s">
        <v>802</v>
      </c>
      <c r="D745" s="369" t="s">
        <v>243</v>
      </c>
      <c r="E745" s="369" t="s">
        <v>526</v>
      </c>
      <c r="F745" s="369" t="s">
        <v>186</v>
      </c>
      <c r="G745" s="370">
        <v>142</v>
      </c>
      <c r="H745" s="148" t="s">
        <v>259</v>
      </c>
    </row>
    <row r="746" spans="2:8" ht="15" customHeight="1">
      <c r="B746" s="148" t="s">
        <v>1139</v>
      </c>
      <c r="C746" s="369" t="s">
        <v>369</v>
      </c>
      <c r="D746" s="369" t="s">
        <v>239</v>
      </c>
      <c r="E746" s="369" t="s">
        <v>524</v>
      </c>
      <c r="F746" s="369" t="s">
        <v>186</v>
      </c>
      <c r="G746" s="370">
        <v>189</v>
      </c>
      <c r="H746" s="148" t="s">
        <v>259</v>
      </c>
    </row>
    <row r="747" spans="2:8" ht="15" customHeight="1">
      <c r="B747" s="148" t="s">
        <v>1140</v>
      </c>
      <c r="C747" s="369" t="s">
        <v>369</v>
      </c>
      <c r="D747" s="369" t="s">
        <v>240</v>
      </c>
      <c r="E747" s="369" t="s">
        <v>521</v>
      </c>
      <c r="F747" s="369" t="s">
        <v>186</v>
      </c>
      <c r="G747" s="370">
        <v>153</v>
      </c>
      <c r="H747" s="148" t="s">
        <v>259</v>
      </c>
    </row>
    <row r="748" spans="2:8" ht="15" customHeight="1">
      <c r="B748" s="148" t="s">
        <v>1141</v>
      </c>
      <c r="C748" s="369" t="s">
        <v>369</v>
      </c>
      <c r="D748" s="369" t="s">
        <v>241</v>
      </c>
      <c r="E748" s="369" t="s">
        <v>528</v>
      </c>
      <c r="F748" s="369" t="s">
        <v>186</v>
      </c>
      <c r="G748" s="370">
        <v>258</v>
      </c>
      <c r="H748" s="148" t="s">
        <v>259</v>
      </c>
    </row>
    <row r="749" spans="2:8" ht="15" customHeight="1">
      <c r="B749" s="148" t="s">
        <v>1142</v>
      </c>
      <c r="C749" s="369" t="s">
        <v>369</v>
      </c>
      <c r="D749" s="369" t="s">
        <v>242</v>
      </c>
      <c r="E749" s="369" t="s">
        <v>530</v>
      </c>
      <c r="F749" s="369" t="s">
        <v>186</v>
      </c>
      <c r="G749" s="370">
        <v>316</v>
      </c>
      <c r="H749" s="148" t="s">
        <v>259</v>
      </c>
    </row>
    <row r="750" spans="2:8" ht="15" customHeight="1">
      <c r="B750" s="148" t="s">
        <v>1143</v>
      </c>
      <c r="C750" s="369" t="s">
        <v>369</v>
      </c>
      <c r="D750" s="369" t="s">
        <v>243</v>
      </c>
      <c r="E750" s="369" t="s">
        <v>526</v>
      </c>
      <c r="F750" s="369" t="s">
        <v>186</v>
      </c>
      <c r="G750" s="370">
        <v>227</v>
      </c>
      <c r="H750" s="148" t="s">
        <v>259</v>
      </c>
    </row>
    <row r="751" spans="2:8" ht="15" customHeight="1">
      <c r="B751" s="148" t="s">
        <v>1144</v>
      </c>
      <c r="C751" s="369" t="s">
        <v>813</v>
      </c>
      <c r="D751" s="369" t="s">
        <v>384</v>
      </c>
      <c r="E751" s="369" t="s">
        <v>591</v>
      </c>
      <c r="F751" s="369" t="s">
        <v>186</v>
      </c>
      <c r="G751" s="370">
        <v>351</v>
      </c>
      <c r="H751" s="148" t="s">
        <v>261</v>
      </c>
    </row>
    <row r="752" spans="2:8" ht="15" customHeight="1">
      <c r="B752" s="148" t="s">
        <v>1145</v>
      </c>
      <c r="C752" s="369" t="s">
        <v>813</v>
      </c>
      <c r="D752" s="369" t="s">
        <v>368</v>
      </c>
      <c r="E752" s="369" t="s">
        <v>593</v>
      </c>
      <c r="F752" s="369" t="s">
        <v>186</v>
      </c>
      <c r="G752" s="370">
        <v>388</v>
      </c>
      <c r="H752" s="148" t="s">
        <v>261</v>
      </c>
    </row>
    <row r="753" spans="2:8" ht="15" customHeight="1">
      <c r="B753" s="148" t="s">
        <v>1146</v>
      </c>
      <c r="C753" s="369" t="s">
        <v>813</v>
      </c>
      <c r="D753" s="369" t="s">
        <v>376</v>
      </c>
      <c r="E753" s="369" t="s">
        <v>595</v>
      </c>
      <c r="F753" s="369" t="s">
        <v>186</v>
      </c>
      <c r="G753" s="370">
        <v>568</v>
      </c>
      <c r="H753" s="148" t="s">
        <v>261</v>
      </c>
    </row>
    <row r="754" spans="2:8" ht="15" customHeight="1">
      <c r="B754" s="148" t="s">
        <v>1147</v>
      </c>
      <c r="C754" s="369" t="s">
        <v>259</v>
      </c>
      <c r="D754" s="369" t="s">
        <v>357</v>
      </c>
      <c r="E754" s="369" t="s">
        <v>597</v>
      </c>
      <c r="F754" s="369" t="s">
        <v>184</v>
      </c>
      <c r="G754" s="370">
        <v>180</v>
      </c>
      <c r="H754" s="148" t="s">
        <v>261</v>
      </c>
    </row>
    <row r="755" spans="2:8" ht="15" customHeight="1">
      <c r="B755" s="148" t="s">
        <v>1148</v>
      </c>
      <c r="C755" s="369" t="s">
        <v>813</v>
      </c>
      <c r="D755" s="369" t="s">
        <v>242</v>
      </c>
      <c r="E755" s="369" t="s">
        <v>599</v>
      </c>
      <c r="F755" s="369" t="s">
        <v>186</v>
      </c>
      <c r="G755" s="370">
        <v>750</v>
      </c>
      <c r="H755" s="148" t="s">
        <v>261</v>
      </c>
    </row>
    <row r="756" spans="2:8" ht="15" customHeight="1">
      <c r="B756" s="148" t="s">
        <v>1149</v>
      </c>
      <c r="C756" s="369" t="s">
        <v>813</v>
      </c>
      <c r="D756" s="369" t="s">
        <v>364</v>
      </c>
      <c r="E756" s="369" t="s">
        <v>601</v>
      </c>
      <c r="F756" s="369" t="s">
        <v>186</v>
      </c>
      <c r="G756" s="370">
        <v>471</v>
      </c>
      <c r="H756" s="148" t="s">
        <v>261</v>
      </c>
    </row>
    <row r="757" spans="2:8" ht="15" customHeight="1">
      <c r="B757" s="148" t="s">
        <v>1150</v>
      </c>
      <c r="C757" s="369" t="s">
        <v>813</v>
      </c>
      <c r="D757" s="369" t="s">
        <v>361</v>
      </c>
      <c r="E757" s="369" t="s">
        <v>603</v>
      </c>
      <c r="F757" s="369" t="s">
        <v>186</v>
      </c>
      <c r="G757" s="370">
        <v>647</v>
      </c>
      <c r="H757" s="148" t="s">
        <v>261</v>
      </c>
    </row>
    <row r="758" spans="2:8" ht="15" customHeight="1">
      <c r="B758" s="148" t="s">
        <v>1151</v>
      </c>
      <c r="C758" s="369" t="s">
        <v>821</v>
      </c>
      <c r="D758" s="369" t="s">
        <v>239</v>
      </c>
      <c r="E758" s="369" t="s">
        <v>524</v>
      </c>
      <c r="F758" s="369" t="s">
        <v>186</v>
      </c>
      <c r="G758" s="370">
        <v>114</v>
      </c>
      <c r="H758" s="148" t="s">
        <v>259</v>
      </c>
    </row>
    <row r="759" spans="2:8" ht="15" customHeight="1">
      <c r="B759" s="148" t="s">
        <v>1152</v>
      </c>
      <c r="C759" s="369" t="s">
        <v>821</v>
      </c>
      <c r="D759" s="369" t="s">
        <v>240</v>
      </c>
      <c r="E759" s="369" t="s">
        <v>521</v>
      </c>
      <c r="F759" s="369" t="s">
        <v>186</v>
      </c>
      <c r="G759" s="370">
        <v>104</v>
      </c>
      <c r="H759" s="148" t="s">
        <v>259</v>
      </c>
    </row>
    <row r="760" spans="2:8" ht="15" customHeight="1">
      <c r="B760" s="148" t="s">
        <v>1153</v>
      </c>
      <c r="C760" s="369" t="s">
        <v>821</v>
      </c>
      <c r="D760" s="369" t="s">
        <v>241</v>
      </c>
      <c r="E760" s="369" t="s">
        <v>528</v>
      </c>
      <c r="F760" s="369" t="s">
        <v>186</v>
      </c>
      <c r="G760" s="370">
        <v>142</v>
      </c>
      <c r="H760" s="148" t="s">
        <v>259</v>
      </c>
    </row>
    <row r="761" spans="2:8" ht="15" customHeight="1">
      <c r="B761" s="148" t="s">
        <v>1154</v>
      </c>
      <c r="C761" s="369" t="s">
        <v>821</v>
      </c>
      <c r="D761" s="369" t="s">
        <v>242</v>
      </c>
      <c r="E761" s="369" t="s">
        <v>530</v>
      </c>
      <c r="F761" s="369" t="s">
        <v>186</v>
      </c>
      <c r="G761" s="370">
        <v>151</v>
      </c>
      <c r="H761" s="148" t="s">
        <v>259</v>
      </c>
    </row>
    <row r="762" spans="2:8" ht="15" customHeight="1">
      <c r="B762" s="148" t="s">
        <v>1155</v>
      </c>
      <c r="C762" s="369" t="s">
        <v>821</v>
      </c>
      <c r="D762" s="369" t="s">
        <v>243</v>
      </c>
      <c r="E762" s="369" t="s">
        <v>526</v>
      </c>
      <c r="F762" s="369" t="s">
        <v>186</v>
      </c>
      <c r="G762" s="370">
        <v>125</v>
      </c>
      <c r="H762" s="148" t="s">
        <v>259</v>
      </c>
    </row>
    <row r="763" spans="2:8" ht="15" customHeight="1">
      <c r="B763" s="148" t="s">
        <v>1156</v>
      </c>
      <c r="C763" s="369" t="s">
        <v>827</v>
      </c>
      <c r="D763" s="369" t="s">
        <v>239</v>
      </c>
      <c r="E763" s="369" t="s">
        <v>524</v>
      </c>
      <c r="F763" s="369" t="s">
        <v>186</v>
      </c>
      <c r="G763" s="370">
        <v>124</v>
      </c>
      <c r="H763" s="148" t="s">
        <v>259</v>
      </c>
    </row>
    <row r="764" spans="2:8" ht="15" customHeight="1">
      <c r="B764" s="148" t="s">
        <v>1157</v>
      </c>
      <c r="C764" s="369" t="s">
        <v>827</v>
      </c>
      <c r="D764" s="369" t="s">
        <v>240</v>
      </c>
      <c r="E764" s="369" t="s">
        <v>521</v>
      </c>
      <c r="F764" s="369" t="s">
        <v>186</v>
      </c>
      <c r="G764" s="370">
        <v>115</v>
      </c>
      <c r="H764" s="148" t="s">
        <v>259</v>
      </c>
    </row>
    <row r="765" spans="2:8" ht="15" customHeight="1">
      <c r="B765" s="148" t="s">
        <v>1158</v>
      </c>
      <c r="C765" s="369" t="s">
        <v>827</v>
      </c>
      <c r="D765" s="369" t="s">
        <v>241</v>
      </c>
      <c r="E765" s="369" t="s">
        <v>528</v>
      </c>
      <c r="F765" s="369" t="s">
        <v>186</v>
      </c>
      <c r="G765" s="370">
        <v>157</v>
      </c>
      <c r="H765" s="148" t="s">
        <v>259</v>
      </c>
    </row>
    <row r="766" spans="2:8" ht="15" customHeight="1">
      <c r="B766" s="148" t="s">
        <v>1159</v>
      </c>
      <c r="C766" s="369" t="s">
        <v>827</v>
      </c>
      <c r="D766" s="369" t="s">
        <v>242</v>
      </c>
      <c r="E766" s="369" t="s">
        <v>530</v>
      </c>
      <c r="F766" s="369" t="s">
        <v>186</v>
      </c>
      <c r="G766" s="370">
        <v>166</v>
      </c>
      <c r="H766" s="148" t="s">
        <v>259</v>
      </c>
    </row>
    <row r="767" spans="2:8" ht="15" customHeight="1">
      <c r="B767" s="148" t="s">
        <v>1160</v>
      </c>
      <c r="C767" s="369" t="s">
        <v>827</v>
      </c>
      <c r="D767" s="369" t="s">
        <v>243</v>
      </c>
      <c r="E767" s="369" t="s">
        <v>526</v>
      </c>
      <c r="F767" s="369" t="s">
        <v>186</v>
      </c>
      <c r="G767" s="370">
        <v>148</v>
      </c>
      <c r="H767" s="148" t="s">
        <v>259</v>
      </c>
    </row>
    <row r="768" spans="2:8" ht="15" customHeight="1">
      <c r="B768" s="148" t="s">
        <v>1161</v>
      </c>
      <c r="C768" s="369" t="s">
        <v>833</v>
      </c>
      <c r="D768" s="369" t="s">
        <v>239</v>
      </c>
      <c r="E768" s="369" t="s">
        <v>524</v>
      </c>
      <c r="F768" s="369" t="s">
        <v>186</v>
      </c>
      <c r="G768" s="370">
        <v>143</v>
      </c>
      <c r="H768" s="148" t="s">
        <v>259</v>
      </c>
    </row>
    <row r="769" spans="2:8" ht="15" customHeight="1">
      <c r="B769" s="148" t="s">
        <v>1162</v>
      </c>
      <c r="C769" s="369" t="s">
        <v>833</v>
      </c>
      <c r="D769" s="369" t="s">
        <v>240</v>
      </c>
      <c r="E769" s="369" t="s">
        <v>521</v>
      </c>
      <c r="F769" s="369" t="s">
        <v>186</v>
      </c>
      <c r="G769" s="370">
        <v>132</v>
      </c>
      <c r="H769" s="148" t="s">
        <v>259</v>
      </c>
    </row>
    <row r="770" spans="2:8" ht="15" customHeight="1">
      <c r="B770" s="148" t="s">
        <v>1163</v>
      </c>
      <c r="C770" s="369" t="s">
        <v>833</v>
      </c>
      <c r="D770" s="369" t="s">
        <v>241</v>
      </c>
      <c r="E770" s="369" t="s">
        <v>528</v>
      </c>
      <c r="F770" s="369" t="s">
        <v>186</v>
      </c>
      <c r="G770" s="370">
        <v>217</v>
      </c>
      <c r="H770" s="148" t="s">
        <v>259</v>
      </c>
    </row>
    <row r="771" spans="2:8" ht="15" customHeight="1">
      <c r="B771" s="148" t="s">
        <v>1164</v>
      </c>
      <c r="C771" s="369" t="s">
        <v>833</v>
      </c>
      <c r="D771" s="369" t="s">
        <v>242</v>
      </c>
      <c r="E771" s="369" t="s">
        <v>530</v>
      </c>
      <c r="F771" s="369" t="s">
        <v>186</v>
      </c>
      <c r="G771" s="370">
        <v>258</v>
      </c>
      <c r="H771" s="148" t="s">
        <v>259</v>
      </c>
    </row>
    <row r="772" spans="2:8" ht="15" customHeight="1">
      <c r="B772" s="148" t="s">
        <v>1165</v>
      </c>
      <c r="C772" s="369" t="s">
        <v>833</v>
      </c>
      <c r="D772" s="369" t="s">
        <v>243</v>
      </c>
      <c r="E772" s="369" t="s">
        <v>526</v>
      </c>
      <c r="F772" s="369" t="s">
        <v>186</v>
      </c>
      <c r="G772" s="370">
        <v>189</v>
      </c>
      <c r="H772" s="148" t="s">
        <v>259</v>
      </c>
    </row>
    <row r="773" spans="2:8" ht="15" customHeight="1">
      <c r="B773" s="148" t="s">
        <v>1166</v>
      </c>
      <c r="C773" s="369" t="s">
        <v>451</v>
      </c>
      <c r="D773" s="369" t="s">
        <v>239</v>
      </c>
      <c r="E773" s="369" t="s">
        <v>524</v>
      </c>
      <c r="F773" s="369" t="s">
        <v>186</v>
      </c>
      <c r="G773" s="370">
        <v>132</v>
      </c>
      <c r="H773" s="148" t="s">
        <v>259</v>
      </c>
    </row>
    <row r="774" spans="2:8" ht="15" customHeight="1">
      <c r="B774" s="148" t="s">
        <v>1167</v>
      </c>
      <c r="C774" s="369" t="s">
        <v>451</v>
      </c>
      <c r="D774" s="369" t="s">
        <v>240</v>
      </c>
      <c r="E774" s="369" t="s">
        <v>521</v>
      </c>
      <c r="F774" s="369" t="s">
        <v>186</v>
      </c>
      <c r="G774" s="370">
        <v>120</v>
      </c>
      <c r="H774" s="148" t="s">
        <v>259</v>
      </c>
    </row>
    <row r="775" spans="2:8" ht="15" customHeight="1">
      <c r="B775" s="148" t="s">
        <v>1168</v>
      </c>
      <c r="C775" s="369" t="s">
        <v>451</v>
      </c>
      <c r="D775" s="369" t="s">
        <v>241</v>
      </c>
      <c r="E775" s="369" t="s">
        <v>528</v>
      </c>
      <c r="F775" s="369" t="s">
        <v>186</v>
      </c>
      <c r="G775" s="370">
        <v>180</v>
      </c>
      <c r="H775" s="148" t="s">
        <v>259</v>
      </c>
    </row>
    <row r="776" spans="2:8" ht="15" customHeight="1">
      <c r="B776" s="148" t="s">
        <v>1169</v>
      </c>
      <c r="C776" s="369" t="s">
        <v>451</v>
      </c>
      <c r="D776" s="369" t="s">
        <v>242</v>
      </c>
      <c r="E776" s="369" t="s">
        <v>530</v>
      </c>
      <c r="F776" s="369" t="s">
        <v>186</v>
      </c>
      <c r="G776" s="370">
        <v>189</v>
      </c>
      <c r="H776" s="148" t="s">
        <v>259</v>
      </c>
    </row>
    <row r="777" spans="2:8" ht="15" customHeight="1">
      <c r="B777" s="148" t="s">
        <v>1170</v>
      </c>
      <c r="C777" s="369" t="s">
        <v>451</v>
      </c>
      <c r="D777" s="369" t="s">
        <v>243</v>
      </c>
      <c r="E777" s="369" t="s">
        <v>526</v>
      </c>
      <c r="F777" s="369" t="s">
        <v>186</v>
      </c>
      <c r="G777" s="370">
        <v>166</v>
      </c>
      <c r="H777" s="148" t="s">
        <v>259</v>
      </c>
    </row>
    <row r="778" spans="2:8" ht="15" customHeight="1">
      <c r="B778" s="148" t="s">
        <v>1171</v>
      </c>
      <c r="C778" s="369" t="s">
        <v>844</v>
      </c>
      <c r="D778" s="369" t="s">
        <v>239</v>
      </c>
      <c r="E778" s="369" t="s">
        <v>524</v>
      </c>
      <c r="F778" s="369" t="s">
        <v>186</v>
      </c>
      <c r="G778" s="370">
        <v>117</v>
      </c>
      <c r="H778" s="148" t="s">
        <v>259</v>
      </c>
    </row>
    <row r="779" spans="2:8" ht="15" customHeight="1">
      <c r="B779" s="148" t="s">
        <v>1172</v>
      </c>
      <c r="C779" s="369" t="s">
        <v>844</v>
      </c>
      <c r="D779" s="369" t="s">
        <v>240</v>
      </c>
      <c r="E779" s="369" t="s">
        <v>521</v>
      </c>
      <c r="F779" s="369" t="s">
        <v>186</v>
      </c>
      <c r="G779" s="370">
        <v>106</v>
      </c>
      <c r="H779" s="148" t="s">
        <v>259</v>
      </c>
    </row>
    <row r="780" spans="2:8" ht="15" customHeight="1">
      <c r="B780" s="148" t="s">
        <v>1173</v>
      </c>
      <c r="C780" s="369" t="s">
        <v>844</v>
      </c>
      <c r="D780" s="369" t="s">
        <v>241</v>
      </c>
      <c r="E780" s="369" t="s">
        <v>528</v>
      </c>
      <c r="F780" s="369" t="s">
        <v>186</v>
      </c>
      <c r="G780" s="370">
        <v>164</v>
      </c>
      <c r="H780" s="148" t="s">
        <v>259</v>
      </c>
    </row>
    <row r="781" spans="2:8" ht="15" customHeight="1">
      <c r="B781" s="148" t="s">
        <v>1174</v>
      </c>
      <c r="C781" s="369" t="s">
        <v>844</v>
      </c>
      <c r="D781" s="369" t="s">
        <v>242</v>
      </c>
      <c r="E781" s="369" t="s">
        <v>530</v>
      </c>
      <c r="F781" s="369" t="s">
        <v>186</v>
      </c>
      <c r="G781" s="370">
        <v>177</v>
      </c>
      <c r="H781" s="148" t="s">
        <v>259</v>
      </c>
    </row>
    <row r="782" spans="2:8" ht="15" customHeight="1">
      <c r="B782" s="148" t="s">
        <v>1175</v>
      </c>
      <c r="C782" s="369" t="s">
        <v>844</v>
      </c>
      <c r="D782" s="369" t="s">
        <v>243</v>
      </c>
      <c r="E782" s="369" t="s">
        <v>526</v>
      </c>
      <c r="F782" s="369" t="s">
        <v>186</v>
      </c>
      <c r="G782" s="370">
        <v>148</v>
      </c>
      <c r="H782" s="148" t="s">
        <v>259</v>
      </c>
    </row>
    <row r="783" spans="2:8" ht="15" customHeight="1">
      <c r="B783" s="148" t="s">
        <v>1176</v>
      </c>
      <c r="C783" s="369" t="s">
        <v>850</v>
      </c>
      <c r="D783" s="369" t="s">
        <v>239</v>
      </c>
      <c r="E783" s="369" t="s">
        <v>524</v>
      </c>
      <c r="F783" s="369" t="s">
        <v>186</v>
      </c>
      <c r="G783" s="370">
        <v>145</v>
      </c>
      <c r="H783" s="148" t="s">
        <v>259</v>
      </c>
    </row>
    <row r="784" spans="2:8" ht="15" customHeight="1">
      <c r="B784" s="148" t="s">
        <v>1177</v>
      </c>
      <c r="C784" s="369" t="s">
        <v>850</v>
      </c>
      <c r="D784" s="369" t="s">
        <v>240</v>
      </c>
      <c r="E784" s="369" t="s">
        <v>521</v>
      </c>
      <c r="F784" s="369" t="s">
        <v>186</v>
      </c>
      <c r="G784" s="370">
        <v>125</v>
      </c>
      <c r="H784" s="148" t="s">
        <v>259</v>
      </c>
    </row>
    <row r="785" spans="2:8" ht="15" customHeight="1">
      <c r="B785" s="148" t="s">
        <v>1178</v>
      </c>
      <c r="C785" s="369" t="s">
        <v>850</v>
      </c>
      <c r="D785" s="369" t="s">
        <v>241</v>
      </c>
      <c r="E785" s="369" t="s">
        <v>528</v>
      </c>
      <c r="F785" s="369" t="s">
        <v>186</v>
      </c>
      <c r="G785" s="370">
        <v>201</v>
      </c>
      <c r="H785" s="148" t="s">
        <v>259</v>
      </c>
    </row>
    <row r="786" spans="2:8" ht="15" customHeight="1">
      <c r="B786" s="148" t="s">
        <v>1179</v>
      </c>
      <c r="C786" s="369" t="s">
        <v>850</v>
      </c>
      <c r="D786" s="369" t="s">
        <v>242</v>
      </c>
      <c r="E786" s="369" t="s">
        <v>530</v>
      </c>
      <c r="F786" s="369" t="s">
        <v>186</v>
      </c>
      <c r="G786" s="370">
        <v>223</v>
      </c>
      <c r="H786" s="148" t="s">
        <v>259</v>
      </c>
    </row>
    <row r="787" spans="2:8" ht="15" customHeight="1">
      <c r="B787" s="148" t="s">
        <v>1180</v>
      </c>
      <c r="C787" s="369" t="s">
        <v>850</v>
      </c>
      <c r="D787" s="369" t="s">
        <v>243</v>
      </c>
      <c r="E787" s="369" t="s">
        <v>526</v>
      </c>
      <c r="F787" s="369" t="s">
        <v>186</v>
      </c>
      <c r="G787" s="370">
        <v>166</v>
      </c>
      <c r="H787" s="148" t="s">
        <v>259</v>
      </c>
    </row>
    <row r="788" spans="2:8" ht="15" customHeight="1">
      <c r="B788" s="148" t="s">
        <v>1181</v>
      </c>
      <c r="C788" s="369" t="s">
        <v>856</v>
      </c>
      <c r="D788" s="369" t="s">
        <v>239</v>
      </c>
      <c r="E788" s="369" t="s">
        <v>524</v>
      </c>
      <c r="F788" s="369" t="s">
        <v>186</v>
      </c>
      <c r="G788" s="370">
        <v>120</v>
      </c>
      <c r="H788" s="148" t="s">
        <v>259</v>
      </c>
    </row>
    <row r="789" spans="2:8" ht="15" customHeight="1">
      <c r="B789" s="148" t="s">
        <v>1182</v>
      </c>
      <c r="C789" s="369" t="s">
        <v>856</v>
      </c>
      <c r="D789" s="369" t="s">
        <v>240</v>
      </c>
      <c r="E789" s="369" t="s">
        <v>521</v>
      </c>
      <c r="F789" s="369" t="s">
        <v>186</v>
      </c>
      <c r="G789" s="370">
        <v>115</v>
      </c>
      <c r="H789" s="148" t="s">
        <v>259</v>
      </c>
    </row>
    <row r="790" spans="2:8" ht="15" customHeight="1">
      <c r="B790" s="148" t="s">
        <v>1183</v>
      </c>
      <c r="C790" s="369" t="s">
        <v>856</v>
      </c>
      <c r="D790" s="369" t="s">
        <v>241</v>
      </c>
      <c r="E790" s="369" t="s">
        <v>528</v>
      </c>
      <c r="F790" s="369" t="s">
        <v>186</v>
      </c>
      <c r="G790" s="370">
        <v>174</v>
      </c>
      <c r="H790" s="148" t="s">
        <v>259</v>
      </c>
    </row>
    <row r="791" spans="2:8" ht="15" customHeight="1">
      <c r="B791" s="148" t="s">
        <v>1184</v>
      </c>
      <c r="C791" s="369" t="s">
        <v>856</v>
      </c>
      <c r="D791" s="369" t="s">
        <v>242</v>
      </c>
      <c r="E791" s="369" t="s">
        <v>530</v>
      </c>
      <c r="F791" s="369" t="s">
        <v>186</v>
      </c>
      <c r="G791" s="370">
        <v>189</v>
      </c>
      <c r="H791" s="148" t="s">
        <v>259</v>
      </c>
    </row>
    <row r="792" spans="2:8" ht="15" customHeight="1">
      <c r="B792" s="148" t="s">
        <v>1185</v>
      </c>
      <c r="C792" s="369" t="s">
        <v>856</v>
      </c>
      <c r="D792" s="369" t="s">
        <v>243</v>
      </c>
      <c r="E792" s="369" t="s">
        <v>526</v>
      </c>
      <c r="F792" s="369" t="s">
        <v>186</v>
      </c>
      <c r="G792" s="370">
        <v>157</v>
      </c>
      <c r="H792" s="148" t="s">
        <v>259</v>
      </c>
    </row>
    <row r="793" spans="2:8" ht="15" customHeight="1">
      <c r="B793" s="148" t="s">
        <v>1186</v>
      </c>
      <c r="C793" s="369" t="s">
        <v>862</v>
      </c>
      <c r="D793" s="369" t="s">
        <v>239</v>
      </c>
      <c r="E793" s="369" t="s">
        <v>524</v>
      </c>
      <c r="F793" s="369" t="s">
        <v>186</v>
      </c>
      <c r="G793" s="370">
        <v>106</v>
      </c>
      <c r="H793" s="148" t="s">
        <v>259</v>
      </c>
    </row>
    <row r="794" spans="2:8" ht="15" customHeight="1">
      <c r="B794" s="148" t="s">
        <v>1187</v>
      </c>
      <c r="C794" s="369" t="s">
        <v>862</v>
      </c>
      <c r="D794" s="369" t="s">
        <v>240</v>
      </c>
      <c r="E794" s="369" t="s">
        <v>521</v>
      </c>
      <c r="F794" s="369" t="s">
        <v>186</v>
      </c>
      <c r="G794" s="370">
        <v>86</v>
      </c>
      <c r="H794" s="148" t="s">
        <v>259</v>
      </c>
    </row>
    <row r="795" spans="2:8" ht="15" customHeight="1">
      <c r="B795" s="148" t="s">
        <v>1188</v>
      </c>
      <c r="C795" s="369" t="s">
        <v>862</v>
      </c>
      <c r="D795" s="369" t="s">
        <v>241</v>
      </c>
      <c r="E795" s="369" t="s">
        <v>528</v>
      </c>
      <c r="F795" s="369" t="s">
        <v>186</v>
      </c>
      <c r="G795" s="370">
        <v>142</v>
      </c>
      <c r="H795" s="148" t="s">
        <v>259</v>
      </c>
    </row>
    <row r="796" spans="2:8" ht="15" customHeight="1">
      <c r="B796" s="148" t="s">
        <v>1189</v>
      </c>
      <c r="C796" s="369" t="s">
        <v>862</v>
      </c>
      <c r="D796" s="369" t="s">
        <v>242</v>
      </c>
      <c r="E796" s="369" t="s">
        <v>530</v>
      </c>
      <c r="F796" s="369" t="s">
        <v>186</v>
      </c>
      <c r="G796" s="370">
        <v>151</v>
      </c>
      <c r="H796" s="148" t="s">
        <v>259</v>
      </c>
    </row>
    <row r="797" spans="2:8" ht="15" customHeight="1">
      <c r="B797" s="148" t="s">
        <v>1190</v>
      </c>
      <c r="C797" s="369" t="s">
        <v>862</v>
      </c>
      <c r="D797" s="369" t="s">
        <v>243</v>
      </c>
      <c r="E797" s="369" t="s">
        <v>526</v>
      </c>
      <c r="F797" s="369" t="s">
        <v>186</v>
      </c>
      <c r="G797" s="370">
        <v>132</v>
      </c>
      <c r="H797" s="148" t="s">
        <v>259</v>
      </c>
    </row>
    <row r="798" spans="2:8" ht="15" customHeight="1">
      <c r="B798" s="148" t="s">
        <v>1191</v>
      </c>
      <c r="C798" s="369" t="s">
        <v>868</v>
      </c>
      <c r="D798" s="369" t="s">
        <v>239</v>
      </c>
      <c r="E798" s="369" t="s">
        <v>524</v>
      </c>
      <c r="F798" s="369" t="s">
        <v>186</v>
      </c>
      <c r="G798" s="370">
        <v>127</v>
      </c>
      <c r="H798" s="148" t="s">
        <v>259</v>
      </c>
    </row>
    <row r="799" spans="2:8" ht="15" customHeight="1">
      <c r="B799" s="148" t="s">
        <v>1192</v>
      </c>
      <c r="C799" s="369" t="s">
        <v>868</v>
      </c>
      <c r="D799" s="369" t="s">
        <v>240</v>
      </c>
      <c r="E799" s="369" t="s">
        <v>521</v>
      </c>
      <c r="F799" s="369" t="s">
        <v>186</v>
      </c>
      <c r="G799" s="370">
        <v>120</v>
      </c>
      <c r="H799" s="148" t="s">
        <v>259</v>
      </c>
    </row>
    <row r="800" spans="2:8" ht="15" customHeight="1">
      <c r="B800" s="148" t="s">
        <v>1193</v>
      </c>
      <c r="C800" s="369" t="s">
        <v>868</v>
      </c>
      <c r="D800" s="369" t="s">
        <v>241</v>
      </c>
      <c r="E800" s="369" t="s">
        <v>528</v>
      </c>
      <c r="F800" s="369" t="s">
        <v>186</v>
      </c>
      <c r="G800" s="370">
        <v>172</v>
      </c>
      <c r="H800" s="148" t="s">
        <v>259</v>
      </c>
    </row>
    <row r="801" spans="2:8" ht="15" customHeight="1">
      <c r="B801" s="148" t="s">
        <v>1194</v>
      </c>
      <c r="C801" s="369" t="s">
        <v>868</v>
      </c>
      <c r="D801" s="369" t="s">
        <v>242</v>
      </c>
      <c r="E801" s="369" t="s">
        <v>530</v>
      </c>
      <c r="F801" s="369" t="s">
        <v>186</v>
      </c>
      <c r="G801" s="370">
        <v>189</v>
      </c>
      <c r="H801" s="148" t="s">
        <v>259</v>
      </c>
    </row>
    <row r="802" spans="2:8" ht="15" customHeight="1">
      <c r="B802" s="148" t="s">
        <v>1195</v>
      </c>
      <c r="C802" s="369" t="s">
        <v>868</v>
      </c>
      <c r="D802" s="369" t="s">
        <v>243</v>
      </c>
      <c r="E802" s="369" t="s">
        <v>526</v>
      </c>
      <c r="F802" s="369" t="s">
        <v>186</v>
      </c>
      <c r="G802" s="370">
        <v>157</v>
      </c>
      <c r="H802" s="148" t="s">
        <v>259</v>
      </c>
    </row>
    <row r="803" spans="2:8" ht="15" customHeight="1">
      <c r="B803" s="148" t="s">
        <v>1196</v>
      </c>
      <c r="C803" s="369" t="s">
        <v>259</v>
      </c>
      <c r="D803" s="369" t="s">
        <v>384</v>
      </c>
      <c r="E803" s="369" t="s">
        <v>591</v>
      </c>
      <c r="F803" s="369" t="s">
        <v>186</v>
      </c>
      <c r="G803" s="370">
        <v>189</v>
      </c>
      <c r="H803" s="148" t="s">
        <v>261</v>
      </c>
    </row>
    <row r="804" spans="2:8" ht="15" customHeight="1">
      <c r="B804" s="148" t="s">
        <v>1197</v>
      </c>
      <c r="C804" s="369" t="s">
        <v>259</v>
      </c>
      <c r="D804" s="369" t="s">
        <v>368</v>
      </c>
      <c r="E804" s="369" t="s">
        <v>593</v>
      </c>
      <c r="F804" s="369" t="s">
        <v>186</v>
      </c>
      <c r="G804" s="370">
        <v>194</v>
      </c>
      <c r="H804" s="148" t="s">
        <v>261</v>
      </c>
    </row>
    <row r="805" spans="2:8" ht="15" customHeight="1">
      <c r="B805" s="148" t="s">
        <v>1198</v>
      </c>
      <c r="C805" s="369" t="s">
        <v>259</v>
      </c>
      <c r="D805" s="369" t="s">
        <v>376</v>
      </c>
      <c r="E805" s="369" t="s">
        <v>595</v>
      </c>
      <c r="F805" s="369" t="s">
        <v>186</v>
      </c>
      <c r="G805" s="370">
        <v>306</v>
      </c>
      <c r="H805" s="148" t="s">
        <v>261</v>
      </c>
    </row>
    <row r="806" spans="2:8" ht="15" customHeight="1">
      <c r="B806" s="148" t="s">
        <v>1199</v>
      </c>
      <c r="C806" s="369" t="s">
        <v>259</v>
      </c>
      <c r="D806" s="369" t="s">
        <v>357</v>
      </c>
      <c r="E806" s="369" t="s">
        <v>597</v>
      </c>
      <c r="F806" s="369" t="s">
        <v>186</v>
      </c>
      <c r="G806" s="370">
        <v>383</v>
      </c>
      <c r="H806" s="148" t="s">
        <v>261</v>
      </c>
    </row>
    <row r="807" spans="2:8" ht="15" customHeight="1">
      <c r="B807" s="148" t="s">
        <v>1200</v>
      </c>
      <c r="C807" s="369" t="s">
        <v>259</v>
      </c>
      <c r="D807" s="369" t="s">
        <v>242</v>
      </c>
      <c r="E807" s="369" t="s">
        <v>599</v>
      </c>
      <c r="F807" s="369" t="s">
        <v>186</v>
      </c>
      <c r="G807" s="370">
        <v>383</v>
      </c>
      <c r="H807" s="148" t="s">
        <v>261</v>
      </c>
    </row>
    <row r="808" spans="2:8" ht="15" customHeight="1">
      <c r="B808" s="148" t="s">
        <v>1201</v>
      </c>
      <c r="C808" s="369" t="s">
        <v>259</v>
      </c>
      <c r="D808" s="369" t="s">
        <v>364</v>
      </c>
      <c r="E808" s="369" t="s">
        <v>601</v>
      </c>
      <c r="F808" s="369" t="s">
        <v>186</v>
      </c>
      <c r="G808" s="370">
        <v>260</v>
      </c>
      <c r="H808" s="148" t="s">
        <v>261</v>
      </c>
    </row>
    <row r="809" spans="2:8" ht="15" customHeight="1">
      <c r="B809" s="148" t="s">
        <v>1202</v>
      </c>
      <c r="C809" s="369" t="s">
        <v>259</v>
      </c>
      <c r="D809" s="369" t="s">
        <v>361</v>
      </c>
      <c r="E809" s="369" t="s">
        <v>603</v>
      </c>
      <c r="F809" s="369" t="s">
        <v>186</v>
      </c>
      <c r="G809" s="370">
        <v>342</v>
      </c>
      <c r="H809" s="148" t="s">
        <v>261</v>
      </c>
    </row>
    <row r="810" spans="2:8" ht="15" customHeight="1">
      <c r="B810" s="148" t="s">
        <v>1203</v>
      </c>
      <c r="C810" s="369" t="s">
        <v>881</v>
      </c>
      <c r="D810" s="369" t="s">
        <v>239</v>
      </c>
      <c r="E810" s="369" t="s">
        <v>524</v>
      </c>
      <c r="F810" s="369" t="s">
        <v>186</v>
      </c>
      <c r="G810" s="370">
        <v>140</v>
      </c>
      <c r="H810" s="148" t="s">
        <v>259</v>
      </c>
    </row>
    <row r="811" spans="2:8" ht="15" customHeight="1">
      <c r="B811" s="148" t="s">
        <v>1204</v>
      </c>
      <c r="C811" s="369" t="s">
        <v>881</v>
      </c>
      <c r="D811" s="369" t="s">
        <v>240</v>
      </c>
      <c r="E811" s="369" t="s">
        <v>521</v>
      </c>
      <c r="F811" s="369" t="s">
        <v>186</v>
      </c>
      <c r="G811" s="370">
        <v>120</v>
      </c>
      <c r="H811" s="148" t="s">
        <v>259</v>
      </c>
    </row>
    <row r="812" spans="2:8" ht="15" customHeight="1">
      <c r="B812" s="148" t="s">
        <v>1205</v>
      </c>
      <c r="C812" s="369" t="s">
        <v>881</v>
      </c>
      <c r="D812" s="369" t="s">
        <v>241</v>
      </c>
      <c r="E812" s="369" t="s">
        <v>528</v>
      </c>
      <c r="F812" s="369" t="s">
        <v>186</v>
      </c>
      <c r="G812" s="370">
        <v>164</v>
      </c>
      <c r="H812" s="148" t="s">
        <v>259</v>
      </c>
    </row>
    <row r="813" spans="2:8" ht="15" customHeight="1">
      <c r="B813" s="148" t="s">
        <v>1206</v>
      </c>
      <c r="C813" s="369" t="s">
        <v>881</v>
      </c>
      <c r="D813" s="369" t="s">
        <v>242</v>
      </c>
      <c r="E813" s="369" t="s">
        <v>530</v>
      </c>
      <c r="F813" s="369" t="s">
        <v>186</v>
      </c>
      <c r="G813" s="370">
        <v>177</v>
      </c>
      <c r="H813" s="148" t="s">
        <v>259</v>
      </c>
    </row>
    <row r="814" spans="2:8" ht="15" customHeight="1">
      <c r="B814" s="148" t="s">
        <v>1207</v>
      </c>
      <c r="C814" s="369" t="s">
        <v>881</v>
      </c>
      <c r="D814" s="369" t="s">
        <v>243</v>
      </c>
      <c r="E814" s="369" t="s">
        <v>526</v>
      </c>
      <c r="F814" s="369" t="s">
        <v>186</v>
      </c>
      <c r="G814" s="370">
        <v>154</v>
      </c>
      <c r="H814" s="148" t="s">
        <v>259</v>
      </c>
    </row>
    <row r="815" spans="2:8" ht="15" customHeight="1">
      <c r="B815" s="148" t="s">
        <v>1208</v>
      </c>
      <c r="C815" s="369" t="s">
        <v>887</v>
      </c>
      <c r="D815" s="369" t="s">
        <v>239</v>
      </c>
      <c r="E815" s="369" t="s">
        <v>524</v>
      </c>
      <c r="F815" s="369" t="s">
        <v>186</v>
      </c>
      <c r="G815" s="370">
        <v>114</v>
      </c>
      <c r="H815" s="148" t="s">
        <v>259</v>
      </c>
    </row>
    <row r="816" spans="2:8" ht="15" customHeight="1">
      <c r="B816" s="148" t="s">
        <v>1209</v>
      </c>
      <c r="C816" s="369" t="s">
        <v>887</v>
      </c>
      <c r="D816" s="369" t="s">
        <v>240</v>
      </c>
      <c r="E816" s="369" t="s">
        <v>521</v>
      </c>
      <c r="F816" s="369" t="s">
        <v>186</v>
      </c>
      <c r="G816" s="370">
        <v>102</v>
      </c>
      <c r="H816" s="148" t="s">
        <v>259</v>
      </c>
    </row>
    <row r="817" spans="2:8" ht="15" customHeight="1">
      <c r="B817" s="148" t="s">
        <v>1210</v>
      </c>
      <c r="C817" s="369" t="s">
        <v>887</v>
      </c>
      <c r="D817" s="369" t="s">
        <v>241</v>
      </c>
      <c r="E817" s="369" t="s">
        <v>528</v>
      </c>
      <c r="F817" s="369" t="s">
        <v>186</v>
      </c>
      <c r="G817" s="370">
        <v>147</v>
      </c>
      <c r="H817" s="148" t="s">
        <v>259</v>
      </c>
    </row>
    <row r="818" spans="2:8" ht="15" customHeight="1">
      <c r="B818" s="148" t="s">
        <v>1211</v>
      </c>
      <c r="C818" s="369" t="s">
        <v>887</v>
      </c>
      <c r="D818" s="369" t="s">
        <v>242</v>
      </c>
      <c r="E818" s="369" t="s">
        <v>530</v>
      </c>
      <c r="F818" s="369" t="s">
        <v>186</v>
      </c>
      <c r="G818" s="370">
        <v>156</v>
      </c>
      <c r="H818" s="148" t="s">
        <v>259</v>
      </c>
    </row>
    <row r="819" spans="2:8" ht="15" customHeight="1">
      <c r="B819" s="148" t="s">
        <v>1212</v>
      </c>
      <c r="C819" s="369" t="s">
        <v>887</v>
      </c>
      <c r="D819" s="369" t="s">
        <v>243</v>
      </c>
      <c r="E819" s="369" t="s">
        <v>526</v>
      </c>
      <c r="F819" s="369" t="s">
        <v>186</v>
      </c>
      <c r="G819" s="370">
        <v>134</v>
      </c>
      <c r="H819" s="148" t="s">
        <v>259</v>
      </c>
    </row>
    <row r="820" spans="2:8" ht="15" customHeight="1">
      <c r="B820" s="148" t="s">
        <v>1213</v>
      </c>
      <c r="C820" s="369" t="s">
        <v>893</v>
      </c>
      <c r="D820" s="369" t="s">
        <v>239</v>
      </c>
      <c r="E820" s="369" t="s">
        <v>524</v>
      </c>
      <c r="F820" s="369" t="s">
        <v>186</v>
      </c>
      <c r="G820" s="370">
        <v>166</v>
      </c>
      <c r="H820" s="148" t="s">
        <v>259</v>
      </c>
    </row>
    <row r="821" spans="2:8" ht="15" customHeight="1">
      <c r="B821" s="148" t="s">
        <v>1214</v>
      </c>
      <c r="C821" s="369" t="s">
        <v>893</v>
      </c>
      <c r="D821" s="369" t="s">
        <v>240</v>
      </c>
      <c r="E821" s="369" t="s">
        <v>521</v>
      </c>
      <c r="F821" s="369" t="s">
        <v>186</v>
      </c>
      <c r="G821" s="370">
        <v>147</v>
      </c>
      <c r="H821" s="148" t="s">
        <v>259</v>
      </c>
    </row>
    <row r="822" spans="2:8" ht="15" customHeight="1">
      <c r="B822" s="148" t="s">
        <v>1215</v>
      </c>
      <c r="C822" s="369" t="s">
        <v>893</v>
      </c>
      <c r="D822" s="369" t="s">
        <v>241</v>
      </c>
      <c r="E822" s="369" t="s">
        <v>528</v>
      </c>
      <c r="F822" s="369" t="s">
        <v>186</v>
      </c>
      <c r="G822" s="370">
        <v>239</v>
      </c>
      <c r="H822" s="148" t="s">
        <v>259</v>
      </c>
    </row>
    <row r="823" spans="2:8" ht="15" customHeight="1">
      <c r="B823" s="148" t="s">
        <v>1216</v>
      </c>
      <c r="C823" s="369" t="s">
        <v>893</v>
      </c>
      <c r="D823" s="369" t="s">
        <v>242</v>
      </c>
      <c r="E823" s="369" t="s">
        <v>530</v>
      </c>
      <c r="F823" s="369" t="s">
        <v>186</v>
      </c>
      <c r="G823" s="370">
        <v>272</v>
      </c>
      <c r="H823" s="148" t="s">
        <v>259</v>
      </c>
    </row>
    <row r="824" spans="2:8" ht="15" customHeight="1">
      <c r="B824" s="148" t="s">
        <v>1217</v>
      </c>
      <c r="C824" s="369" t="s">
        <v>893</v>
      </c>
      <c r="D824" s="369" t="s">
        <v>243</v>
      </c>
      <c r="E824" s="369" t="s">
        <v>526</v>
      </c>
      <c r="F824" s="369" t="s">
        <v>186</v>
      </c>
      <c r="G824" s="370">
        <v>207</v>
      </c>
      <c r="H824" s="148" t="s">
        <v>259</v>
      </c>
    </row>
    <row r="825" spans="2:8" ht="15" customHeight="1">
      <c r="B825" s="148" t="s">
        <v>1218</v>
      </c>
      <c r="C825" s="292" t="s">
        <v>168</v>
      </c>
      <c r="D825" s="369" t="s">
        <v>515</v>
      </c>
      <c r="E825" s="369" t="s">
        <v>599</v>
      </c>
      <c r="F825" s="369" t="s">
        <v>186</v>
      </c>
      <c r="G825" s="370">
        <v>750</v>
      </c>
      <c r="H825" s="148" t="s">
        <v>261</v>
      </c>
    </row>
    <row r="826" spans="2:8" ht="15" customHeight="1">
      <c r="B826" s="148" t="s">
        <v>1219</v>
      </c>
      <c r="C826" s="292" t="s">
        <v>168</v>
      </c>
      <c r="D826" s="369" t="s">
        <v>361</v>
      </c>
      <c r="E826" s="369" t="s">
        <v>603</v>
      </c>
      <c r="F826" s="369" t="s">
        <v>186</v>
      </c>
      <c r="G826" s="370">
        <v>647</v>
      </c>
      <c r="H826" s="148" t="s">
        <v>261</v>
      </c>
    </row>
    <row r="827" spans="2:8" ht="15" customHeight="1">
      <c r="B827" s="148" t="s">
        <v>1220</v>
      </c>
      <c r="C827" s="292" t="s">
        <v>168</v>
      </c>
      <c r="D827" s="369" t="s">
        <v>376</v>
      </c>
      <c r="E827" s="369" t="s">
        <v>528</v>
      </c>
      <c r="F827" s="369" t="s">
        <v>184</v>
      </c>
      <c r="G827" s="370">
        <v>161</v>
      </c>
      <c r="H827" s="148" t="s">
        <v>261</v>
      </c>
    </row>
    <row r="828" spans="2:8" ht="15" customHeight="1">
      <c r="B828" s="148" t="s">
        <v>1221</v>
      </c>
      <c r="C828" s="292" t="s">
        <v>168</v>
      </c>
      <c r="D828" s="369" t="s">
        <v>364</v>
      </c>
      <c r="E828" s="369" t="s">
        <v>526</v>
      </c>
      <c r="F828" s="369" t="s">
        <v>184</v>
      </c>
      <c r="G828" s="370">
        <v>121</v>
      </c>
      <c r="H828" s="148" t="s">
        <v>261</v>
      </c>
    </row>
    <row r="829" spans="2:8" ht="15" customHeight="1">
      <c r="B829" s="148" t="s">
        <v>1222</v>
      </c>
      <c r="C829" s="292" t="s">
        <v>168</v>
      </c>
      <c r="D829" s="369" t="s">
        <v>368</v>
      </c>
      <c r="E829" s="369" t="s">
        <v>524</v>
      </c>
      <c r="F829" s="369" t="s">
        <v>184</v>
      </c>
      <c r="G829" s="370">
        <v>104</v>
      </c>
      <c r="H829" s="148" t="s">
        <v>261</v>
      </c>
    </row>
    <row r="830" spans="2:8" ht="15" customHeight="1">
      <c r="B830" s="148" t="s">
        <v>1223</v>
      </c>
      <c r="C830" s="292" t="s">
        <v>168</v>
      </c>
      <c r="D830" s="369" t="s">
        <v>384</v>
      </c>
      <c r="E830" s="369" t="s">
        <v>593</v>
      </c>
      <c r="F830" s="369" t="s">
        <v>184</v>
      </c>
      <c r="G830" s="370">
        <v>48</v>
      </c>
      <c r="H830" s="148" t="s">
        <v>261</v>
      </c>
    </row>
    <row r="831" spans="2:8" ht="15" customHeight="1">
      <c r="B831" s="376" t="s">
        <v>1224</v>
      </c>
      <c r="C831" s="377" t="s">
        <v>492</v>
      </c>
      <c r="D831" s="377" t="s">
        <v>376</v>
      </c>
      <c r="E831" s="377" t="s">
        <v>528</v>
      </c>
      <c r="F831" s="377" t="s">
        <v>185</v>
      </c>
      <c r="G831" s="378">
        <v>142</v>
      </c>
      <c r="H831" s="376" t="s">
        <v>261</v>
      </c>
    </row>
    <row r="832" spans="2:8" ht="15" customHeight="1">
      <c r="B832" s="376" t="s">
        <v>1225</v>
      </c>
      <c r="C832" s="377" t="s">
        <v>492</v>
      </c>
      <c r="D832" s="377" t="s">
        <v>364</v>
      </c>
      <c r="E832" s="377" t="s">
        <v>526</v>
      </c>
      <c r="F832" s="377" t="s">
        <v>185</v>
      </c>
      <c r="G832" s="378">
        <v>83</v>
      </c>
      <c r="H832" s="376" t="s">
        <v>261</v>
      </c>
    </row>
    <row r="833" spans="2:8" ht="15" customHeight="1">
      <c r="B833" s="376" t="s">
        <v>1226</v>
      </c>
      <c r="C833" s="377" t="s">
        <v>492</v>
      </c>
      <c r="D833" s="377" t="s">
        <v>368</v>
      </c>
      <c r="E833" s="377" t="s">
        <v>524</v>
      </c>
      <c r="F833" s="377" t="s">
        <v>185</v>
      </c>
      <c r="G833" s="378">
        <v>73</v>
      </c>
      <c r="H833" s="376" t="s">
        <v>261</v>
      </c>
    </row>
    <row r="834" spans="2:8" ht="15" customHeight="1">
      <c r="B834" s="148" t="s">
        <v>1227</v>
      </c>
      <c r="C834" s="148" t="s">
        <v>392</v>
      </c>
      <c r="D834" s="148" t="s">
        <v>515</v>
      </c>
      <c r="E834" s="369" t="s">
        <v>530</v>
      </c>
      <c r="F834" s="369" t="s">
        <v>186</v>
      </c>
      <c r="G834" s="147">
        <v>625</v>
      </c>
      <c r="H834" s="148" t="s">
        <v>263</v>
      </c>
    </row>
    <row r="835" spans="2:8" ht="15" customHeight="1">
      <c r="B835" s="148" t="s">
        <v>1228</v>
      </c>
      <c r="C835" s="148" t="s">
        <v>392</v>
      </c>
      <c r="D835" s="148" t="s">
        <v>357</v>
      </c>
      <c r="E835" s="369" t="s">
        <v>530</v>
      </c>
      <c r="F835" s="369" t="s">
        <v>186</v>
      </c>
      <c r="G835" s="147">
        <v>575</v>
      </c>
      <c r="H835" s="148" t="s">
        <v>263</v>
      </c>
    </row>
    <row r="836" spans="2:8" ht="15" customHeight="1">
      <c r="B836" s="148" t="s">
        <v>1229</v>
      </c>
      <c r="C836" s="148" t="s">
        <v>392</v>
      </c>
      <c r="D836" s="148" t="s">
        <v>361</v>
      </c>
      <c r="E836" s="369" t="s">
        <v>528</v>
      </c>
      <c r="F836" s="369" t="s">
        <v>186</v>
      </c>
      <c r="G836" s="147">
        <v>500</v>
      </c>
      <c r="H836" s="148" t="s">
        <v>263</v>
      </c>
    </row>
    <row r="837" spans="2:8" ht="15" customHeight="1">
      <c r="B837" s="148" t="s">
        <v>1230</v>
      </c>
      <c r="C837" s="148" t="s">
        <v>392</v>
      </c>
      <c r="D837" s="148" t="s">
        <v>376</v>
      </c>
      <c r="E837" s="369" t="s">
        <v>526</v>
      </c>
      <c r="F837" s="369" t="s">
        <v>186</v>
      </c>
      <c r="G837" s="147">
        <v>365</v>
      </c>
      <c r="H837" s="148" t="s">
        <v>263</v>
      </c>
    </row>
    <row r="838" spans="2:8" ht="15" customHeight="1">
      <c r="B838" s="148" t="s">
        <v>1231</v>
      </c>
      <c r="C838" s="148" t="s">
        <v>392</v>
      </c>
      <c r="D838" s="148" t="s">
        <v>364</v>
      </c>
      <c r="E838" s="369" t="s">
        <v>524</v>
      </c>
      <c r="F838" s="369" t="s">
        <v>186</v>
      </c>
      <c r="G838" s="147">
        <v>285</v>
      </c>
      <c r="H838" s="148" t="s">
        <v>263</v>
      </c>
    </row>
    <row r="839" spans="2:8" ht="15" customHeight="1">
      <c r="B839" s="148" t="s">
        <v>1232</v>
      </c>
      <c r="C839" s="148" t="s">
        <v>392</v>
      </c>
      <c r="D839" s="148" t="s">
        <v>368</v>
      </c>
      <c r="E839" s="369" t="s">
        <v>521</v>
      </c>
      <c r="F839" s="369" t="s">
        <v>186</v>
      </c>
      <c r="G839" s="147">
        <v>185</v>
      </c>
      <c r="H839" s="148" t="s">
        <v>263</v>
      </c>
    </row>
    <row r="840" spans="2:8" ht="15" customHeight="1">
      <c r="B840" s="148" t="s">
        <v>1233</v>
      </c>
      <c r="C840" s="148" t="s">
        <v>392</v>
      </c>
      <c r="D840" s="148" t="s">
        <v>242</v>
      </c>
      <c r="E840" s="369" t="s">
        <v>530</v>
      </c>
      <c r="F840" s="148" t="s">
        <v>184</v>
      </c>
      <c r="G840" s="379" t="s">
        <v>1234</v>
      </c>
      <c r="H840" s="148" t="s">
        <v>263</v>
      </c>
    </row>
    <row r="841" spans="2:8" ht="15" customHeight="1">
      <c r="B841" s="148" t="s">
        <v>1235</v>
      </c>
      <c r="C841" s="148" t="s">
        <v>392</v>
      </c>
      <c r="D841" s="148" t="s">
        <v>357</v>
      </c>
      <c r="E841" s="369" t="s">
        <v>530</v>
      </c>
      <c r="F841" s="148" t="s">
        <v>184</v>
      </c>
      <c r="G841" s="379" t="s">
        <v>1234</v>
      </c>
      <c r="H841" s="148" t="s">
        <v>263</v>
      </c>
    </row>
    <row r="842" spans="2:8" ht="15" customHeight="1">
      <c r="B842" s="148" t="s">
        <v>1236</v>
      </c>
      <c r="C842" s="148" t="s">
        <v>392</v>
      </c>
      <c r="D842" s="148" t="s">
        <v>361</v>
      </c>
      <c r="E842" s="369" t="s">
        <v>528</v>
      </c>
      <c r="F842" s="148" t="s">
        <v>184</v>
      </c>
      <c r="G842" s="147">
        <v>330</v>
      </c>
      <c r="H842" s="148" t="s">
        <v>263</v>
      </c>
    </row>
    <row r="843" spans="2:8" ht="15" customHeight="1">
      <c r="B843" s="148" t="s">
        <v>1237</v>
      </c>
      <c r="C843" s="148" t="s">
        <v>392</v>
      </c>
      <c r="D843" s="148" t="s">
        <v>376</v>
      </c>
      <c r="E843" s="369" t="s">
        <v>526</v>
      </c>
      <c r="F843" s="148" t="s">
        <v>184</v>
      </c>
      <c r="G843" s="147">
        <v>240</v>
      </c>
      <c r="H843" s="148" t="s">
        <v>263</v>
      </c>
    </row>
    <row r="844" spans="2:8" ht="15" customHeight="1">
      <c r="B844" s="148" t="s">
        <v>1238</v>
      </c>
      <c r="C844" s="148" t="s">
        <v>392</v>
      </c>
      <c r="D844" s="148" t="s">
        <v>364</v>
      </c>
      <c r="E844" s="369" t="s">
        <v>524</v>
      </c>
      <c r="F844" s="148" t="s">
        <v>184</v>
      </c>
      <c r="G844" s="147">
        <v>180</v>
      </c>
      <c r="H844" s="148" t="s">
        <v>263</v>
      </c>
    </row>
    <row r="845" spans="2:8" ht="15" customHeight="1">
      <c r="B845" s="148" t="s">
        <v>1239</v>
      </c>
      <c r="C845" s="148" t="s">
        <v>392</v>
      </c>
      <c r="D845" s="148" t="s">
        <v>368</v>
      </c>
      <c r="E845" s="369" t="s">
        <v>521</v>
      </c>
      <c r="F845" s="148" t="s">
        <v>184</v>
      </c>
      <c r="G845" s="147">
        <v>120</v>
      </c>
      <c r="H845" s="148" t="s">
        <v>263</v>
      </c>
    </row>
  </sheetData>
  <autoFilter ref="B9:HE182" xr:uid="{00000000-0009-0000-0000-000004000000}"/>
  <mergeCells count="1">
    <mergeCell ref="X8:AA8"/>
  </mergeCells>
  <pageMargins left="0.70833333333333304" right="0.70833333333333304" top="0.74791666666666701" bottom="0.74791666666666701" header="0.511811023622047" footer="0.511811023622047"/>
  <pageSetup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72"/>
  <sheetViews>
    <sheetView zoomScaleNormal="100" workbookViewId="0"/>
  </sheetViews>
  <sheetFormatPr defaultColWidth="9.1796875" defaultRowHeight="14.5"/>
  <cols>
    <col min="1" max="1" width="9.1796875" style="380"/>
    <col min="2" max="2" width="30.7265625" style="380" customWidth="1"/>
    <col min="3" max="3" width="16.7265625" style="380" customWidth="1"/>
    <col min="4" max="4" width="20.453125" style="380" customWidth="1"/>
    <col min="5" max="6" width="14.26953125" style="380" customWidth="1"/>
    <col min="7" max="7" width="20.1796875" style="380" customWidth="1"/>
    <col min="8" max="10" width="14.26953125" style="380" customWidth="1"/>
    <col min="11" max="11" width="12.7265625" style="380" customWidth="1"/>
    <col min="12" max="12" width="13.7265625" style="380" customWidth="1"/>
    <col min="13" max="13" width="9.1796875" style="380"/>
    <col min="14" max="14" width="20.26953125" style="380" customWidth="1"/>
    <col min="15" max="15" width="28.1796875" style="380" customWidth="1"/>
    <col min="16" max="20" width="9.1796875" style="380"/>
    <col min="21" max="116" width="2.453125" style="380" customWidth="1"/>
    <col min="117" max="16384" width="9.1796875" style="380"/>
  </cols>
  <sheetData>
    <row r="1" spans="1:116">
      <c r="A1" s="381" t="s">
        <v>1240</v>
      </c>
      <c r="B1" s="382" t="s">
        <v>1241</v>
      </c>
      <c r="C1" s="382" t="s">
        <v>1242</v>
      </c>
      <c r="D1" s="382" t="s">
        <v>1243</v>
      </c>
      <c r="U1" s="383" t="s">
        <v>40</v>
      </c>
      <c r="V1" s="383"/>
      <c r="W1" s="383"/>
      <c r="X1" s="383"/>
      <c r="Y1" s="383"/>
      <c r="Z1" s="383"/>
      <c r="AA1" s="383"/>
      <c r="AB1" s="383"/>
      <c r="AC1" s="383"/>
      <c r="AD1" s="383"/>
      <c r="AE1" s="383"/>
      <c r="AF1" s="383"/>
      <c r="AG1" s="226"/>
      <c r="AH1" s="226"/>
      <c r="AI1" s="226"/>
      <c r="AJ1" s="226"/>
      <c r="AK1" s="226"/>
      <c r="AL1" s="226"/>
      <c r="AM1" s="226"/>
      <c r="AN1" s="226"/>
      <c r="AO1" s="226"/>
      <c r="AP1" s="226"/>
      <c r="AQ1" s="226"/>
      <c r="AR1" s="226"/>
      <c r="AS1" s="226"/>
      <c r="AT1" s="226"/>
      <c r="AU1" s="384" t="s">
        <v>41</v>
      </c>
      <c r="AV1" s="385"/>
      <c r="AW1" s="385"/>
      <c r="AX1" s="386"/>
      <c r="AY1" s="384" t="s">
        <v>42</v>
      </c>
      <c r="AZ1" s="385"/>
      <c r="BA1" s="385"/>
      <c r="BB1" s="386"/>
      <c r="BC1" s="384" t="s">
        <v>43</v>
      </c>
      <c r="BD1" s="385"/>
      <c r="BE1" s="385"/>
      <c r="BF1" s="386"/>
      <c r="BG1" s="384" t="s">
        <v>44</v>
      </c>
      <c r="BH1" s="385"/>
      <c r="BI1" s="385"/>
      <c r="BJ1" s="386"/>
      <c r="BK1" s="384" t="s">
        <v>45</v>
      </c>
      <c r="BL1" s="385"/>
      <c r="BM1" s="385"/>
      <c r="BN1" s="386"/>
      <c r="BO1" s="384" t="s">
        <v>46</v>
      </c>
      <c r="BP1" s="385"/>
      <c r="BQ1" s="385"/>
      <c r="BR1" s="386"/>
      <c r="BS1" s="387"/>
      <c r="BT1" s="387"/>
      <c r="BU1" s="226"/>
      <c r="BV1" s="388" t="s">
        <v>15</v>
      </c>
      <c r="BW1" s="388"/>
      <c r="BX1" s="388"/>
      <c r="BY1" s="388"/>
      <c r="BZ1" s="388"/>
      <c r="CA1" s="388"/>
      <c r="CB1" s="226"/>
      <c r="CC1" s="226"/>
      <c r="CD1" s="226"/>
      <c r="CE1" s="388" t="s">
        <v>16</v>
      </c>
      <c r="CF1" s="388"/>
      <c r="CG1" s="388"/>
      <c r="CH1" s="388"/>
      <c r="CI1" s="388"/>
      <c r="CJ1" s="389"/>
      <c r="CK1" s="389"/>
      <c r="CL1" s="388"/>
      <c r="CM1" s="226"/>
      <c r="CN1" s="226"/>
      <c r="CO1" s="226"/>
      <c r="CP1" s="390" t="s">
        <v>47</v>
      </c>
      <c r="CQ1" s="390"/>
      <c r="CR1" s="390"/>
      <c r="CS1" s="390"/>
      <c r="CT1" s="390"/>
      <c r="CU1" s="390"/>
      <c r="CV1" s="226"/>
      <c r="CW1" s="226"/>
      <c r="CX1" s="226"/>
      <c r="CY1" s="391" t="s">
        <v>30</v>
      </c>
      <c r="CZ1" s="391"/>
      <c r="DA1" s="391"/>
      <c r="DB1" s="391"/>
      <c r="DC1" s="391"/>
      <c r="DD1" s="391"/>
      <c r="DE1" s="226"/>
      <c r="DF1" s="226"/>
      <c r="DG1" s="226"/>
      <c r="DH1" s="226"/>
      <c r="DI1" s="226"/>
      <c r="DJ1" s="226"/>
      <c r="DK1" s="226"/>
      <c r="DL1" s="226"/>
    </row>
    <row r="2" spans="1:116">
      <c r="A2" s="392">
        <v>1</v>
      </c>
      <c r="B2" s="392" t="s">
        <v>1244</v>
      </c>
      <c r="C2" s="393">
        <v>1500000</v>
      </c>
      <c r="D2" s="394">
        <v>46296</v>
      </c>
      <c r="U2" s="226"/>
      <c r="V2" s="226"/>
      <c r="W2" s="226"/>
      <c r="X2" s="226"/>
      <c r="Y2" s="226"/>
      <c r="Z2" s="226"/>
      <c r="AA2" s="226"/>
      <c r="AB2" s="226"/>
      <c r="AC2" s="226"/>
      <c r="AD2" s="226"/>
      <c r="AE2" s="395" t="s">
        <v>9</v>
      </c>
      <c r="AF2" s="395"/>
      <c r="AG2" s="396" t="s">
        <v>48</v>
      </c>
      <c r="AH2" s="397"/>
      <c r="AI2" s="397"/>
      <c r="AJ2" s="398"/>
      <c r="AK2" s="398"/>
      <c r="AL2" s="399"/>
      <c r="AM2" s="396" t="s">
        <v>49</v>
      </c>
      <c r="AN2" s="397"/>
      <c r="AO2" s="397"/>
      <c r="AP2" s="399"/>
      <c r="AQ2" s="396" t="s">
        <v>50</v>
      </c>
      <c r="AR2" s="397"/>
      <c r="AS2" s="397"/>
      <c r="AT2" s="399"/>
      <c r="AU2" s="396" t="s">
        <v>51</v>
      </c>
      <c r="AV2" s="397"/>
      <c r="AW2" s="397"/>
      <c r="AX2" s="399"/>
      <c r="AY2" s="396" t="s">
        <v>52</v>
      </c>
      <c r="AZ2" s="397"/>
      <c r="BA2" s="397"/>
      <c r="BB2" s="399"/>
      <c r="BC2" s="226"/>
      <c r="BD2" s="226"/>
      <c r="BE2" s="226"/>
      <c r="BF2" s="226"/>
      <c r="BG2" s="226"/>
      <c r="BH2" s="226"/>
      <c r="BI2" s="226"/>
      <c r="BJ2" s="226"/>
      <c r="BK2" s="226"/>
      <c r="BL2" s="226"/>
      <c r="BM2" s="226"/>
      <c r="BN2" s="226"/>
      <c r="BO2" s="226"/>
      <c r="BP2" s="226"/>
      <c r="BQ2" s="226"/>
      <c r="BR2" s="226"/>
      <c r="BS2" s="400" t="s">
        <v>10</v>
      </c>
      <c r="BT2" s="401"/>
      <c r="BU2" s="401"/>
      <c r="BV2" s="226"/>
      <c r="BW2" s="226"/>
      <c r="BX2" s="226"/>
      <c r="BY2" s="226"/>
      <c r="BZ2" s="226"/>
      <c r="CA2" s="226"/>
      <c r="CB2" s="400" t="s">
        <v>11</v>
      </c>
      <c r="CC2" s="401"/>
      <c r="CD2" s="401"/>
      <c r="CE2" s="226"/>
      <c r="CF2" s="226"/>
      <c r="CG2" s="226"/>
      <c r="CH2" s="226"/>
      <c r="CI2" s="226"/>
      <c r="CJ2" s="402"/>
      <c r="CK2" s="402"/>
      <c r="CL2" s="226"/>
      <c r="CM2" s="400" t="s">
        <v>28</v>
      </c>
      <c r="CN2" s="401"/>
      <c r="CO2" s="401"/>
      <c r="CP2" s="226"/>
      <c r="CQ2" s="226"/>
      <c r="CR2" s="226"/>
      <c r="CS2" s="226"/>
      <c r="CT2" s="226"/>
      <c r="CU2" s="226"/>
      <c r="CV2" s="400" t="s">
        <v>12</v>
      </c>
      <c r="CW2" s="401"/>
      <c r="CX2" s="401"/>
      <c r="CY2" s="226"/>
      <c r="CZ2" s="226"/>
      <c r="DA2" s="226"/>
      <c r="DB2" s="226"/>
      <c r="DC2" s="226"/>
      <c r="DD2" s="226"/>
      <c r="DE2" s="400" t="s">
        <v>21</v>
      </c>
      <c r="DF2" s="401"/>
      <c r="DG2" s="401"/>
      <c r="DH2" s="403" t="s">
        <v>14</v>
      </c>
      <c r="DI2" s="404"/>
      <c r="DJ2" s="404"/>
      <c r="DK2" s="404"/>
      <c r="DL2" s="404"/>
    </row>
    <row r="3" spans="1:116">
      <c r="A3" s="392">
        <v>2</v>
      </c>
      <c r="B3" s="392" t="s">
        <v>1245</v>
      </c>
      <c r="C3" s="393">
        <v>1500000</v>
      </c>
      <c r="D3" s="394">
        <v>46327</v>
      </c>
      <c r="U3" s="255"/>
      <c r="V3" s="255"/>
      <c r="W3" s="255"/>
      <c r="X3" s="255"/>
      <c r="Y3" s="255"/>
      <c r="Z3" s="255"/>
      <c r="AA3" s="255"/>
      <c r="AB3" s="255"/>
      <c r="AC3" s="255"/>
      <c r="AD3" s="255"/>
      <c r="AE3" s="255"/>
      <c r="AF3" s="255"/>
      <c r="AG3" s="255"/>
      <c r="AH3" s="255"/>
      <c r="AI3" s="255"/>
      <c r="AJ3" s="255"/>
      <c r="AK3" s="255"/>
      <c r="AL3" s="255"/>
      <c r="AM3" s="255"/>
      <c r="AN3" s="255"/>
      <c r="AO3" s="255"/>
      <c r="AP3" s="255"/>
      <c r="AQ3" s="255"/>
      <c r="AR3" s="255"/>
      <c r="AS3" s="255"/>
      <c r="AT3" s="255"/>
      <c r="AU3" s="255"/>
      <c r="AV3" s="255"/>
      <c r="AW3" s="255"/>
      <c r="AX3" s="255"/>
      <c r="AY3" s="255"/>
      <c r="AZ3" s="255"/>
      <c r="BA3" s="255"/>
      <c r="BB3" s="255"/>
      <c r="BC3" s="255"/>
      <c r="BD3" s="255"/>
      <c r="BE3" s="255"/>
      <c r="BF3" s="255"/>
      <c r="BG3" s="255"/>
      <c r="BH3" s="255"/>
      <c r="BI3" s="255"/>
      <c r="BJ3" s="255"/>
      <c r="BK3" s="255"/>
      <c r="BL3" s="255"/>
      <c r="BM3" s="255"/>
      <c r="BN3" s="255"/>
      <c r="BO3" s="255"/>
      <c r="BP3" s="255"/>
      <c r="BQ3" s="255"/>
      <c r="BR3" s="255"/>
      <c r="BS3" s="255"/>
      <c r="BT3" s="255"/>
      <c r="BU3" s="255"/>
      <c r="BV3" s="255"/>
      <c r="BW3" s="255"/>
      <c r="BX3" s="255"/>
      <c r="BY3" s="255"/>
      <c r="BZ3" s="255"/>
      <c r="CA3" s="255"/>
      <c r="CB3" s="255"/>
      <c r="CC3" s="255"/>
      <c r="CD3" s="255"/>
      <c r="CE3" s="255"/>
      <c r="CF3" s="255"/>
      <c r="CG3" s="255"/>
      <c r="CH3" s="255"/>
      <c r="CI3" s="255"/>
      <c r="CJ3" s="255"/>
      <c r="CK3" s="255"/>
      <c r="CL3" s="255"/>
      <c r="CM3" s="255"/>
      <c r="CN3" s="255"/>
      <c r="CO3" s="255"/>
      <c r="CP3" s="255"/>
      <c r="CQ3" s="255"/>
      <c r="CR3" s="255"/>
      <c r="CS3" s="255"/>
      <c r="CT3" s="255"/>
      <c r="CU3" s="255"/>
      <c r="CV3" s="255"/>
      <c r="CW3" s="255"/>
      <c r="CX3" s="255"/>
      <c r="CY3" s="255"/>
      <c r="CZ3" s="255"/>
      <c r="DA3" s="255"/>
      <c r="DB3" s="255"/>
      <c r="DC3" s="255"/>
      <c r="DD3" s="255"/>
      <c r="DE3" s="255"/>
      <c r="DF3" s="255"/>
      <c r="DG3" s="255"/>
      <c r="DH3" s="255"/>
      <c r="DI3" s="255"/>
      <c r="DJ3" s="255"/>
      <c r="DK3" s="255"/>
      <c r="DL3" s="255"/>
    </row>
    <row r="4" spans="1:116">
      <c r="A4" s="392">
        <v>3</v>
      </c>
      <c r="B4" s="392" t="s">
        <v>1246</v>
      </c>
      <c r="C4" s="393">
        <v>2500000</v>
      </c>
      <c r="D4" s="394">
        <v>46357</v>
      </c>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row>
    <row r="5" spans="1:116">
      <c r="A5" s="392">
        <v>4</v>
      </c>
      <c r="B5" s="392" t="s">
        <v>1247</v>
      </c>
      <c r="C5" s="393">
        <v>2500000</v>
      </c>
      <c r="D5" s="394">
        <v>46388</v>
      </c>
      <c r="U5" s="255" t="s">
        <v>278</v>
      </c>
      <c r="V5" s="255" t="s">
        <v>278</v>
      </c>
      <c r="W5" s="255" t="s">
        <v>278</v>
      </c>
      <c r="X5" s="255" t="s">
        <v>278</v>
      </c>
      <c r="Y5" s="255" t="s">
        <v>278</v>
      </c>
      <c r="Z5" s="255" t="s">
        <v>278</v>
      </c>
      <c r="AA5" s="255" t="s">
        <v>278</v>
      </c>
      <c r="AB5" s="255" t="s">
        <v>278</v>
      </c>
      <c r="AC5" s="255" t="s">
        <v>278</v>
      </c>
      <c r="AD5" s="255" t="s">
        <v>278</v>
      </c>
      <c r="AE5" s="255" t="s">
        <v>278</v>
      </c>
      <c r="AF5" s="255" t="s">
        <v>278</v>
      </c>
      <c r="AG5" s="255" t="s">
        <v>278</v>
      </c>
      <c r="AH5" s="255" t="s">
        <v>278</v>
      </c>
      <c r="AI5" s="255" t="s">
        <v>278</v>
      </c>
      <c r="AJ5" s="255" t="s">
        <v>278</v>
      </c>
      <c r="AK5" s="255" t="s">
        <v>278</v>
      </c>
      <c r="AL5" s="255" t="s">
        <v>278</v>
      </c>
      <c r="AM5" s="255" t="s">
        <v>278</v>
      </c>
      <c r="AN5" s="255" t="s">
        <v>278</v>
      </c>
      <c r="AO5" s="255" t="s">
        <v>278</v>
      </c>
      <c r="AP5" s="255" t="s">
        <v>278</v>
      </c>
      <c r="AQ5" s="255" t="s">
        <v>278</v>
      </c>
      <c r="AR5" s="255" t="s">
        <v>278</v>
      </c>
      <c r="AS5" s="255" t="s">
        <v>278</v>
      </c>
      <c r="AT5" s="255" t="s">
        <v>278</v>
      </c>
      <c r="AU5" s="255" t="s">
        <v>278</v>
      </c>
      <c r="AV5" s="255" t="s">
        <v>278</v>
      </c>
      <c r="AW5" s="255" t="s">
        <v>278</v>
      </c>
      <c r="AX5" s="255" t="s">
        <v>278</v>
      </c>
      <c r="AY5" s="255" t="s">
        <v>278</v>
      </c>
      <c r="AZ5" s="255" t="s">
        <v>278</v>
      </c>
      <c r="BA5" s="255" t="s">
        <v>278</v>
      </c>
      <c r="BB5" s="255" t="s">
        <v>278</v>
      </c>
      <c r="BC5" s="255" t="s">
        <v>278</v>
      </c>
      <c r="BD5" s="255" t="s">
        <v>278</v>
      </c>
      <c r="BE5" s="255" t="s">
        <v>278</v>
      </c>
      <c r="BF5" s="255" t="s">
        <v>278</v>
      </c>
      <c r="BG5" s="255" t="s">
        <v>279</v>
      </c>
      <c r="BH5" s="255" t="s">
        <v>279</v>
      </c>
      <c r="BI5" s="255" t="s">
        <v>279</v>
      </c>
      <c r="BJ5" s="255" t="s">
        <v>279</v>
      </c>
      <c r="BK5" s="255" t="s">
        <v>279</v>
      </c>
      <c r="BL5" s="255" t="s">
        <v>279</v>
      </c>
      <c r="BM5" s="255" t="s">
        <v>279</v>
      </c>
      <c r="BN5" s="255" t="s">
        <v>279</v>
      </c>
      <c r="BO5" s="255" t="s">
        <v>279</v>
      </c>
      <c r="BP5" s="255" t="s">
        <v>279</v>
      </c>
      <c r="BQ5" s="255" t="s">
        <v>279</v>
      </c>
      <c r="BR5" s="255" t="s">
        <v>279</v>
      </c>
      <c r="BS5" s="255" t="s">
        <v>279</v>
      </c>
      <c r="BT5" s="255" t="s">
        <v>279</v>
      </c>
      <c r="BU5" s="255" t="s">
        <v>279</v>
      </c>
      <c r="BV5" s="255" t="s">
        <v>279</v>
      </c>
      <c r="BW5" s="255" t="s">
        <v>279</v>
      </c>
      <c r="BX5" s="255" t="s">
        <v>279</v>
      </c>
      <c r="BY5" s="255" t="s">
        <v>279</v>
      </c>
      <c r="BZ5" s="255" t="s">
        <v>279</v>
      </c>
      <c r="CA5" s="255" t="s">
        <v>279</v>
      </c>
      <c r="CB5" s="255" t="s">
        <v>279</v>
      </c>
      <c r="CC5" s="255" t="s">
        <v>279</v>
      </c>
      <c r="CD5" s="255" t="s">
        <v>279</v>
      </c>
      <c r="CE5" s="255" t="s">
        <v>279</v>
      </c>
      <c r="CF5" s="255" t="s">
        <v>279</v>
      </c>
      <c r="CG5" s="255" t="s">
        <v>279</v>
      </c>
      <c r="CH5" s="255" t="s">
        <v>279</v>
      </c>
      <c r="CI5" s="255" t="s">
        <v>279</v>
      </c>
      <c r="CJ5" s="255" t="s">
        <v>279</v>
      </c>
      <c r="CK5" s="255" t="s">
        <v>279</v>
      </c>
      <c r="CL5" s="255" t="s">
        <v>279</v>
      </c>
      <c r="CM5" s="255" t="s">
        <v>279</v>
      </c>
      <c r="CN5" s="255" t="s">
        <v>279</v>
      </c>
      <c r="CO5" s="255" t="s">
        <v>279</v>
      </c>
      <c r="CP5" s="255" t="s">
        <v>279</v>
      </c>
      <c r="CQ5" s="255" t="s">
        <v>279</v>
      </c>
      <c r="CR5" s="255" t="s">
        <v>279</v>
      </c>
      <c r="CS5" s="255" t="s">
        <v>279</v>
      </c>
      <c r="CT5" s="255" t="s">
        <v>279</v>
      </c>
      <c r="CU5" s="255" t="s">
        <v>279</v>
      </c>
      <c r="CV5" s="255" t="s">
        <v>279</v>
      </c>
      <c r="CW5" s="255" t="s">
        <v>279</v>
      </c>
      <c r="CX5" s="255" t="s">
        <v>279</v>
      </c>
      <c r="CY5" s="255" t="s">
        <v>279</v>
      </c>
      <c r="CZ5" s="255" t="s">
        <v>279</v>
      </c>
      <c r="DA5" s="255" t="s">
        <v>279</v>
      </c>
      <c r="DB5" s="255" t="s">
        <v>279</v>
      </c>
      <c r="DC5" s="255" t="s">
        <v>279</v>
      </c>
      <c r="DD5" s="255" t="s">
        <v>279</v>
      </c>
      <c r="DE5" s="255" t="s">
        <v>279</v>
      </c>
      <c r="DF5" s="255" t="s">
        <v>279</v>
      </c>
      <c r="DG5" s="255" t="s">
        <v>280</v>
      </c>
      <c r="DH5" s="255" t="s">
        <v>281</v>
      </c>
      <c r="DI5" s="255" t="s">
        <v>281</v>
      </c>
      <c r="DJ5" s="255" t="s">
        <v>281</v>
      </c>
      <c r="DK5" s="255" t="s">
        <v>281</v>
      </c>
      <c r="DL5" s="255" t="s">
        <v>281</v>
      </c>
    </row>
    <row r="6" spans="1:116">
      <c r="A6" s="392">
        <v>5</v>
      </c>
      <c r="B6" s="392" t="s">
        <v>1248</v>
      </c>
      <c r="C6" s="393">
        <v>2500000</v>
      </c>
      <c r="D6" s="394">
        <v>46419</v>
      </c>
      <c r="U6" s="266" t="s">
        <v>292</v>
      </c>
      <c r="V6" s="266" t="s">
        <v>292</v>
      </c>
      <c r="W6" s="266" t="s">
        <v>293</v>
      </c>
      <c r="X6" s="266" t="s">
        <v>293</v>
      </c>
      <c r="Y6" s="266" t="s">
        <v>293</v>
      </c>
      <c r="Z6" s="266" t="s">
        <v>293</v>
      </c>
      <c r="AA6" s="266" t="s">
        <v>294</v>
      </c>
      <c r="AB6" s="266" t="s">
        <v>294</v>
      </c>
      <c r="AC6" s="266" t="s">
        <v>294</v>
      </c>
      <c r="AD6" s="266" t="s">
        <v>294</v>
      </c>
      <c r="AE6" s="266" t="s">
        <v>295</v>
      </c>
      <c r="AF6" s="266" t="s">
        <v>295</v>
      </c>
      <c r="AG6" s="266" t="s">
        <v>295</v>
      </c>
      <c r="AH6" s="266" t="s">
        <v>295</v>
      </c>
      <c r="AI6" s="266" t="s">
        <v>296</v>
      </c>
      <c r="AJ6" s="266" t="s">
        <v>296</v>
      </c>
      <c r="AK6" s="266" t="s">
        <v>296</v>
      </c>
      <c r="AL6" s="266" t="s">
        <v>296</v>
      </c>
      <c r="AM6" s="266" t="s">
        <v>297</v>
      </c>
      <c r="AN6" s="266" t="s">
        <v>297</v>
      </c>
      <c r="AO6" s="266" t="s">
        <v>297</v>
      </c>
      <c r="AP6" s="266" t="s">
        <v>297</v>
      </c>
      <c r="AQ6" s="266" t="s">
        <v>298</v>
      </c>
      <c r="AR6" s="266" t="s">
        <v>298</v>
      </c>
      <c r="AS6" s="266" t="s">
        <v>298</v>
      </c>
      <c r="AT6" s="266" t="s">
        <v>298</v>
      </c>
      <c r="AU6" s="266" t="s">
        <v>299</v>
      </c>
      <c r="AV6" s="266" t="s">
        <v>299</v>
      </c>
      <c r="AW6" s="266" t="s">
        <v>299</v>
      </c>
      <c r="AX6" s="266" t="s">
        <v>299</v>
      </c>
      <c r="AY6" s="266" t="s">
        <v>300</v>
      </c>
      <c r="AZ6" s="266" t="s">
        <v>300</v>
      </c>
      <c r="BA6" s="266" t="s">
        <v>300</v>
      </c>
      <c r="BB6" s="266" t="s">
        <v>300</v>
      </c>
      <c r="BC6" s="266" t="s">
        <v>301</v>
      </c>
      <c r="BD6" s="266" t="s">
        <v>301</v>
      </c>
      <c r="BE6" s="266" t="s">
        <v>301</v>
      </c>
      <c r="BF6" s="266" t="s">
        <v>301</v>
      </c>
      <c r="BG6" s="266" t="s">
        <v>302</v>
      </c>
      <c r="BH6" s="266" t="s">
        <v>302</v>
      </c>
      <c r="BI6" s="266" t="s">
        <v>302</v>
      </c>
      <c r="BJ6" s="266" t="s">
        <v>302</v>
      </c>
      <c r="BK6" s="266" t="s">
        <v>303</v>
      </c>
      <c r="BL6" s="266" t="s">
        <v>303</v>
      </c>
      <c r="BM6" s="266" t="s">
        <v>303</v>
      </c>
      <c r="BN6" s="266" t="s">
        <v>303</v>
      </c>
      <c r="BO6" s="266" t="s">
        <v>304</v>
      </c>
      <c r="BP6" s="266" t="s">
        <v>304</v>
      </c>
      <c r="BQ6" s="266" t="s">
        <v>304</v>
      </c>
      <c r="BR6" s="266" t="s">
        <v>304</v>
      </c>
      <c r="BS6" s="266" t="s">
        <v>305</v>
      </c>
      <c r="BT6" s="266" t="s">
        <v>305</v>
      </c>
      <c r="BU6" s="266" t="s">
        <v>305</v>
      </c>
      <c r="BV6" s="266" t="s">
        <v>305</v>
      </c>
      <c r="BW6" s="266" t="s">
        <v>306</v>
      </c>
      <c r="BX6" s="266" t="s">
        <v>306</v>
      </c>
      <c r="BY6" s="266" t="s">
        <v>306</v>
      </c>
      <c r="BZ6" s="266" t="s">
        <v>306</v>
      </c>
      <c r="CA6" s="266" t="s">
        <v>307</v>
      </c>
      <c r="CB6" s="266" t="s">
        <v>307</v>
      </c>
      <c r="CC6" s="266" t="s">
        <v>307</v>
      </c>
      <c r="CD6" s="266" t="s">
        <v>307</v>
      </c>
      <c r="CE6" s="266" t="s">
        <v>308</v>
      </c>
      <c r="CF6" s="266" t="s">
        <v>308</v>
      </c>
      <c r="CG6" s="266" t="s">
        <v>308</v>
      </c>
      <c r="CH6" s="266" t="s">
        <v>308</v>
      </c>
      <c r="CI6" s="266" t="s">
        <v>309</v>
      </c>
      <c r="CJ6" s="266" t="s">
        <v>309</v>
      </c>
      <c r="CK6" s="266" t="s">
        <v>309</v>
      </c>
      <c r="CL6" s="266" t="s">
        <v>309</v>
      </c>
      <c r="CM6" s="266" t="s">
        <v>310</v>
      </c>
      <c r="CN6" s="266" t="s">
        <v>310</v>
      </c>
      <c r="CO6" s="266" t="s">
        <v>310</v>
      </c>
      <c r="CP6" s="266" t="s">
        <v>310</v>
      </c>
      <c r="CQ6" s="266" t="s">
        <v>311</v>
      </c>
      <c r="CR6" s="266" t="s">
        <v>311</v>
      </c>
      <c r="CS6" s="266" t="s">
        <v>311</v>
      </c>
      <c r="CT6" s="266" t="s">
        <v>311</v>
      </c>
      <c r="CU6" s="266" t="s">
        <v>312</v>
      </c>
      <c r="CV6" s="266" t="s">
        <v>312</v>
      </c>
      <c r="CW6" s="266" t="s">
        <v>312</v>
      </c>
      <c r="CX6" s="266" t="s">
        <v>312</v>
      </c>
      <c r="CY6" s="266" t="s">
        <v>313</v>
      </c>
      <c r="CZ6" s="266" t="s">
        <v>313</v>
      </c>
      <c r="DA6" s="266" t="s">
        <v>313</v>
      </c>
      <c r="DB6" s="266" t="s">
        <v>313</v>
      </c>
      <c r="DC6" s="266" t="s">
        <v>314</v>
      </c>
      <c r="DD6" s="266" t="s">
        <v>314</v>
      </c>
      <c r="DE6" s="266" t="s">
        <v>314</v>
      </c>
      <c r="DF6" s="266" t="s">
        <v>314</v>
      </c>
      <c r="DG6" s="266" t="s">
        <v>280</v>
      </c>
      <c r="DH6" s="266" t="s">
        <v>280</v>
      </c>
      <c r="DI6" s="266" t="s">
        <v>280</v>
      </c>
      <c r="DJ6" s="266" t="s">
        <v>280</v>
      </c>
      <c r="DK6" s="266" t="s">
        <v>315</v>
      </c>
      <c r="DL6" s="266" t="s">
        <v>315</v>
      </c>
    </row>
    <row r="7" spans="1:116" ht="48.5">
      <c r="A7" s="392">
        <v>6</v>
      </c>
      <c r="B7" s="392" t="s">
        <v>1249</v>
      </c>
      <c r="C7" s="393">
        <v>2500000</v>
      </c>
      <c r="D7" s="394">
        <v>46447</v>
      </c>
      <c r="U7" s="405">
        <v>46272</v>
      </c>
      <c r="V7" s="405">
        <v>46279</v>
      </c>
      <c r="W7" s="405">
        <v>46286</v>
      </c>
      <c r="X7" s="405">
        <v>46293</v>
      </c>
      <c r="Y7" s="405">
        <v>46300</v>
      </c>
      <c r="Z7" s="405">
        <v>46307</v>
      </c>
      <c r="AA7" s="405">
        <v>46314</v>
      </c>
      <c r="AB7" s="405">
        <v>46321</v>
      </c>
      <c r="AC7" s="405">
        <v>46328</v>
      </c>
      <c r="AD7" s="405">
        <v>46335</v>
      </c>
      <c r="AE7" s="405">
        <v>46342</v>
      </c>
      <c r="AF7" s="405">
        <v>46349</v>
      </c>
      <c r="AG7" s="405">
        <v>46356</v>
      </c>
      <c r="AH7" s="405">
        <v>46363</v>
      </c>
      <c r="AI7" s="405">
        <v>46370</v>
      </c>
      <c r="AJ7" s="406">
        <v>46377</v>
      </c>
      <c r="AK7" s="406">
        <v>46384</v>
      </c>
      <c r="AL7" s="405">
        <v>46391</v>
      </c>
      <c r="AM7" s="405">
        <v>46398</v>
      </c>
      <c r="AN7" s="405">
        <v>46405</v>
      </c>
      <c r="AO7" s="405">
        <v>46412</v>
      </c>
      <c r="AP7" s="405">
        <v>46419</v>
      </c>
      <c r="AQ7" s="405">
        <v>46426</v>
      </c>
      <c r="AR7" s="405">
        <v>46433</v>
      </c>
      <c r="AS7" s="405">
        <v>46440</v>
      </c>
      <c r="AT7" s="405">
        <v>46447</v>
      </c>
      <c r="AU7" s="405">
        <v>46454</v>
      </c>
      <c r="AV7" s="405">
        <v>46461</v>
      </c>
      <c r="AW7" s="405">
        <v>46468</v>
      </c>
      <c r="AX7" s="405">
        <v>46475</v>
      </c>
      <c r="AY7" s="405">
        <v>46482</v>
      </c>
      <c r="AZ7" s="405">
        <v>46489</v>
      </c>
      <c r="BA7" s="405">
        <v>46496</v>
      </c>
      <c r="BB7" s="405">
        <v>46503</v>
      </c>
      <c r="BC7" s="405">
        <v>46510</v>
      </c>
      <c r="BD7" s="405">
        <v>46517</v>
      </c>
      <c r="BE7" s="405">
        <v>46524</v>
      </c>
      <c r="BF7" s="405">
        <v>46531</v>
      </c>
      <c r="BG7" s="405">
        <v>46538</v>
      </c>
      <c r="BH7" s="405">
        <v>46545</v>
      </c>
      <c r="BI7" s="405">
        <v>46552</v>
      </c>
      <c r="BJ7" s="405">
        <v>46559</v>
      </c>
      <c r="BK7" s="405">
        <v>46566</v>
      </c>
      <c r="BL7" s="405">
        <v>46573</v>
      </c>
      <c r="BM7" s="405">
        <v>46580</v>
      </c>
      <c r="BN7" s="405">
        <v>46587</v>
      </c>
      <c r="BO7" s="405">
        <v>46594</v>
      </c>
      <c r="BP7" s="405">
        <v>46601</v>
      </c>
      <c r="BQ7" s="405">
        <v>46608</v>
      </c>
      <c r="BR7" s="405">
        <v>46615</v>
      </c>
      <c r="BS7" s="405">
        <v>46622</v>
      </c>
      <c r="BT7" s="405">
        <v>46629</v>
      </c>
      <c r="BU7" s="405">
        <v>46636</v>
      </c>
      <c r="BV7" s="405">
        <v>46643</v>
      </c>
      <c r="BW7" s="405">
        <v>46650</v>
      </c>
      <c r="BX7" s="405">
        <v>46657</v>
      </c>
      <c r="BY7" s="405">
        <v>46664</v>
      </c>
      <c r="BZ7" s="405">
        <v>46671</v>
      </c>
      <c r="CA7" s="405">
        <v>46678</v>
      </c>
      <c r="CB7" s="405">
        <v>46685</v>
      </c>
      <c r="CC7" s="405">
        <v>46692</v>
      </c>
      <c r="CD7" s="405">
        <v>46699</v>
      </c>
      <c r="CE7" s="405">
        <v>46706</v>
      </c>
      <c r="CF7" s="405">
        <v>46713</v>
      </c>
      <c r="CG7" s="405">
        <v>46720</v>
      </c>
      <c r="CH7" s="405">
        <v>46727</v>
      </c>
      <c r="CI7" s="405">
        <v>46734</v>
      </c>
      <c r="CJ7" s="406">
        <v>46741</v>
      </c>
      <c r="CK7" s="406">
        <v>46748</v>
      </c>
      <c r="CL7" s="405">
        <v>46755</v>
      </c>
      <c r="CM7" s="405">
        <v>46762</v>
      </c>
      <c r="CN7" s="405">
        <v>46769</v>
      </c>
      <c r="CO7" s="405">
        <v>46776</v>
      </c>
      <c r="CP7" s="405">
        <v>46783</v>
      </c>
      <c r="CQ7" s="405">
        <v>46790</v>
      </c>
      <c r="CR7" s="405">
        <v>46797</v>
      </c>
      <c r="CS7" s="405">
        <v>46804</v>
      </c>
      <c r="CT7" s="405">
        <v>46811</v>
      </c>
      <c r="CU7" s="405">
        <v>46818</v>
      </c>
      <c r="CV7" s="405">
        <v>46825</v>
      </c>
      <c r="CW7" s="405">
        <v>46832</v>
      </c>
      <c r="CX7" s="405">
        <v>46839</v>
      </c>
      <c r="CY7" s="405">
        <v>46846</v>
      </c>
      <c r="CZ7" s="405">
        <v>46853</v>
      </c>
      <c r="DA7" s="405">
        <v>46860</v>
      </c>
      <c r="DB7" s="405">
        <v>46867</v>
      </c>
      <c r="DC7" s="405">
        <v>46874</v>
      </c>
      <c r="DD7" s="405">
        <v>46881</v>
      </c>
      <c r="DE7" s="405">
        <v>46888</v>
      </c>
      <c r="DF7" s="405">
        <v>46895</v>
      </c>
      <c r="DG7" s="405">
        <v>46902</v>
      </c>
      <c r="DH7" s="405">
        <v>46909</v>
      </c>
      <c r="DI7" s="405">
        <v>46916</v>
      </c>
      <c r="DJ7" s="405">
        <v>46923</v>
      </c>
      <c r="DK7" s="405">
        <v>46930</v>
      </c>
      <c r="DL7" s="405">
        <v>46937</v>
      </c>
    </row>
    <row r="8" spans="1:116">
      <c r="A8" s="392">
        <v>7</v>
      </c>
      <c r="B8" s="392" t="s">
        <v>1250</v>
      </c>
      <c r="C8" s="393">
        <v>2500000</v>
      </c>
      <c r="D8" s="394">
        <v>46478</v>
      </c>
    </row>
    <row r="9" spans="1:116">
      <c r="A9" s="392">
        <v>8</v>
      </c>
      <c r="B9" s="392" t="s">
        <v>1251</v>
      </c>
      <c r="C9" s="393">
        <v>2500000</v>
      </c>
      <c r="D9" s="394">
        <v>46508</v>
      </c>
    </row>
    <row r="10" spans="1:116">
      <c r="A10" s="392">
        <v>9</v>
      </c>
      <c r="B10" s="392" t="s">
        <v>1252</v>
      </c>
      <c r="C10" s="393">
        <v>2500000</v>
      </c>
      <c r="D10" s="394">
        <v>46539</v>
      </c>
    </row>
    <row r="11" spans="1:116">
      <c r="A11" s="392">
        <v>10</v>
      </c>
      <c r="B11" s="392" t="s">
        <v>1253</v>
      </c>
      <c r="C11" s="393">
        <v>2500000</v>
      </c>
      <c r="D11" s="394">
        <v>46569</v>
      </c>
    </row>
    <row r="12" spans="1:116">
      <c r="A12" s="392">
        <v>11</v>
      </c>
      <c r="B12" s="392" t="s">
        <v>1254</v>
      </c>
      <c r="C12" s="393">
        <v>2500000</v>
      </c>
      <c r="D12" s="394">
        <v>46600</v>
      </c>
    </row>
    <row r="13" spans="1:116">
      <c r="A13" s="392">
        <v>12</v>
      </c>
      <c r="B13" s="392" t="s">
        <v>1255</v>
      </c>
      <c r="C13" s="393">
        <v>2500000</v>
      </c>
      <c r="D13" s="394">
        <v>46631</v>
      </c>
    </row>
    <row r="14" spans="1:116">
      <c r="A14" s="392">
        <v>13</v>
      </c>
      <c r="B14" s="392" t="s">
        <v>1256</v>
      </c>
      <c r="C14" s="393">
        <v>2000000</v>
      </c>
      <c r="D14" s="394">
        <v>46661</v>
      </c>
    </row>
    <row r="15" spans="1:116">
      <c r="A15" s="392">
        <v>14</v>
      </c>
      <c r="B15" s="392" t="s">
        <v>1257</v>
      </c>
      <c r="C15" s="393">
        <v>2000000</v>
      </c>
      <c r="D15" s="394">
        <v>46692</v>
      </c>
    </row>
    <row r="16" spans="1:116">
      <c r="A16" s="392">
        <v>15</v>
      </c>
      <c r="B16" s="392" t="s">
        <v>10</v>
      </c>
      <c r="C16" s="393">
        <v>2000000</v>
      </c>
      <c r="D16" s="394">
        <v>46722</v>
      </c>
    </row>
    <row r="17" spans="1:4">
      <c r="A17" s="392">
        <v>16</v>
      </c>
      <c r="B17" s="392" t="s">
        <v>1258</v>
      </c>
      <c r="C17" s="393">
        <v>2000000</v>
      </c>
      <c r="D17" s="394">
        <v>46753</v>
      </c>
    </row>
    <row r="18" spans="1:4">
      <c r="A18" s="392">
        <v>17</v>
      </c>
      <c r="B18" s="392" t="s">
        <v>11</v>
      </c>
      <c r="C18" s="393">
        <v>2000000</v>
      </c>
      <c r="D18" s="394">
        <v>46784</v>
      </c>
    </row>
    <row r="19" spans="1:4">
      <c r="A19" s="392">
        <v>18</v>
      </c>
      <c r="B19" s="392" t="s">
        <v>16</v>
      </c>
      <c r="C19" s="393">
        <v>2000000</v>
      </c>
      <c r="D19" s="394">
        <v>46813</v>
      </c>
    </row>
    <row r="20" spans="1:4">
      <c r="A20" s="392">
        <v>19</v>
      </c>
      <c r="B20" s="392" t="s">
        <v>28</v>
      </c>
      <c r="C20" s="393">
        <v>1500000</v>
      </c>
      <c r="D20" s="394">
        <v>46844</v>
      </c>
    </row>
    <row r="21" spans="1:4">
      <c r="A21" s="392">
        <v>20</v>
      </c>
      <c r="B21" s="392" t="s">
        <v>1259</v>
      </c>
      <c r="C21" s="393">
        <v>1500000</v>
      </c>
      <c r="D21" s="394">
        <v>46874</v>
      </c>
    </row>
    <row r="22" spans="1:4">
      <c r="A22" s="392">
        <v>21</v>
      </c>
      <c r="B22" s="392" t="s">
        <v>1260</v>
      </c>
      <c r="C22" s="393">
        <v>1500000</v>
      </c>
      <c r="D22" s="394">
        <v>46905</v>
      </c>
    </row>
    <row r="23" spans="1:4">
      <c r="A23" s="392">
        <v>22</v>
      </c>
      <c r="B23" s="392" t="s">
        <v>1261</v>
      </c>
      <c r="C23" s="393">
        <v>1500000</v>
      </c>
      <c r="D23" s="394">
        <v>46935</v>
      </c>
    </row>
    <row r="24" spans="1:4">
      <c r="A24" s="392">
        <v>23</v>
      </c>
      <c r="B24" s="392" t="s">
        <v>1262</v>
      </c>
      <c r="C24" s="393">
        <v>1500000</v>
      </c>
      <c r="D24" s="394">
        <v>46941</v>
      </c>
    </row>
    <row r="25" spans="1:4">
      <c r="A25" s="407"/>
      <c r="B25" s="408" t="s">
        <v>213</v>
      </c>
      <c r="C25" s="409">
        <f>SUM(C2:C24)</f>
        <v>47500000</v>
      </c>
      <c r="D25" s="410"/>
    </row>
    <row r="43" spans="1:12" s="414" customFormat="1" ht="48.75" customHeight="1">
      <c r="A43" s="381" t="s">
        <v>1240</v>
      </c>
      <c r="B43" s="382" t="s">
        <v>1241</v>
      </c>
      <c r="C43" s="411" t="s">
        <v>1242</v>
      </c>
      <c r="D43" s="412" t="s">
        <v>1263</v>
      </c>
      <c r="E43" s="412" t="s">
        <v>1264</v>
      </c>
      <c r="F43" s="412" t="s">
        <v>1265</v>
      </c>
      <c r="G43" s="412" t="s">
        <v>1266</v>
      </c>
      <c r="H43" s="413" t="s">
        <v>1267</v>
      </c>
      <c r="I43" s="413" t="s">
        <v>1268</v>
      </c>
      <c r="J43" s="413" t="s">
        <v>1269</v>
      </c>
      <c r="K43" s="412" t="s">
        <v>1270</v>
      </c>
      <c r="L43" s="411" t="s">
        <v>1243</v>
      </c>
    </row>
    <row r="44" spans="1:12">
      <c r="A44" s="392">
        <v>1</v>
      </c>
      <c r="B44" s="392" t="s">
        <v>1244</v>
      </c>
      <c r="C44" s="415">
        <v>1500000</v>
      </c>
      <c r="D44" s="416">
        <f>C44*(1-$N$54)</f>
        <v>1350000</v>
      </c>
      <c r="E44" s="415">
        <f>C44-D44</f>
        <v>150000</v>
      </c>
      <c r="F44" s="415"/>
      <c r="G44" s="417"/>
      <c r="H44" s="417"/>
      <c r="I44" s="417"/>
      <c r="J44" s="417"/>
      <c r="K44" s="417"/>
      <c r="L44" s="394">
        <v>46296</v>
      </c>
    </row>
    <row r="45" spans="1:12">
      <c r="A45" s="392">
        <v>2</v>
      </c>
      <c r="B45" s="392" t="s">
        <v>1245</v>
      </c>
      <c r="C45" s="415">
        <v>1500000</v>
      </c>
      <c r="D45" s="416">
        <f>C45*(1-$N$54)</f>
        <v>1350000</v>
      </c>
      <c r="E45" s="415">
        <f>C45-D45</f>
        <v>150000</v>
      </c>
      <c r="F45" s="415"/>
      <c r="G45" s="417"/>
      <c r="H45" s="417"/>
      <c r="I45" s="417"/>
      <c r="J45" s="417"/>
      <c r="K45" s="417"/>
      <c r="L45" s="394">
        <v>46327</v>
      </c>
    </row>
    <row r="46" spans="1:12">
      <c r="A46" s="392">
        <v>3</v>
      </c>
      <c r="B46" s="392" t="s">
        <v>1246</v>
      </c>
      <c r="C46" s="415">
        <v>2500000</v>
      </c>
      <c r="D46" s="416">
        <f>C46*(1-$N$54)</f>
        <v>2250000</v>
      </c>
      <c r="E46" s="415">
        <f>C46-D46</f>
        <v>250000</v>
      </c>
      <c r="F46" s="415"/>
      <c r="G46" s="417"/>
      <c r="H46" s="417"/>
      <c r="I46" s="417"/>
      <c r="J46" s="417"/>
      <c r="K46" s="417"/>
      <c r="L46" s="394">
        <v>46357</v>
      </c>
    </row>
    <row r="47" spans="1:12">
      <c r="A47" s="392"/>
      <c r="B47" s="418" t="s">
        <v>1271</v>
      </c>
      <c r="C47" s="419"/>
      <c r="D47" s="420">
        <f>E47*K47</f>
        <v>412500</v>
      </c>
      <c r="E47" s="419">
        <f>SUM(E44:E46)</f>
        <v>550000</v>
      </c>
      <c r="F47" s="419">
        <f>E47-D47</f>
        <v>137500</v>
      </c>
      <c r="G47" s="421">
        <f>F47</f>
        <v>137500</v>
      </c>
      <c r="H47" s="422">
        <f>$N$61*E47</f>
        <v>55000</v>
      </c>
      <c r="I47" s="422">
        <f>$N$62*E47</f>
        <v>137500</v>
      </c>
      <c r="J47" s="422">
        <f>$N$63*E47</f>
        <v>330000</v>
      </c>
      <c r="K47" s="423">
        <v>0.75</v>
      </c>
      <c r="L47" s="394"/>
    </row>
    <row r="48" spans="1:12">
      <c r="A48" s="392">
        <v>4</v>
      </c>
      <c r="B48" s="392" t="s">
        <v>1247</v>
      </c>
      <c r="C48" s="415">
        <v>2500000</v>
      </c>
      <c r="D48" s="416">
        <f>C48*(1-$N$54)</f>
        <v>2250000</v>
      </c>
      <c r="E48" s="415">
        <f>C48-D48</f>
        <v>250000</v>
      </c>
      <c r="F48" s="415"/>
      <c r="G48" s="417"/>
      <c r="H48" s="417"/>
      <c r="I48" s="417"/>
      <c r="J48" s="417"/>
      <c r="K48" s="417"/>
      <c r="L48" s="394">
        <v>46388</v>
      </c>
    </row>
    <row r="49" spans="1:15">
      <c r="A49" s="392">
        <v>5</v>
      </c>
      <c r="B49" s="392" t="s">
        <v>1248</v>
      </c>
      <c r="C49" s="415">
        <v>2500000</v>
      </c>
      <c r="D49" s="416">
        <f>C49*(1-$N$54)</f>
        <v>2250000</v>
      </c>
      <c r="E49" s="415">
        <f>C49-D49</f>
        <v>250000</v>
      </c>
      <c r="F49" s="415"/>
      <c r="G49" s="417"/>
      <c r="H49" s="417"/>
      <c r="I49" s="417"/>
      <c r="J49" s="417"/>
      <c r="K49" s="417"/>
      <c r="L49" s="394">
        <v>46419</v>
      </c>
    </row>
    <row r="50" spans="1:15">
      <c r="A50" s="392">
        <v>6</v>
      </c>
      <c r="B50" s="392" t="s">
        <v>1249</v>
      </c>
      <c r="C50" s="415">
        <v>2500000</v>
      </c>
      <c r="D50" s="416">
        <f>C50*(1-$N$54)</f>
        <v>2250000</v>
      </c>
      <c r="E50" s="415">
        <f>C50-D50</f>
        <v>250000</v>
      </c>
      <c r="F50" s="415"/>
      <c r="G50" s="417"/>
      <c r="H50" s="417"/>
      <c r="I50" s="417"/>
      <c r="J50" s="417"/>
      <c r="K50" s="417"/>
      <c r="L50" s="394">
        <v>46447</v>
      </c>
    </row>
    <row r="51" spans="1:15">
      <c r="A51" s="392">
        <v>7</v>
      </c>
      <c r="B51" s="392" t="s">
        <v>1250</v>
      </c>
      <c r="C51" s="415">
        <v>2500000</v>
      </c>
      <c r="D51" s="416">
        <f>C51*(1-$N$54)</f>
        <v>2250000</v>
      </c>
      <c r="E51" s="415">
        <f>C51-D51</f>
        <v>250000</v>
      </c>
      <c r="F51" s="415"/>
      <c r="G51" s="417"/>
      <c r="H51" s="417"/>
      <c r="I51" s="417"/>
      <c r="J51" s="417"/>
      <c r="K51" s="417"/>
      <c r="L51" s="394">
        <v>46478</v>
      </c>
    </row>
    <row r="52" spans="1:15" ht="15">
      <c r="A52" s="392">
        <v>8</v>
      </c>
      <c r="B52" s="392" t="s">
        <v>1251</v>
      </c>
      <c r="C52" s="415">
        <v>2500000</v>
      </c>
      <c r="D52" s="416">
        <f>C52*(1-$N$54)</f>
        <v>2250000</v>
      </c>
      <c r="E52" s="415">
        <f>C52-D52</f>
        <v>250000</v>
      </c>
      <c r="F52" s="415"/>
      <c r="G52" s="417"/>
      <c r="H52" s="417"/>
      <c r="I52" s="417"/>
      <c r="J52" s="417"/>
      <c r="K52" s="417"/>
      <c r="L52" s="394">
        <v>46508</v>
      </c>
      <c r="N52" s="424" t="s">
        <v>1272</v>
      </c>
    </row>
    <row r="53" spans="1:15" ht="15">
      <c r="A53" s="392"/>
      <c r="B53" s="418" t="s">
        <v>1273</v>
      </c>
      <c r="C53" s="419"/>
      <c r="D53" s="420">
        <f>E53*K53</f>
        <v>1062500</v>
      </c>
      <c r="E53" s="419">
        <f>SUM(E48:E52)</f>
        <v>1250000</v>
      </c>
      <c r="F53" s="419">
        <f>E53-D53</f>
        <v>187500</v>
      </c>
      <c r="G53" s="421">
        <f>F53+G47</f>
        <v>325000</v>
      </c>
      <c r="H53" s="422">
        <f>$N$61*E53</f>
        <v>125000</v>
      </c>
      <c r="I53" s="422">
        <f>$N$62*E53</f>
        <v>312500</v>
      </c>
      <c r="J53" s="422">
        <f>$N$63*E53</f>
        <v>750000</v>
      </c>
      <c r="K53" s="423">
        <v>0.85</v>
      </c>
      <c r="L53" s="394"/>
      <c r="N53" s="424"/>
    </row>
    <row r="54" spans="1:15" ht="15">
      <c r="A54" s="392">
        <v>9</v>
      </c>
      <c r="B54" s="392" t="s">
        <v>1252</v>
      </c>
      <c r="C54" s="415">
        <v>2500000</v>
      </c>
      <c r="D54" s="416">
        <f t="shared" ref="D54:D59" si="0">C54*(1-$N$54)</f>
        <v>2250000</v>
      </c>
      <c r="E54" s="415">
        <f t="shared" ref="E54:E59" si="1">C54-D54</f>
        <v>250000</v>
      </c>
      <c r="F54" s="415"/>
      <c r="G54" s="417"/>
      <c r="H54" s="417"/>
      <c r="I54" s="417"/>
      <c r="J54" s="417"/>
      <c r="K54" s="417"/>
      <c r="L54" s="394">
        <v>46539</v>
      </c>
      <c r="N54" s="425">
        <v>0.1</v>
      </c>
      <c r="O54" s="426" t="s">
        <v>1274</v>
      </c>
    </row>
    <row r="55" spans="1:15">
      <c r="A55" s="392">
        <v>10</v>
      </c>
      <c r="B55" s="392" t="s">
        <v>1253</v>
      </c>
      <c r="C55" s="415">
        <v>2500000</v>
      </c>
      <c r="D55" s="416">
        <f t="shared" si="0"/>
        <v>2250000</v>
      </c>
      <c r="E55" s="415">
        <f t="shared" si="1"/>
        <v>250000</v>
      </c>
      <c r="F55" s="415"/>
      <c r="G55" s="417"/>
      <c r="H55" s="417"/>
      <c r="I55" s="417"/>
      <c r="J55" s="417"/>
      <c r="K55" s="417"/>
      <c r="L55" s="394">
        <v>46569</v>
      </c>
    </row>
    <row r="56" spans="1:15">
      <c r="A56" s="392">
        <v>11</v>
      </c>
      <c r="B56" s="392" t="s">
        <v>1254</v>
      </c>
      <c r="C56" s="415">
        <v>2500000</v>
      </c>
      <c r="D56" s="416">
        <f t="shared" si="0"/>
        <v>2250000</v>
      </c>
      <c r="E56" s="415">
        <f t="shared" si="1"/>
        <v>250000</v>
      </c>
      <c r="F56" s="415"/>
      <c r="G56" s="417"/>
      <c r="H56" s="417"/>
      <c r="I56" s="417"/>
      <c r="J56" s="417"/>
      <c r="K56" s="417"/>
      <c r="L56" s="394">
        <v>46600</v>
      </c>
    </row>
    <row r="57" spans="1:15">
      <c r="A57" s="392">
        <v>12</v>
      </c>
      <c r="B57" s="392" t="s">
        <v>1255</v>
      </c>
      <c r="C57" s="415">
        <v>2500000</v>
      </c>
      <c r="D57" s="416">
        <f t="shared" si="0"/>
        <v>2250000</v>
      </c>
      <c r="E57" s="415">
        <f t="shared" si="1"/>
        <v>250000</v>
      </c>
      <c r="F57" s="415"/>
      <c r="G57" s="417"/>
      <c r="H57" s="417"/>
      <c r="I57" s="417"/>
      <c r="J57" s="417"/>
      <c r="K57" s="417"/>
      <c r="L57" s="394">
        <v>46631</v>
      </c>
    </row>
    <row r="58" spans="1:15">
      <c r="A58" s="392">
        <v>13</v>
      </c>
      <c r="B58" s="392" t="s">
        <v>1256</v>
      </c>
      <c r="C58" s="415">
        <v>2000000</v>
      </c>
      <c r="D58" s="416">
        <f t="shared" si="0"/>
        <v>1800000</v>
      </c>
      <c r="E58" s="415">
        <f t="shared" si="1"/>
        <v>200000</v>
      </c>
      <c r="F58" s="415"/>
      <c r="G58" s="417"/>
      <c r="H58" s="417"/>
      <c r="I58" s="417"/>
      <c r="J58" s="417"/>
      <c r="K58" s="417"/>
      <c r="L58" s="394">
        <v>46661</v>
      </c>
    </row>
    <row r="59" spans="1:15">
      <c r="A59" s="392">
        <v>14</v>
      </c>
      <c r="B59" s="392" t="s">
        <v>1257</v>
      </c>
      <c r="C59" s="415">
        <v>2000000</v>
      </c>
      <c r="D59" s="416">
        <f t="shared" si="0"/>
        <v>1800000</v>
      </c>
      <c r="E59" s="415">
        <f t="shared" si="1"/>
        <v>200000</v>
      </c>
      <c r="F59" s="415"/>
      <c r="G59" s="417"/>
      <c r="H59" s="417"/>
      <c r="I59" s="417"/>
      <c r="J59" s="417"/>
      <c r="K59" s="417"/>
      <c r="L59" s="394">
        <v>46692</v>
      </c>
      <c r="N59" s="427" t="s">
        <v>1275</v>
      </c>
    </row>
    <row r="60" spans="1:15">
      <c r="A60" s="392"/>
      <c r="B60" s="418" t="s">
        <v>1276</v>
      </c>
      <c r="C60" s="419"/>
      <c r="D60" s="420">
        <f>E60*K60</f>
        <v>1190000</v>
      </c>
      <c r="E60" s="419">
        <f>SUM(E54:E59)</f>
        <v>1400000</v>
      </c>
      <c r="F60" s="419">
        <f>E60-D60</f>
        <v>210000</v>
      </c>
      <c r="G60" s="421">
        <f>F60+G53</f>
        <v>535000</v>
      </c>
      <c r="H60" s="422">
        <f>$N$61*E60</f>
        <v>140000</v>
      </c>
      <c r="I60" s="422">
        <f>$N$62*E60</f>
        <v>350000</v>
      </c>
      <c r="J60" s="422">
        <f>$N$63*E60</f>
        <v>840000</v>
      </c>
      <c r="K60" s="423">
        <v>0.85</v>
      </c>
      <c r="L60" s="394"/>
      <c r="N60" s="428"/>
    </row>
    <row r="61" spans="1:15" ht="15">
      <c r="A61" s="392">
        <v>15</v>
      </c>
      <c r="B61" s="392" t="s">
        <v>10</v>
      </c>
      <c r="C61" s="415">
        <v>2000000</v>
      </c>
      <c r="D61" s="416">
        <f t="shared" ref="D61:D67" si="2">C61*(1-$N$54)</f>
        <v>1800000</v>
      </c>
      <c r="E61" s="415">
        <f t="shared" ref="E61:E67" si="3">C61-D61</f>
        <v>200000</v>
      </c>
      <c r="F61" s="415"/>
      <c r="G61" s="417"/>
      <c r="H61" s="417"/>
      <c r="I61" s="417"/>
      <c r="J61" s="417"/>
      <c r="K61" s="417"/>
      <c r="L61" s="394">
        <v>46722</v>
      </c>
      <c r="N61" s="429">
        <v>0.1</v>
      </c>
      <c r="O61" s="148" t="s">
        <v>1277</v>
      </c>
    </row>
    <row r="62" spans="1:15" ht="15">
      <c r="A62" s="392">
        <v>16</v>
      </c>
      <c r="B62" s="392" t="s">
        <v>1258</v>
      </c>
      <c r="C62" s="415">
        <v>2000000</v>
      </c>
      <c r="D62" s="416">
        <f t="shared" si="2"/>
        <v>1800000</v>
      </c>
      <c r="E62" s="415">
        <f t="shared" si="3"/>
        <v>200000</v>
      </c>
      <c r="F62" s="415"/>
      <c r="G62" s="417"/>
      <c r="H62" s="417"/>
      <c r="I62" s="417"/>
      <c r="J62" s="417"/>
      <c r="K62" s="417"/>
      <c r="L62" s="394">
        <v>46753</v>
      </c>
      <c r="N62" s="429">
        <v>0.25</v>
      </c>
      <c r="O62" s="148" t="s">
        <v>1278</v>
      </c>
    </row>
    <row r="63" spans="1:15" ht="15">
      <c r="A63" s="392">
        <v>17</v>
      </c>
      <c r="B63" s="392" t="s">
        <v>11</v>
      </c>
      <c r="C63" s="415">
        <v>2000000</v>
      </c>
      <c r="D63" s="416">
        <f t="shared" si="2"/>
        <v>1800000</v>
      </c>
      <c r="E63" s="415">
        <f t="shared" si="3"/>
        <v>200000</v>
      </c>
      <c r="F63" s="415"/>
      <c r="G63" s="417"/>
      <c r="H63" s="417"/>
      <c r="I63" s="417"/>
      <c r="J63" s="417"/>
      <c r="K63" s="417"/>
      <c r="L63" s="394">
        <v>46784</v>
      </c>
      <c r="N63" s="429">
        <v>0.6</v>
      </c>
      <c r="O63" s="148" t="s">
        <v>1279</v>
      </c>
    </row>
    <row r="64" spans="1:15">
      <c r="A64" s="392">
        <v>18</v>
      </c>
      <c r="B64" s="392" t="s">
        <v>16</v>
      </c>
      <c r="C64" s="415">
        <v>2000000</v>
      </c>
      <c r="D64" s="416">
        <f t="shared" si="2"/>
        <v>1800000</v>
      </c>
      <c r="E64" s="415">
        <f t="shared" si="3"/>
        <v>200000</v>
      </c>
      <c r="F64" s="415"/>
      <c r="G64" s="417"/>
      <c r="H64" s="417"/>
      <c r="I64" s="417"/>
      <c r="J64" s="417"/>
      <c r="K64" s="417"/>
      <c r="L64" s="394">
        <v>46813</v>
      </c>
      <c r="N64" s="429">
        <v>1</v>
      </c>
      <c r="O64" s="392" t="s">
        <v>1280</v>
      </c>
    </row>
    <row r="65" spans="1:12">
      <c r="A65" s="392">
        <v>19</v>
      </c>
      <c r="B65" s="392" t="s">
        <v>28</v>
      </c>
      <c r="C65" s="415">
        <v>1500000</v>
      </c>
      <c r="D65" s="416">
        <f t="shared" si="2"/>
        <v>1350000</v>
      </c>
      <c r="E65" s="415">
        <f t="shared" si="3"/>
        <v>150000</v>
      </c>
      <c r="F65" s="415"/>
      <c r="G65" s="417"/>
      <c r="H65" s="417"/>
      <c r="I65" s="417"/>
      <c r="J65" s="417"/>
      <c r="K65" s="417"/>
      <c r="L65" s="394">
        <v>46844</v>
      </c>
    </row>
    <row r="66" spans="1:12">
      <c r="A66" s="392">
        <v>20</v>
      </c>
      <c r="B66" s="392" t="s">
        <v>1259</v>
      </c>
      <c r="C66" s="415">
        <v>1500000</v>
      </c>
      <c r="D66" s="416">
        <f t="shared" si="2"/>
        <v>1350000</v>
      </c>
      <c r="E66" s="415">
        <f t="shared" si="3"/>
        <v>150000</v>
      </c>
      <c r="F66" s="415"/>
      <c r="G66" s="417"/>
      <c r="H66" s="417"/>
      <c r="I66" s="417"/>
      <c r="J66" s="417"/>
      <c r="K66" s="417"/>
      <c r="L66" s="394">
        <v>46874</v>
      </c>
    </row>
    <row r="67" spans="1:12">
      <c r="A67" s="392">
        <v>21</v>
      </c>
      <c r="B67" s="392" t="s">
        <v>1260</v>
      </c>
      <c r="C67" s="415">
        <v>1500000</v>
      </c>
      <c r="D67" s="416">
        <f t="shared" si="2"/>
        <v>1350000</v>
      </c>
      <c r="E67" s="415">
        <f t="shared" si="3"/>
        <v>150000</v>
      </c>
      <c r="F67" s="415"/>
      <c r="G67" s="417"/>
      <c r="H67" s="417"/>
      <c r="I67" s="417"/>
      <c r="J67" s="417"/>
      <c r="K67" s="417"/>
      <c r="L67" s="394">
        <v>46905</v>
      </c>
    </row>
    <row r="68" spans="1:12">
      <c r="A68" s="392"/>
      <c r="B68" s="418" t="s">
        <v>1281</v>
      </c>
      <c r="C68" s="419"/>
      <c r="D68" s="420">
        <f>E68*K68</f>
        <v>1062500</v>
      </c>
      <c r="E68" s="419">
        <f>SUM(E61:E67)</f>
        <v>1250000</v>
      </c>
      <c r="F68" s="419">
        <f>E68-D68</f>
        <v>187500</v>
      </c>
      <c r="G68" s="421">
        <f>F68+G60</f>
        <v>722500</v>
      </c>
      <c r="H68" s="422">
        <f>$N$61*E68</f>
        <v>125000</v>
      </c>
      <c r="I68" s="422">
        <f>$N$62*E68</f>
        <v>312500</v>
      </c>
      <c r="J68" s="422">
        <f>$N$63*E68</f>
        <v>750000</v>
      </c>
      <c r="K68" s="423">
        <v>0.85</v>
      </c>
      <c r="L68" s="394"/>
    </row>
    <row r="69" spans="1:12">
      <c r="A69" s="392">
        <v>22</v>
      </c>
      <c r="B69" s="392" t="s">
        <v>1261</v>
      </c>
      <c r="C69" s="415">
        <v>1500000</v>
      </c>
      <c r="D69" s="416">
        <f>C69*(1-$N$54)</f>
        <v>1350000</v>
      </c>
      <c r="E69" s="415">
        <f>C69-D69</f>
        <v>150000</v>
      </c>
      <c r="F69" s="415"/>
      <c r="G69" s="417"/>
      <c r="H69" s="417"/>
      <c r="I69" s="417"/>
      <c r="J69" s="417"/>
      <c r="K69" s="417"/>
      <c r="L69" s="394">
        <v>46935</v>
      </c>
    </row>
    <row r="70" spans="1:12">
      <c r="A70" s="392">
        <v>23</v>
      </c>
      <c r="B70" s="392" t="s">
        <v>1262</v>
      </c>
      <c r="C70" s="415">
        <v>1500000</v>
      </c>
      <c r="D70" s="416">
        <f>C70*(1-$N$54)</f>
        <v>1350000</v>
      </c>
      <c r="E70" s="415">
        <f>C70-D70</f>
        <v>150000</v>
      </c>
      <c r="F70" s="415"/>
      <c r="G70" s="417"/>
      <c r="H70" s="417"/>
      <c r="I70" s="417"/>
      <c r="J70" s="417"/>
      <c r="K70" s="417"/>
      <c r="L70" s="394">
        <v>46941</v>
      </c>
    </row>
    <row r="71" spans="1:12">
      <c r="A71" s="392"/>
      <c r="B71" s="392"/>
      <c r="C71" s="415"/>
      <c r="D71" s="430">
        <f>G68+SUM(E69:E70)</f>
        <v>1022500</v>
      </c>
      <c r="E71" s="415"/>
      <c r="F71" s="415"/>
      <c r="G71" s="431" t="s">
        <v>1282</v>
      </c>
      <c r="H71" s="432">
        <f>SUM(H47:H68)</f>
        <v>445000</v>
      </c>
      <c r="I71" s="432">
        <f>SUM(I47:I68)</f>
        <v>1112500</v>
      </c>
      <c r="J71" s="432">
        <f>SUM(J47:J68)</f>
        <v>2670000</v>
      </c>
      <c r="K71" s="417"/>
      <c r="L71" s="394"/>
    </row>
    <row r="72" spans="1:12">
      <c r="A72" s="407"/>
      <c r="B72" s="408" t="s">
        <v>213</v>
      </c>
      <c r="C72" s="433">
        <f>SUM(C44:C70)</f>
        <v>47500000</v>
      </c>
      <c r="D72" s="433">
        <f>SUM(D44:D71)</f>
        <v>47500000</v>
      </c>
      <c r="E72" s="392"/>
      <c r="F72" s="392"/>
      <c r="G72" s="392"/>
      <c r="H72" s="392"/>
      <c r="I72" s="392"/>
      <c r="J72" s="392"/>
      <c r="K72" s="392"/>
      <c r="L72" s="410"/>
    </row>
  </sheetData>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00000"/>
  </sheetPr>
  <dimension ref="A1:BH684"/>
  <sheetViews>
    <sheetView showGridLines="0" zoomScale="68" zoomScaleNormal="68" workbookViewId="0">
      <pane xSplit="1" ySplit="1" topLeftCell="B2" activePane="bottomRight" state="frozen"/>
      <selection pane="topRight" activeCell="B1" sqref="B1"/>
      <selection pane="bottomLeft" activeCell="A2" sqref="A2"/>
      <selection pane="bottomRight" activeCell="C688" sqref="C688"/>
    </sheetView>
  </sheetViews>
  <sheetFormatPr defaultColWidth="9.453125" defaultRowHeight="14.5"/>
  <cols>
    <col min="1" max="1" width="69.54296875" style="434" customWidth="1"/>
    <col min="2" max="2" width="23.1796875" style="148" customWidth="1"/>
    <col min="3" max="3" width="36.54296875" style="148" customWidth="1"/>
    <col min="4" max="4" width="29.54296875" style="148" customWidth="1"/>
    <col min="5" max="5" width="17.453125" style="148" customWidth="1"/>
    <col min="6" max="6" width="13" style="148" customWidth="1"/>
    <col min="7" max="7" width="13.453125" style="148" customWidth="1"/>
    <col min="8" max="16384" width="9.453125" style="148"/>
  </cols>
  <sheetData>
    <row r="1" spans="1:7">
      <c r="A1" s="367" t="s">
        <v>332</v>
      </c>
      <c r="B1" s="368" t="s">
        <v>250</v>
      </c>
      <c r="C1" s="368" t="s">
        <v>251</v>
      </c>
      <c r="D1" s="368" t="s">
        <v>338</v>
      </c>
      <c r="E1" s="368" t="s">
        <v>182</v>
      </c>
      <c r="F1" s="368" t="s">
        <v>518</v>
      </c>
      <c r="G1" s="368" t="s">
        <v>519</v>
      </c>
    </row>
    <row r="2" spans="1:7" hidden="1">
      <c r="A2" s="148" t="str">
        <f t="shared" ref="A2:A65" si="0">_xlfn.CONCAT(B2,"-",C2,"-",E2,"-",G2)</f>
        <v>ServiceNow Architect-Junior-India-Technology</v>
      </c>
      <c r="B2" s="435" t="s">
        <v>253</v>
      </c>
      <c r="C2" s="435" t="s">
        <v>240</v>
      </c>
      <c r="D2" s="435" t="s">
        <v>521</v>
      </c>
      <c r="E2" s="435" t="s">
        <v>184</v>
      </c>
      <c r="F2" s="436">
        <v>37</v>
      </c>
      <c r="G2" s="148" t="s">
        <v>259</v>
      </c>
    </row>
    <row r="3" spans="1:7" hidden="1">
      <c r="A3" s="148" t="str">
        <f t="shared" si="0"/>
        <v>Agile Coach-Junior-US-Technology</v>
      </c>
      <c r="B3" s="435" t="s">
        <v>238</v>
      </c>
      <c r="C3" s="435" t="s">
        <v>240</v>
      </c>
      <c r="D3" s="435" t="s">
        <v>521</v>
      </c>
      <c r="E3" s="435" t="s">
        <v>186</v>
      </c>
      <c r="F3" s="436">
        <v>163</v>
      </c>
      <c r="G3" s="148" t="s">
        <v>259</v>
      </c>
    </row>
    <row r="4" spans="1:7" hidden="1">
      <c r="A4" s="148" t="str">
        <f t="shared" si="0"/>
        <v>Agile Coach-Intermediate-US-Technology</v>
      </c>
      <c r="B4" s="435" t="s">
        <v>238</v>
      </c>
      <c r="C4" s="435" t="s">
        <v>239</v>
      </c>
      <c r="D4" s="435" t="s">
        <v>524</v>
      </c>
      <c r="E4" s="435" t="s">
        <v>186</v>
      </c>
      <c r="F4" s="436">
        <v>207</v>
      </c>
      <c r="G4" s="148" t="s">
        <v>259</v>
      </c>
    </row>
    <row r="5" spans="1:7" hidden="1">
      <c r="A5" s="148" t="str">
        <f t="shared" si="0"/>
        <v>Agile Coach-Senior-US-Technology</v>
      </c>
      <c r="B5" s="435" t="s">
        <v>238</v>
      </c>
      <c r="C5" s="435" t="s">
        <v>243</v>
      </c>
      <c r="D5" s="435" t="s">
        <v>526</v>
      </c>
      <c r="E5" s="435" t="s">
        <v>186</v>
      </c>
      <c r="F5" s="436">
        <v>258</v>
      </c>
      <c r="G5" s="148" t="s">
        <v>259</v>
      </c>
    </row>
    <row r="6" spans="1:7" hidden="1">
      <c r="A6" s="148" t="str">
        <f t="shared" si="0"/>
        <v>Agile Coach-Lead-US-Technology</v>
      </c>
      <c r="B6" s="435" t="s">
        <v>238</v>
      </c>
      <c r="C6" s="435" t="s">
        <v>241</v>
      </c>
      <c r="D6" s="435" t="s">
        <v>528</v>
      </c>
      <c r="E6" s="435" t="s">
        <v>186</v>
      </c>
      <c r="F6" s="436">
        <v>282</v>
      </c>
      <c r="G6" s="148" t="s">
        <v>259</v>
      </c>
    </row>
    <row r="7" spans="1:7" hidden="1">
      <c r="A7" s="148" t="str">
        <f t="shared" si="0"/>
        <v>Agile Coach-Principal-US-Technology</v>
      </c>
      <c r="B7" s="435" t="s">
        <v>238</v>
      </c>
      <c r="C7" s="435" t="s">
        <v>242</v>
      </c>
      <c r="D7" s="435" t="s">
        <v>530</v>
      </c>
      <c r="E7" s="435" t="s">
        <v>186</v>
      </c>
      <c r="F7" s="436">
        <v>316</v>
      </c>
      <c r="G7" s="148" t="s">
        <v>259</v>
      </c>
    </row>
    <row r="8" spans="1:7" hidden="1">
      <c r="A8" s="148" t="str">
        <f t="shared" si="0"/>
        <v>Application Architect-Junior-India-Technology</v>
      </c>
      <c r="B8" s="435" t="s">
        <v>244</v>
      </c>
      <c r="C8" s="435" t="s">
        <v>240</v>
      </c>
      <c r="D8" s="435" t="s">
        <v>521</v>
      </c>
      <c r="E8" s="435" t="s">
        <v>184</v>
      </c>
      <c r="F8" s="436">
        <v>39</v>
      </c>
      <c r="G8" s="148" t="s">
        <v>259</v>
      </c>
    </row>
    <row r="9" spans="1:7" hidden="1">
      <c r="A9" s="148" t="str">
        <f t="shared" si="0"/>
        <v>Application Architect-Intermediate-India-Technology</v>
      </c>
      <c r="B9" s="435" t="s">
        <v>244</v>
      </c>
      <c r="C9" s="435" t="s">
        <v>239</v>
      </c>
      <c r="D9" s="435" t="s">
        <v>524</v>
      </c>
      <c r="E9" s="435" t="s">
        <v>184</v>
      </c>
      <c r="F9" s="436">
        <v>44</v>
      </c>
      <c r="G9" s="148" t="s">
        <v>259</v>
      </c>
    </row>
    <row r="10" spans="1:7" hidden="1">
      <c r="A10" s="148" t="str">
        <f t="shared" si="0"/>
        <v>Application Architect-Senior-India-Technology</v>
      </c>
      <c r="B10" s="435" t="s">
        <v>244</v>
      </c>
      <c r="C10" s="435" t="s">
        <v>243</v>
      </c>
      <c r="D10" s="435" t="s">
        <v>526</v>
      </c>
      <c r="E10" s="435" t="s">
        <v>184</v>
      </c>
      <c r="F10" s="436">
        <v>46</v>
      </c>
      <c r="G10" s="148" t="s">
        <v>259</v>
      </c>
    </row>
    <row r="11" spans="1:7" hidden="1">
      <c r="A11" s="148" t="str">
        <f t="shared" si="0"/>
        <v>Application Architect-Lead-India-Technology</v>
      </c>
      <c r="B11" s="435" t="s">
        <v>244</v>
      </c>
      <c r="C11" s="435" t="s">
        <v>241</v>
      </c>
      <c r="D11" s="435" t="s">
        <v>528</v>
      </c>
      <c r="E11" s="435" t="s">
        <v>184</v>
      </c>
      <c r="F11" s="436">
        <v>53</v>
      </c>
      <c r="G11" s="148" t="s">
        <v>259</v>
      </c>
    </row>
    <row r="12" spans="1:7" hidden="1">
      <c r="A12" s="148" t="str">
        <f t="shared" si="0"/>
        <v>Application Architect-Principal-India-Technology</v>
      </c>
      <c r="B12" s="435" t="s">
        <v>244</v>
      </c>
      <c r="C12" s="435" t="s">
        <v>242</v>
      </c>
      <c r="D12" s="435" t="s">
        <v>530</v>
      </c>
      <c r="E12" s="435" t="s">
        <v>184</v>
      </c>
      <c r="F12" s="436">
        <v>61</v>
      </c>
      <c r="G12" s="148" t="s">
        <v>259</v>
      </c>
    </row>
    <row r="13" spans="1:7" hidden="1">
      <c r="A13" s="148" t="str">
        <f t="shared" si="0"/>
        <v>Application Developer-Intermediate-India-Technology</v>
      </c>
      <c r="B13" s="435" t="s">
        <v>245</v>
      </c>
      <c r="C13" s="435" t="s">
        <v>239</v>
      </c>
      <c r="D13" s="435" t="s">
        <v>524</v>
      </c>
      <c r="E13" s="435" t="s">
        <v>184</v>
      </c>
      <c r="F13" s="436">
        <v>25</v>
      </c>
      <c r="G13" s="148" t="s">
        <v>259</v>
      </c>
    </row>
    <row r="14" spans="1:7" hidden="1">
      <c r="A14" s="148" t="str">
        <f t="shared" si="0"/>
        <v>Application Developer-Junior-India-Technology</v>
      </c>
      <c r="B14" s="435" t="s">
        <v>245</v>
      </c>
      <c r="C14" s="435" t="s">
        <v>240</v>
      </c>
      <c r="D14" s="435" t="s">
        <v>521</v>
      </c>
      <c r="E14" s="435" t="s">
        <v>184</v>
      </c>
      <c r="F14" s="436">
        <v>22</v>
      </c>
      <c r="G14" s="148" t="s">
        <v>259</v>
      </c>
    </row>
    <row r="15" spans="1:7" hidden="1">
      <c r="A15" s="148" t="str">
        <f t="shared" si="0"/>
        <v>Application Developer-Senior-India-Technology</v>
      </c>
      <c r="B15" s="435" t="s">
        <v>245</v>
      </c>
      <c r="C15" s="435" t="s">
        <v>243</v>
      </c>
      <c r="D15" s="435" t="s">
        <v>526</v>
      </c>
      <c r="E15" s="435" t="s">
        <v>184</v>
      </c>
      <c r="F15" s="436">
        <v>32</v>
      </c>
      <c r="G15" s="148" t="s">
        <v>259</v>
      </c>
    </row>
    <row r="16" spans="1:7" hidden="1">
      <c r="A16" s="148" t="str">
        <f t="shared" si="0"/>
        <v>Application Developer-Lead-India-Technology</v>
      </c>
      <c r="B16" s="435" t="s">
        <v>245</v>
      </c>
      <c r="C16" s="435" t="s">
        <v>241</v>
      </c>
      <c r="D16" s="435" t="s">
        <v>528</v>
      </c>
      <c r="E16" s="435" t="s">
        <v>184</v>
      </c>
      <c r="F16" s="436">
        <v>37</v>
      </c>
      <c r="G16" s="148" t="s">
        <v>259</v>
      </c>
    </row>
    <row r="17" spans="1:7" hidden="1">
      <c r="A17" s="148" t="str">
        <f t="shared" si="0"/>
        <v>Application Developer-Principal-India-Technology</v>
      </c>
      <c r="B17" s="435" t="s">
        <v>245</v>
      </c>
      <c r="C17" s="435" t="s">
        <v>242</v>
      </c>
      <c r="D17" s="435" t="s">
        <v>530</v>
      </c>
      <c r="E17" s="435" t="s">
        <v>184</v>
      </c>
      <c r="F17" s="436">
        <v>45</v>
      </c>
      <c r="G17" s="148" t="s">
        <v>259</v>
      </c>
    </row>
    <row r="18" spans="1:7" hidden="1">
      <c r="A18" s="148" t="str">
        <f t="shared" si="0"/>
        <v>Artificial Intelligence Architect-Junior-India-Technology</v>
      </c>
      <c r="B18" s="435" t="s">
        <v>246</v>
      </c>
      <c r="C18" s="435" t="s">
        <v>240</v>
      </c>
      <c r="D18" s="435" t="s">
        <v>521</v>
      </c>
      <c r="E18" s="435" t="s">
        <v>184</v>
      </c>
      <c r="F18" s="436">
        <v>45</v>
      </c>
      <c r="G18" s="148" t="s">
        <v>259</v>
      </c>
    </row>
    <row r="19" spans="1:7" hidden="1">
      <c r="A19" s="148" t="str">
        <f t="shared" si="0"/>
        <v>Artificial Intelligence Architect-Senior-India-Technology</v>
      </c>
      <c r="B19" s="435" t="s">
        <v>246</v>
      </c>
      <c r="C19" s="435" t="s">
        <v>243</v>
      </c>
      <c r="D19" s="435" t="s">
        <v>526</v>
      </c>
      <c r="E19" s="435" t="s">
        <v>184</v>
      </c>
      <c r="F19" s="436">
        <v>52</v>
      </c>
      <c r="G19" s="148" t="s">
        <v>259</v>
      </c>
    </row>
    <row r="20" spans="1:7" hidden="1">
      <c r="A20" s="148" t="str">
        <f t="shared" si="0"/>
        <v>Artificial Intelligence Architect-Intermediate-India-Technology</v>
      </c>
      <c r="B20" s="435" t="s">
        <v>246</v>
      </c>
      <c r="C20" s="435" t="s">
        <v>239</v>
      </c>
      <c r="D20" s="435" t="s">
        <v>524</v>
      </c>
      <c r="E20" s="435" t="s">
        <v>184</v>
      </c>
      <c r="F20" s="436">
        <v>49</v>
      </c>
      <c r="G20" s="148" t="s">
        <v>259</v>
      </c>
    </row>
    <row r="21" spans="1:7" hidden="1">
      <c r="A21" s="148" t="str">
        <f t="shared" si="0"/>
        <v>Artificial Intelligence Architect-Lead-India-Technology</v>
      </c>
      <c r="B21" s="435" t="s">
        <v>246</v>
      </c>
      <c r="C21" s="435" t="s">
        <v>241</v>
      </c>
      <c r="D21" s="435" t="s">
        <v>528</v>
      </c>
      <c r="E21" s="435" t="s">
        <v>184</v>
      </c>
      <c r="F21" s="436">
        <v>62</v>
      </c>
      <c r="G21" s="148" t="s">
        <v>259</v>
      </c>
    </row>
    <row r="22" spans="1:7" hidden="1">
      <c r="A22" s="148" t="str">
        <f t="shared" si="0"/>
        <v>Artificial Intelligence Architect-Principal-India-Technology</v>
      </c>
      <c r="B22" s="435" t="s">
        <v>246</v>
      </c>
      <c r="C22" s="435" t="s">
        <v>242</v>
      </c>
      <c r="D22" s="435" t="s">
        <v>530</v>
      </c>
      <c r="E22" s="435" t="s">
        <v>184</v>
      </c>
      <c r="F22" s="436">
        <v>75</v>
      </c>
      <c r="G22" s="148" t="s">
        <v>259</v>
      </c>
    </row>
    <row r="23" spans="1:7" hidden="1">
      <c r="A23" s="148" t="str">
        <f t="shared" si="0"/>
        <v>Artificial Intelligence Developer-Junior-India-Technology</v>
      </c>
      <c r="B23" s="435" t="s">
        <v>247</v>
      </c>
      <c r="C23" s="435" t="s">
        <v>240</v>
      </c>
      <c r="D23" s="435" t="s">
        <v>521</v>
      </c>
      <c r="E23" s="435" t="s">
        <v>184</v>
      </c>
      <c r="F23" s="436">
        <v>28</v>
      </c>
      <c r="G23" s="148" t="s">
        <v>259</v>
      </c>
    </row>
    <row r="24" spans="1:7" hidden="1">
      <c r="A24" s="148" t="str">
        <f t="shared" si="0"/>
        <v>Artificial Intelligence Developer-Senior-India-Technology</v>
      </c>
      <c r="B24" s="435" t="s">
        <v>247</v>
      </c>
      <c r="C24" s="435" t="s">
        <v>243</v>
      </c>
      <c r="D24" s="435" t="s">
        <v>526</v>
      </c>
      <c r="E24" s="435" t="s">
        <v>184</v>
      </c>
      <c r="F24" s="436">
        <v>39</v>
      </c>
      <c r="G24" s="148" t="s">
        <v>259</v>
      </c>
    </row>
    <row r="25" spans="1:7" hidden="1">
      <c r="A25" s="148" t="str">
        <f t="shared" si="0"/>
        <v>Artificial Intelligence Developer-Intermediate-India-Technology</v>
      </c>
      <c r="B25" s="435" t="s">
        <v>247</v>
      </c>
      <c r="C25" s="435" t="s">
        <v>239</v>
      </c>
      <c r="D25" s="435" t="s">
        <v>524</v>
      </c>
      <c r="E25" s="435" t="s">
        <v>184</v>
      </c>
      <c r="F25" s="436">
        <v>33</v>
      </c>
      <c r="G25" s="148" t="s">
        <v>259</v>
      </c>
    </row>
    <row r="26" spans="1:7" hidden="1">
      <c r="A26" s="148" t="str">
        <f t="shared" si="0"/>
        <v>Artificial Intelligence Developer-Lead-India-Technology</v>
      </c>
      <c r="B26" s="435" t="s">
        <v>247</v>
      </c>
      <c r="C26" s="435" t="s">
        <v>241</v>
      </c>
      <c r="D26" s="435" t="s">
        <v>528</v>
      </c>
      <c r="E26" s="435" t="s">
        <v>184</v>
      </c>
      <c r="F26" s="436">
        <v>49</v>
      </c>
      <c r="G26" s="148" t="s">
        <v>259</v>
      </c>
    </row>
    <row r="27" spans="1:7" hidden="1">
      <c r="A27" s="148" t="str">
        <f t="shared" si="0"/>
        <v>Artificial Intelligence Developer-Principal-India-Technology</v>
      </c>
      <c r="B27" s="435" t="s">
        <v>247</v>
      </c>
      <c r="C27" s="435" t="s">
        <v>242</v>
      </c>
      <c r="D27" s="435" t="s">
        <v>530</v>
      </c>
      <c r="E27" s="435" t="s">
        <v>184</v>
      </c>
      <c r="F27" s="436">
        <v>59</v>
      </c>
      <c r="G27" s="148" t="s">
        <v>259</v>
      </c>
    </row>
    <row r="28" spans="1:7" hidden="1">
      <c r="A28" s="148" t="str">
        <f t="shared" si="0"/>
        <v>Business Analyst-Intermediate-India-Technology</v>
      </c>
      <c r="B28" s="435" t="s">
        <v>248</v>
      </c>
      <c r="C28" s="435" t="s">
        <v>239</v>
      </c>
      <c r="D28" s="435" t="s">
        <v>524</v>
      </c>
      <c r="E28" s="435" t="s">
        <v>184</v>
      </c>
      <c r="F28" s="436">
        <v>33</v>
      </c>
      <c r="G28" s="148" t="s">
        <v>259</v>
      </c>
    </row>
    <row r="29" spans="1:7" hidden="1">
      <c r="A29" s="148" t="str">
        <f t="shared" si="0"/>
        <v>Business Analyst-Junior-India-Technology</v>
      </c>
      <c r="B29" s="435" t="s">
        <v>248</v>
      </c>
      <c r="C29" s="435" t="s">
        <v>240</v>
      </c>
      <c r="D29" s="435" t="s">
        <v>521</v>
      </c>
      <c r="E29" s="435" t="s">
        <v>184</v>
      </c>
      <c r="F29" s="436">
        <v>29</v>
      </c>
      <c r="G29" s="148" t="s">
        <v>259</v>
      </c>
    </row>
    <row r="30" spans="1:7" hidden="1">
      <c r="A30" s="148" t="str">
        <f t="shared" si="0"/>
        <v>Business Analyst-Senior-India-Technology</v>
      </c>
      <c r="B30" s="435" t="s">
        <v>248</v>
      </c>
      <c r="C30" s="435" t="s">
        <v>243</v>
      </c>
      <c r="D30" s="435" t="s">
        <v>526</v>
      </c>
      <c r="E30" s="435" t="s">
        <v>184</v>
      </c>
      <c r="F30" s="436">
        <v>42</v>
      </c>
      <c r="G30" s="148" t="s">
        <v>259</v>
      </c>
    </row>
    <row r="31" spans="1:7" hidden="1">
      <c r="A31" s="148" t="str">
        <f t="shared" si="0"/>
        <v>Business Analyst-Lead-India-Technology</v>
      </c>
      <c r="B31" s="435" t="s">
        <v>248</v>
      </c>
      <c r="C31" s="435" t="s">
        <v>241</v>
      </c>
      <c r="D31" s="435" t="s">
        <v>528</v>
      </c>
      <c r="E31" s="435" t="s">
        <v>184</v>
      </c>
      <c r="F31" s="436">
        <v>52</v>
      </c>
      <c r="G31" s="148" t="s">
        <v>259</v>
      </c>
    </row>
    <row r="32" spans="1:7" hidden="1">
      <c r="A32" s="148" t="str">
        <f t="shared" si="0"/>
        <v>Business Analyst-Principal-India-Technology</v>
      </c>
      <c r="B32" s="435" t="s">
        <v>248</v>
      </c>
      <c r="C32" s="435" t="s">
        <v>242</v>
      </c>
      <c r="D32" s="435" t="s">
        <v>530</v>
      </c>
      <c r="E32" s="435" t="s">
        <v>184</v>
      </c>
      <c r="F32" s="436">
        <v>60</v>
      </c>
      <c r="G32" s="148" t="s">
        <v>259</v>
      </c>
    </row>
    <row r="33" spans="1:7" hidden="1">
      <c r="A33" s="148" t="str">
        <f t="shared" si="0"/>
        <v>Business Architect-Intermediate-India-Technology</v>
      </c>
      <c r="B33" s="435" t="s">
        <v>249</v>
      </c>
      <c r="C33" s="435" t="s">
        <v>239</v>
      </c>
      <c r="D33" s="435" t="s">
        <v>524</v>
      </c>
      <c r="E33" s="435" t="s">
        <v>184</v>
      </c>
      <c r="F33" s="436">
        <v>44</v>
      </c>
      <c r="G33" s="148" t="s">
        <v>259</v>
      </c>
    </row>
    <row r="34" spans="1:7" hidden="1">
      <c r="A34" s="148" t="str">
        <f t="shared" si="0"/>
        <v>Business Architect-Junior-India-Technology</v>
      </c>
      <c r="B34" s="435" t="s">
        <v>249</v>
      </c>
      <c r="C34" s="435" t="s">
        <v>240</v>
      </c>
      <c r="D34" s="435" t="s">
        <v>521</v>
      </c>
      <c r="E34" s="435" t="s">
        <v>184</v>
      </c>
      <c r="F34" s="436">
        <v>31</v>
      </c>
      <c r="G34" s="148" t="s">
        <v>259</v>
      </c>
    </row>
    <row r="35" spans="1:7" hidden="1">
      <c r="A35" s="148" t="str">
        <f t="shared" si="0"/>
        <v>Business Architect-Lead-India-Technology</v>
      </c>
      <c r="B35" s="435" t="s">
        <v>249</v>
      </c>
      <c r="C35" s="435" t="s">
        <v>241</v>
      </c>
      <c r="D35" s="435" t="s">
        <v>528</v>
      </c>
      <c r="E35" s="435" t="s">
        <v>184</v>
      </c>
      <c r="F35" s="436">
        <v>63</v>
      </c>
      <c r="G35" s="148" t="s">
        <v>259</v>
      </c>
    </row>
    <row r="36" spans="1:7" hidden="1">
      <c r="A36" s="148" t="str">
        <f t="shared" si="0"/>
        <v>Business Architect-Principal-India-Technology</v>
      </c>
      <c r="B36" s="435" t="s">
        <v>249</v>
      </c>
      <c r="C36" s="435" t="s">
        <v>242</v>
      </c>
      <c r="D36" s="435" t="s">
        <v>530</v>
      </c>
      <c r="E36" s="435" t="s">
        <v>184</v>
      </c>
      <c r="F36" s="436">
        <v>71</v>
      </c>
      <c r="G36" s="148" t="s">
        <v>259</v>
      </c>
    </row>
    <row r="37" spans="1:7" hidden="1">
      <c r="A37" s="148" t="str">
        <f t="shared" si="0"/>
        <v>Business Architect-Senior-India-Technology</v>
      </c>
      <c r="B37" s="435" t="s">
        <v>249</v>
      </c>
      <c r="C37" s="435" t="s">
        <v>243</v>
      </c>
      <c r="D37" s="435" t="s">
        <v>526</v>
      </c>
      <c r="E37" s="435" t="s">
        <v>184</v>
      </c>
      <c r="F37" s="436">
        <v>52</v>
      </c>
      <c r="G37" s="148" t="s">
        <v>259</v>
      </c>
    </row>
    <row r="38" spans="1:7" hidden="1">
      <c r="A38" s="148" t="str">
        <f t="shared" si="0"/>
        <v>Business Consultant-Intermediate-India-Technology</v>
      </c>
      <c r="B38" s="435" t="s">
        <v>562</v>
      </c>
      <c r="C38" s="435" t="s">
        <v>239</v>
      </c>
      <c r="D38" s="435" t="s">
        <v>524</v>
      </c>
      <c r="E38" s="435" t="s">
        <v>184</v>
      </c>
      <c r="F38" s="436">
        <v>41</v>
      </c>
      <c r="G38" s="148" t="s">
        <v>259</v>
      </c>
    </row>
    <row r="39" spans="1:7" hidden="1">
      <c r="A39" s="148" t="str">
        <f t="shared" si="0"/>
        <v>Business Consultant-Junior-India-Technology</v>
      </c>
      <c r="B39" s="435" t="s">
        <v>562</v>
      </c>
      <c r="C39" s="435" t="s">
        <v>240</v>
      </c>
      <c r="D39" s="435" t="s">
        <v>521</v>
      </c>
      <c r="E39" s="435" t="s">
        <v>184</v>
      </c>
      <c r="F39" s="436">
        <v>33</v>
      </c>
      <c r="G39" s="148" t="s">
        <v>259</v>
      </c>
    </row>
    <row r="40" spans="1:7" hidden="1">
      <c r="A40" s="148" t="str">
        <f t="shared" si="0"/>
        <v>Business Consultant-Lead-India-Technology</v>
      </c>
      <c r="B40" s="435" t="s">
        <v>562</v>
      </c>
      <c r="C40" s="435" t="s">
        <v>241</v>
      </c>
      <c r="D40" s="435" t="s">
        <v>528</v>
      </c>
      <c r="E40" s="435" t="s">
        <v>184</v>
      </c>
      <c r="F40" s="436">
        <v>59</v>
      </c>
      <c r="G40" s="148" t="s">
        <v>259</v>
      </c>
    </row>
    <row r="41" spans="1:7" hidden="1">
      <c r="A41" s="148" t="str">
        <f t="shared" si="0"/>
        <v>Business Consultant-Principal-India-Technology</v>
      </c>
      <c r="B41" s="435" t="s">
        <v>562</v>
      </c>
      <c r="C41" s="435" t="s">
        <v>242</v>
      </c>
      <c r="D41" s="435" t="s">
        <v>530</v>
      </c>
      <c r="E41" s="435" t="s">
        <v>184</v>
      </c>
      <c r="F41" s="436">
        <v>75</v>
      </c>
      <c r="G41" s="148" t="s">
        <v>259</v>
      </c>
    </row>
    <row r="42" spans="1:7" hidden="1">
      <c r="A42" s="148" t="str">
        <f t="shared" si="0"/>
        <v>Business Consultant-Senior-India-Technology</v>
      </c>
      <c r="B42" s="435" t="s">
        <v>562</v>
      </c>
      <c r="C42" s="435" t="s">
        <v>243</v>
      </c>
      <c r="D42" s="435" t="s">
        <v>526</v>
      </c>
      <c r="E42" s="435" t="s">
        <v>184</v>
      </c>
      <c r="F42" s="436">
        <v>49</v>
      </c>
      <c r="G42" s="148" t="s">
        <v>259</v>
      </c>
    </row>
    <row r="43" spans="1:7">
      <c r="A43" s="148" t="str">
        <f t="shared" si="0"/>
        <v>Change Manager-Intermediate-India-Technology</v>
      </c>
      <c r="B43" s="435" t="s">
        <v>509</v>
      </c>
      <c r="C43" s="435" t="s">
        <v>239</v>
      </c>
      <c r="D43" s="435" t="s">
        <v>524</v>
      </c>
      <c r="E43" s="435" t="s">
        <v>184</v>
      </c>
      <c r="F43" s="436">
        <v>40</v>
      </c>
      <c r="G43" s="148" t="s">
        <v>259</v>
      </c>
    </row>
    <row r="44" spans="1:7">
      <c r="A44" s="148" t="str">
        <f t="shared" si="0"/>
        <v>Change Manager-Junior-India-Technology</v>
      </c>
      <c r="B44" s="435" t="s">
        <v>509</v>
      </c>
      <c r="C44" s="435" t="s">
        <v>240</v>
      </c>
      <c r="D44" s="435" t="s">
        <v>521</v>
      </c>
      <c r="E44" s="435" t="s">
        <v>184</v>
      </c>
      <c r="F44" s="436">
        <v>40</v>
      </c>
      <c r="G44" s="148" t="s">
        <v>259</v>
      </c>
    </row>
    <row r="45" spans="1:7">
      <c r="A45" s="148" t="str">
        <f t="shared" si="0"/>
        <v>Change Manager-Lead-India-Technology</v>
      </c>
      <c r="B45" s="435" t="s">
        <v>509</v>
      </c>
      <c r="C45" s="435" t="s">
        <v>241</v>
      </c>
      <c r="D45" s="435" t="s">
        <v>528</v>
      </c>
      <c r="E45" s="435" t="s">
        <v>184</v>
      </c>
      <c r="F45" s="437">
        <v>61</v>
      </c>
      <c r="G45" s="148" t="s">
        <v>259</v>
      </c>
    </row>
    <row r="46" spans="1:7">
      <c r="A46" s="148" t="str">
        <f t="shared" si="0"/>
        <v>Change Manager-Principal-India-Technology</v>
      </c>
      <c r="B46" s="435" t="s">
        <v>509</v>
      </c>
      <c r="C46" s="435" t="s">
        <v>242</v>
      </c>
      <c r="D46" s="435" t="s">
        <v>530</v>
      </c>
      <c r="E46" s="435" t="s">
        <v>184</v>
      </c>
      <c r="F46" s="437">
        <v>75</v>
      </c>
      <c r="G46" s="148" t="s">
        <v>259</v>
      </c>
    </row>
    <row r="47" spans="1:7">
      <c r="A47" s="148" t="str">
        <f t="shared" si="0"/>
        <v>Change Manager-Senior-India-Technology</v>
      </c>
      <c r="B47" s="435" t="s">
        <v>509</v>
      </c>
      <c r="C47" s="435" t="s">
        <v>243</v>
      </c>
      <c r="D47" s="435" t="s">
        <v>526</v>
      </c>
      <c r="E47" s="435" t="s">
        <v>184</v>
      </c>
      <c r="F47" s="437">
        <v>51</v>
      </c>
      <c r="G47" s="148" t="s">
        <v>259</v>
      </c>
    </row>
    <row r="48" spans="1:7" hidden="1">
      <c r="A48" s="148" t="str">
        <f t="shared" si="0"/>
        <v>Cloud Architect-Intermediate-India-Technology</v>
      </c>
      <c r="B48" s="435" t="s">
        <v>573</v>
      </c>
      <c r="C48" s="435" t="s">
        <v>239</v>
      </c>
      <c r="D48" s="435" t="s">
        <v>524</v>
      </c>
      <c r="E48" s="435" t="s">
        <v>184</v>
      </c>
      <c r="F48" s="436">
        <v>44</v>
      </c>
      <c r="G48" s="148" t="s">
        <v>259</v>
      </c>
    </row>
    <row r="49" spans="1:60" hidden="1">
      <c r="A49" s="148" t="str">
        <f t="shared" si="0"/>
        <v>Cloud Architect-Junior-India-Technology</v>
      </c>
      <c r="B49" s="435" t="s">
        <v>573</v>
      </c>
      <c r="C49" s="435" t="s">
        <v>240</v>
      </c>
      <c r="D49" s="435" t="s">
        <v>521</v>
      </c>
      <c r="E49" s="435" t="s">
        <v>184</v>
      </c>
      <c r="F49" s="436">
        <v>33</v>
      </c>
      <c r="G49" s="148" t="s">
        <v>259</v>
      </c>
      <c r="AC49" s="438"/>
      <c r="AD49" s="438"/>
      <c r="AE49" s="438"/>
      <c r="AF49" s="438"/>
      <c r="AG49" s="438"/>
      <c r="AH49" s="438"/>
      <c r="AI49" s="438"/>
      <c r="AJ49" s="438"/>
      <c r="AK49" s="438"/>
      <c r="AL49" s="438"/>
      <c r="AM49" s="438"/>
      <c r="AN49" s="438"/>
      <c r="AO49" s="438"/>
      <c r="AP49" s="438"/>
      <c r="AQ49" s="438"/>
      <c r="AR49" s="438"/>
      <c r="AS49" s="438"/>
      <c r="AT49" s="438"/>
      <c r="AU49" s="438"/>
      <c r="AV49" s="438"/>
      <c r="AW49" s="438"/>
      <c r="AX49" s="438"/>
      <c r="AY49" s="438"/>
      <c r="AZ49" s="438"/>
      <c r="BA49" s="438"/>
      <c r="BB49" s="438"/>
      <c r="BC49" s="438"/>
      <c r="BD49" s="438"/>
      <c r="BE49" s="438"/>
      <c r="BF49" s="438"/>
      <c r="BG49" s="438"/>
      <c r="BH49" s="438"/>
    </row>
    <row r="50" spans="1:60" hidden="1">
      <c r="A50" s="148" t="str">
        <f t="shared" si="0"/>
        <v>Cloud Architect-Lead-India-Technology</v>
      </c>
      <c r="B50" s="435" t="s">
        <v>573</v>
      </c>
      <c r="C50" s="435" t="s">
        <v>241</v>
      </c>
      <c r="D50" s="435" t="s">
        <v>528</v>
      </c>
      <c r="E50" s="435" t="s">
        <v>184</v>
      </c>
      <c r="F50" s="436">
        <v>62</v>
      </c>
      <c r="G50" s="148" t="s">
        <v>259</v>
      </c>
      <c r="AC50" s="438"/>
      <c r="AD50" s="438"/>
      <c r="AE50" s="438"/>
      <c r="AF50" s="438"/>
      <c r="AG50" s="438"/>
      <c r="AH50" s="438"/>
      <c r="AI50" s="438"/>
      <c r="AJ50" s="438"/>
      <c r="AK50" s="438"/>
      <c r="AL50" s="438"/>
      <c r="AM50" s="438"/>
      <c r="AN50" s="438"/>
      <c r="AO50" s="438"/>
      <c r="AP50" s="438"/>
      <c r="AQ50" s="438"/>
      <c r="AR50" s="438"/>
      <c r="AS50" s="438"/>
      <c r="AT50" s="438"/>
      <c r="AU50" s="438"/>
      <c r="AV50" s="438"/>
      <c r="AW50" s="438"/>
      <c r="AX50" s="438"/>
      <c r="AY50" s="438"/>
      <c r="AZ50" s="438"/>
      <c r="BA50" s="438"/>
      <c r="BB50" s="438"/>
      <c r="BC50" s="438"/>
      <c r="BD50" s="438"/>
      <c r="BE50" s="438"/>
      <c r="BF50" s="438"/>
      <c r="BG50" s="438"/>
      <c r="BH50" s="438"/>
    </row>
    <row r="51" spans="1:60" hidden="1">
      <c r="A51" s="148" t="str">
        <f t="shared" si="0"/>
        <v>Cloud Architect-Principal-India-Technology</v>
      </c>
      <c r="B51" s="435" t="s">
        <v>573</v>
      </c>
      <c r="C51" s="435" t="s">
        <v>242</v>
      </c>
      <c r="D51" s="435" t="s">
        <v>530</v>
      </c>
      <c r="E51" s="435" t="s">
        <v>184</v>
      </c>
      <c r="F51" s="436">
        <v>72</v>
      </c>
      <c r="G51" s="148" t="s">
        <v>259</v>
      </c>
    </row>
    <row r="52" spans="1:60" hidden="1">
      <c r="A52" s="148" t="str">
        <f t="shared" si="0"/>
        <v>Cloud Architect-Senior-India-Technology</v>
      </c>
      <c r="B52" s="435" t="s">
        <v>573</v>
      </c>
      <c r="C52" s="435" t="s">
        <v>243</v>
      </c>
      <c r="D52" s="435" t="s">
        <v>526</v>
      </c>
      <c r="E52" s="435" t="s">
        <v>184</v>
      </c>
      <c r="F52" s="436">
        <v>52</v>
      </c>
      <c r="G52" s="148" t="s">
        <v>259</v>
      </c>
    </row>
    <row r="53" spans="1:60" hidden="1">
      <c r="A53" s="148" t="str">
        <f t="shared" si="0"/>
        <v>Cloud Engineer-Intermediate-India-Technology</v>
      </c>
      <c r="B53" s="435" t="s">
        <v>579</v>
      </c>
      <c r="C53" s="435" t="s">
        <v>239</v>
      </c>
      <c r="D53" s="435" t="s">
        <v>524</v>
      </c>
      <c r="E53" s="435" t="s">
        <v>184</v>
      </c>
      <c r="F53" s="436">
        <v>32</v>
      </c>
      <c r="G53" s="148" t="s">
        <v>259</v>
      </c>
    </row>
    <row r="54" spans="1:60" hidden="1">
      <c r="A54" s="148" t="str">
        <f t="shared" si="0"/>
        <v>Cloud Engineer-Junior-India-Technology</v>
      </c>
      <c r="B54" s="435" t="s">
        <v>579</v>
      </c>
      <c r="C54" s="435" t="s">
        <v>240</v>
      </c>
      <c r="D54" s="435" t="s">
        <v>521</v>
      </c>
      <c r="E54" s="435" t="s">
        <v>184</v>
      </c>
      <c r="F54" s="436">
        <v>28</v>
      </c>
      <c r="G54" s="148" t="s">
        <v>259</v>
      </c>
    </row>
    <row r="55" spans="1:60" hidden="1">
      <c r="A55" s="148" t="str">
        <f t="shared" si="0"/>
        <v>Cloud Engineer-Lead-India-Technology</v>
      </c>
      <c r="B55" s="435" t="s">
        <v>579</v>
      </c>
      <c r="C55" s="435" t="s">
        <v>241</v>
      </c>
      <c r="D55" s="435" t="s">
        <v>528</v>
      </c>
      <c r="E55" s="435" t="s">
        <v>184</v>
      </c>
      <c r="F55" s="436">
        <v>49</v>
      </c>
      <c r="G55" s="148" t="s">
        <v>259</v>
      </c>
    </row>
    <row r="56" spans="1:60" hidden="1">
      <c r="A56" s="148" t="str">
        <f t="shared" si="0"/>
        <v>Cloud Engineer-Principal-India-Technology</v>
      </c>
      <c r="B56" s="435" t="s">
        <v>579</v>
      </c>
      <c r="C56" s="435" t="s">
        <v>242</v>
      </c>
      <c r="D56" s="435" t="s">
        <v>530</v>
      </c>
      <c r="E56" s="435" t="s">
        <v>184</v>
      </c>
      <c r="F56" s="436">
        <v>59</v>
      </c>
      <c r="G56" s="148" t="s">
        <v>259</v>
      </c>
    </row>
    <row r="57" spans="1:60" hidden="1">
      <c r="A57" s="148" t="str">
        <f t="shared" si="0"/>
        <v>Cloud Engineer-Senior-India-Technology</v>
      </c>
      <c r="B57" s="435" t="s">
        <v>579</v>
      </c>
      <c r="C57" s="435" t="s">
        <v>243</v>
      </c>
      <c r="D57" s="435" t="s">
        <v>526</v>
      </c>
      <c r="E57" s="435" t="s">
        <v>184</v>
      </c>
      <c r="F57" s="436">
        <v>39</v>
      </c>
      <c r="G57" s="148" t="s">
        <v>259</v>
      </c>
    </row>
    <row r="58" spans="1:60" hidden="1">
      <c r="A58" s="148" t="str">
        <f t="shared" si="0"/>
        <v>Container Engineer-Intermediate-India-Technology</v>
      </c>
      <c r="B58" s="435" t="s">
        <v>585</v>
      </c>
      <c r="C58" s="435" t="s">
        <v>239</v>
      </c>
      <c r="D58" s="435" t="s">
        <v>524</v>
      </c>
      <c r="E58" s="435" t="s">
        <v>184</v>
      </c>
      <c r="F58" s="436">
        <v>32</v>
      </c>
      <c r="G58" s="148" t="s">
        <v>259</v>
      </c>
    </row>
    <row r="59" spans="1:60" hidden="1">
      <c r="A59" s="148" t="str">
        <f t="shared" si="0"/>
        <v>Container Engineer-Junior-India-Technology</v>
      </c>
      <c r="B59" s="435" t="s">
        <v>585</v>
      </c>
      <c r="C59" s="435" t="s">
        <v>240</v>
      </c>
      <c r="D59" s="435" t="s">
        <v>521</v>
      </c>
      <c r="E59" s="435" t="s">
        <v>184</v>
      </c>
      <c r="F59" s="436">
        <v>26</v>
      </c>
      <c r="G59" s="148" t="s">
        <v>259</v>
      </c>
    </row>
    <row r="60" spans="1:60" hidden="1">
      <c r="A60" s="148" t="str">
        <f t="shared" si="0"/>
        <v>Container Engineer-Lead-India-Technology</v>
      </c>
      <c r="B60" s="435" t="s">
        <v>585</v>
      </c>
      <c r="C60" s="435" t="s">
        <v>241</v>
      </c>
      <c r="D60" s="435" t="s">
        <v>528</v>
      </c>
      <c r="E60" s="435" t="s">
        <v>184</v>
      </c>
      <c r="F60" s="436">
        <v>43</v>
      </c>
      <c r="G60" s="148" t="s">
        <v>259</v>
      </c>
    </row>
    <row r="61" spans="1:60" hidden="1">
      <c r="A61" s="148" t="str">
        <f t="shared" si="0"/>
        <v>Container Engineer-Principal-India-Technology</v>
      </c>
      <c r="B61" s="435" t="s">
        <v>585</v>
      </c>
      <c r="C61" s="435" t="s">
        <v>242</v>
      </c>
      <c r="D61" s="435" t="s">
        <v>530</v>
      </c>
      <c r="E61" s="435" t="s">
        <v>184</v>
      </c>
      <c r="F61" s="436">
        <v>59</v>
      </c>
      <c r="G61" s="148" t="s">
        <v>259</v>
      </c>
    </row>
    <row r="62" spans="1:60" hidden="1">
      <c r="A62" s="148" t="str">
        <f t="shared" si="0"/>
        <v>Container Engineer-Senior-India-Technology</v>
      </c>
      <c r="B62" s="435" t="s">
        <v>585</v>
      </c>
      <c r="C62" s="435" t="s">
        <v>243</v>
      </c>
      <c r="D62" s="435" t="s">
        <v>526</v>
      </c>
      <c r="E62" s="435" t="s">
        <v>184</v>
      </c>
      <c r="F62" s="436">
        <v>38</v>
      </c>
      <c r="G62" s="148" t="s">
        <v>259</v>
      </c>
    </row>
    <row r="63" spans="1:60" hidden="1">
      <c r="A63" s="148" t="str">
        <f t="shared" si="0"/>
        <v>Cyber Security -Analyst-India-Consulting</v>
      </c>
      <c r="B63" s="435" t="s">
        <v>477</v>
      </c>
      <c r="C63" s="435" t="s">
        <v>384</v>
      </c>
      <c r="D63" s="435" t="s">
        <v>591</v>
      </c>
      <c r="E63" s="435" t="s">
        <v>184</v>
      </c>
      <c r="F63" s="436">
        <v>76</v>
      </c>
      <c r="G63" s="148" t="s">
        <v>261</v>
      </c>
    </row>
    <row r="64" spans="1:60" hidden="1">
      <c r="A64" s="148" t="str">
        <f t="shared" si="0"/>
        <v>Cyber Security -Consultant-India-Consulting</v>
      </c>
      <c r="B64" s="435" t="s">
        <v>477</v>
      </c>
      <c r="C64" s="435" t="s">
        <v>368</v>
      </c>
      <c r="D64" s="435" t="s">
        <v>593</v>
      </c>
      <c r="E64" s="435" t="s">
        <v>184</v>
      </c>
      <c r="F64" s="436">
        <v>78</v>
      </c>
      <c r="G64" s="148" t="s">
        <v>261</v>
      </c>
    </row>
    <row r="65" spans="1:7" hidden="1">
      <c r="A65" s="148" t="str">
        <f t="shared" si="0"/>
        <v>Cyber Security -Manager-India-Consulting</v>
      </c>
      <c r="B65" s="435" t="s">
        <v>477</v>
      </c>
      <c r="C65" s="435" t="s">
        <v>376</v>
      </c>
      <c r="D65" s="435" t="s">
        <v>595</v>
      </c>
      <c r="E65" s="435" t="s">
        <v>184</v>
      </c>
      <c r="F65" s="436">
        <v>127</v>
      </c>
      <c r="G65" s="148" t="s">
        <v>261</v>
      </c>
    </row>
    <row r="66" spans="1:7" hidden="1">
      <c r="A66" s="148" t="str">
        <f t="shared" ref="A66:A129" si="1">_xlfn.CONCAT(B66,"-",C66,"-",E66,"-",G66)</f>
        <v>Cyber Security -Managing Director-India-Consulting</v>
      </c>
      <c r="B66" s="435" t="s">
        <v>477</v>
      </c>
      <c r="C66" s="435" t="s">
        <v>357</v>
      </c>
      <c r="D66" s="435" t="s">
        <v>597</v>
      </c>
      <c r="E66" s="435" t="s">
        <v>184</v>
      </c>
      <c r="F66" s="436">
        <v>261</v>
      </c>
      <c r="G66" s="148" t="s">
        <v>261</v>
      </c>
    </row>
    <row r="67" spans="1:7" hidden="1">
      <c r="A67" s="148" t="str">
        <f t="shared" si="1"/>
        <v>Cyber Security -Principal-India-Consulting</v>
      </c>
      <c r="B67" s="435" t="s">
        <v>477</v>
      </c>
      <c r="C67" s="435" t="s">
        <v>242</v>
      </c>
      <c r="D67" s="435" t="s">
        <v>599</v>
      </c>
      <c r="E67" s="435" t="s">
        <v>184</v>
      </c>
      <c r="F67" s="436">
        <v>261</v>
      </c>
      <c r="G67" s="148" t="s">
        <v>261</v>
      </c>
    </row>
    <row r="68" spans="1:7" hidden="1">
      <c r="A68" s="148" t="str">
        <f t="shared" si="1"/>
        <v>Cyber Security -Senior Consultant-India-Consulting</v>
      </c>
      <c r="B68" s="435" t="s">
        <v>477</v>
      </c>
      <c r="C68" s="435" t="s">
        <v>364</v>
      </c>
      <c r="D68" s="435" t="s">
        <v>601</v>
      </c>
      <c r="E68" s="435" t="s">
        <v>184</v>
      </c>
      <c r="F68" s="436">
        <v>104</v>
      </c>
      <c r="G68" s="148" t="s">
        <v>261</v>
      </c>
    </row>
    <row r="69" spans="1:7" hidden="1">
      <c r="A69" s="148" t="str">
        <f t="shared" si="1"/>
        <v>Cyber Security -Senior Manager-India-Consulting</v>
      </c>
      <c r="B69" s="435" t="s">
        <v>477</v>
      </c>
      <c r="C69" s="435" t="s">
        <v>361</v>
      </c>
      <c r="D69" s="435" t="s">
        <v>603</v>
      </c>
      <c r="E69" s="435" t="s">
        <v>184</v>
      </c>
      <c r="F69" s="436">
        <v>162</v>
      </c>
      <c r="G69" s="148" t="s">
        <v>261</v>
      </c>
    </row>
    <row r="70" spans="1:7" hidden="1">
      <c r="A70" s="148" t="str">
        <f t="shared" si="1"/>
        <v>Cybersecurity Analyst-Intermediate-India-Technology</v>
      </c>
      <c r="B70" s="435" t="s">
        <v>605</v>
      </c>
      <c r="C70" s="435" t="s">
        <v>239</v>
      </c>
      <c r="D70" s="435" t="s">
        <v>524</v>
      </c>
      <c r="E70" s="435" t="s">
        <v>184</v>
      </c>
      <c r="F70" s="436">
        <v>33</v>
      </c>
      <c r="G70" s="148" t="s">
        <v>259</v>
      </c>
    </row>
    <row r="71" spans="1:7" hidden="1">
      <c r="A71" s="148" t="str">
        <f t="shared" si="1"/>
        <v>Cybersecurity Analyst-Junior-India-Technology</v>
      </c>
      <c r="B71" s="435" t="s">
        <v>605</v>
      </c>
      <c r="C71" s="435" t="s">
        <v>240</v>
      </c>
      <c r="D71" s="435" t="s">
        <v>521</v>
      </c>
      <c r="E71" s="435" t="s">
        <v>184</v>
      </c>
      <c r="F71" s="436">
        <v>29</v>
      </c>
      <c r="G71" s="148" t="s">
        <v>259</v>
      </c>
    </row>
    <row r="72" spans="1:7" hidden="1">
      <c r="A72" s="148" t="str">
        <f t="shared" si="1"/>
        <v>Cybersecurity Analyst-Lead-India-Technology</v>
      </c>
      <c r="B72" s="435" t="s">
        <v>605</v>
      </c>
      <c r="C72" s="435" t="s">
        <v>241</v>
      </c>
      <c r="D72" s="435" t="s">
        <v>528</v>
      </c>
      <c r="E72" s="435" t="s">
        <v>184</v>
      </c>
      <c r="F72" s="436">
        <v>52</v>
      </c>
      <c r="G72" s="148" t="s">
        <v>259</v>
      </c>
    </row>
    <row r="73" spans="1:7" hidden="1">
      <c r="A73" s="148" t="str">
        <f t="shared" si="1"/>
        <v>Cybersecurity Analyst-Principal-India-Technology</v>
      </c>
      <c r="B73" s="435" t="s">
        <v>605</v>
      </c>
      <c r="C73" s="435" t="s">
        <v>242</v>
      </c>
      <c r="D73" s="435" t="s">
        <v>530</v>
      </c>
      <c r="E73" s="435" t="s">
        <v>184</v>
      </c>
      <c r="F73" s="436">
        <v>60</v>
      </c>
      <c r="G73" s="148" t="s">
        <v>259</v>
      </c>
    </row>
    <row r="74" spans="1:7" hidden="1">
      <c r="A74" s="148" t="str">
        <f t="shared" si="1"/>
        <v>Cybersecurity Analyst-Senior-India-Technology</v>
      </c>
      <c r="B74" s="435" t="s">
        <v>605</v>
      </c>
      <c r="C74" s="435" t="s">
        <v>243</v>
      </c>
      <c r="D74" s="435" t="s">
        <v>526</v>
      </c>
      <c r="E74" s="435" t="s">
        <v>184</v>
      </c>
      <c r="F74" s="436">
        <v>43</v>
      </c>
      <c r="G74" s="148" t="s">
        <v>259</v>
      </c>
    </row>
    <row r="75" spans="1:7" hidden="1">
      <c r="A75" s="148" t="str">
        <f t="shared" si="1"/>
        <v>Cybersecurity Assurance Analyst-Intermediate-India-Technology</v>
      </c>
      <c r="B75" s="435" t="s">
        <v>611</v>
      </c>
      <c r="C75" s="435" t="s">
        <v>239</v>
      </c>
      <c r="D75" s="435" t="s">
        <v>524</v>
      </c>
      <c r="E75" s="435" t="s">
        <v>184</v>
      </c>
      <c r="F75" s="436">
        <v>33</v>
      </c>
      <c r="G75" s="148" t="s">
        <v>259</v>
      </c>
    </row>
    <row r="76" spans="1:7" hidden="1">
      <c r="A76" s="148" t="str">
        <f t="shared" si="1"/>
        <v>Cybersecurity Assurance Analyst-Junior-India-Technology</v>
      </c>
      <c r="B76" s="435" t="s">
        <v>611</v>
      </c>
      <c r="C76" s="435" t="s">
        <v>240</v>
      </c>
      <c r="D76" s="435" t="s">
        <v>521</v>
      </c>
      <c r="E76" s="435" t="s">
        <v>184</v>
      </c>
      <c r="F76" s="436">
        <v>29</v>
      </c>
      <c r="G76" s="148" t="s">
        <v>259</v>
      </c>
    </row>
    <row r="77" spans="1:7" hidden="1">
      <c r="A77" s="148" t="str">
        <f t="shared" si="1"/>
        <v>Cybersecurity Assurance Analyst-Lead-India-Technology</v>
      </c>
      <c r="B77" s="435" t="s">
        <v>611</v>
      </c>
      <c r="C77" s="435" t="s">
        <v>241</v>
      </c>
      <c r="D77" s="435" t="s">
        <v>528</v>
      </c>
      <c r="E77" s="435" t="s">
        <v>184</v>
      </c>
      <c r="F77" s="436">
        <v>52</v>
      </c>
      <c r="G77" s="148" t="s">
        <v>259</v>
      </c>
    </row>
    <row r="78" spans="1:7" hidden="1">
      <c r="A78" s="148" t="str">
        <f t="shared" si="1"/>
        <v>Cybersecurity Assurance Analyst-Principal-India-Technology</v>
      </c>
      <c r="B78" s="435" t="s">
        <v>611</v>
      </c>
      <c r="C78" s="435" t="s">
        <v>242</v>
      </c>
      <c r="D78" s="435" t="s">
        <v>530</v>
      </c>
      <c r="E78" s="435" t="s">
        <v>184</v>
      </c>
      <c r="F78" s="436">
        <v>60</v>
      </c>
      <c r="G78" s="148" t="s">
        <v>259</v>
      </c>
    </row>
    <row r="79" spans="1:7" hidden="1">
      <c r="A79" s="148" t="str">
        <f t="shared" si="1"/>
        <v>Cybersecurity Assurance Analyst-Senior-India-Technology</v>
      </c>
      <c r="B79" s="435" t="s">
        <v>611</v>
      </c>
      <c r="C79" s="435" t="s">
        <v>243</v>
      </c>
      <c r="D79" s="435" t="s">
        <v>526</v>
      </c>
      <c r="E79" s="435" t="s">
        <v>184</v>
      </c>
      <c r="F79" s="436">
        <v>43</v>
      </c>
      <c r="G79" s="148" t="s">
        <v>259</v>
      </c>
    </row>
    <row r="80" spans="1:7" hidden="1">
      <c r="A80" s="148" t="str">
        <f t="shared" si="1"/>
        <v>Cybersecurity Consultant-Intermediate-India-Technology</v>
      </c>
      <c r="B80" s="435" t="s">
        <v>484</v>
      </c>
      <c r="C80" s="435" t="s">
        <v>239</v>
      </c>
      <c r="D80" s="435" t="s">
        <v>524</v>
      </c>
      <c r="E80" s="435" t="s">
        <v>184</v>
      </c>
      <c r="F80" s="436">
        <v>35</v>
      </c>
      <c r="G80" s="148" t="s">
        <v>259</v>
      </c>
    </row>
    <row r="81" spans="1:7" hidden="1">
      <c r="A81" s="148" t="str">
        <f t="shared" si="1"/>
        <v>Cybersecurity Consultant-Junior-India-Technology</v>
      </c>
      <c r="B81" s="435" t="s">
        <v>484</v>
      </c>
      <c r="C81" s="435" t="s">
        <v>240</v>
      </c>
      <c r="D81" s="435" t="s">
        <v>521</v>
      </c>
      <c r="E81" s="435" t="s">
        <v>184</v>
      </c>
      <c r="F81" s="436">
        <v>31</v>
      </c>
      <c r="G81" s="148" t="s">
        <v>259</v>
      </c>
    </row>
    <row r="82" spans="1:7" hidden="1">
      <c r="A82" s="148" t="str">
        <f t="shared" si="1"/>
        <v>Cybersecurity Consultant-Lead-India-Technology</v>
      </c>
      <c r="B82" s="435" t="s">
        <v>484</v>
      </c>
      <c r="C82" s="435" t="s">
        <v>241</v>
      </c>
      <c r="D82" s="435" t="s">
        <v>528</v>
      </c>
      <c r="E82" s="435" t="s">
        <v>184</v>
      </c>
      <c r="F82" s="436">
        <v>59</v>
      </c>
      <c r="G82" s="148" t="s">
        <v>259</v>
      </c>
    </row>
    <row r="83" spans="1:7" hidden="1">
      <c r="A83" s="148" t="str">
        <f t="shared" si="1"/>
        <v>Cybersecurity Consultant-Principal-India-Technology</v>
      </c>
      <c r="B83" s="435" t="s">
        <v>484</v>
      </c>
      <c r="C83" s="435" t="s">
        <v>242</v>
      </c>
      <c r="D83" s="435" t="s">
        <v>530</v>
      </c>
      <c r="E83" s="435" t="s">
        <v>184</v>
      </c>
      <c r="F83" s="436">
        <v>66</v>
      </c>
      <c r="G83" s="148" t="s">
        <v>259</v>
      </c>
    </row>
    <row r="84" spans="1:7" hidden="1">
      <c r="A84" s="148" t="str">
        <f t="shared" si="1"/>
        <v>Cybersecurity Consultant-Senior-India-Technology</v>
      </c>
      <c r="B84" s="435" t="s">
        <v>484</v>
      </c>
      <c r="C84" s="435" t="s">
        <v>243</v>
      </c>
      <c r="D84" s="435" t="s">
        <v>526</v>
      </c>
      <c r="E84" s="435" t="s">
        <v>184</v>
      </c>
      <c r="F84" s="436">
        <v>49</v>
      </c>
      <c r="G84" s="148" t="s">
        <v>259</v>
      </c>
    </row>
    <row r="85" spans="1:7" hidden="1">
      <c r="A85" s="148" t="str">
        <f t="shared" si="1"/>
        <v>Data Analyst-Intermediate-India-Technology</v>
      </c>
      <c r="B85" s="435" t="s">
        <v>622</v>
      </c>
      <c r="C85" s="435" t="s">
        <v>239</v>
      </c>
      <c r="D85" s="435" t="s">
        <v>524</v>
      </c>
      <c r="E85" s="435" t="s">
        <v>184</v>
      </c>
      <c r="F85" s="436">
        <v>33</v>
      </c>
      <c r="G85" s="148" t="s">
        <v>259</v>
      </c>
    </row>
    <row r="86" spans="1:7" hidden="1">
      <c r="A86" s="148" t="str">
        <f t="shared" si="1"/>
        <v>Data Analyst-Junior-India-Technology</v>
      </c>
      <c r="B86" s="435" t="s">
        <v>622</v>
      </c>
      <c r="C86" s="435" t="s">
        <v>240</v>
      </c>
      <c r="D86" s="435" t="s">
        <v>521</v>
      </c>
      <c r="E86" s="435" t="s">
        <v>184</v>
      </c>
      <c r="F86" s="436">
        <v>29</v>
      </c>
      <c r="G86" s="148" t="s">
        <v>259</v>
      </c>
    </row>
    <row r="87" spans="1:7" hidden="1">
      <c r="A87" s="148" t="str">
        <f t="shared" si="1"/>
        <v>Data Analyst-Lead-India-Technology</v>
      </c>
      <c r="B87" s="435" t="s">
        <v>622</v>
      </c>
      <c r="C87" s="435" t="s">
        <v>241</v>
      </c>
      <c r="D87" s="435" t="s">
        <v>528</v>
      </c>
      <c r="E87" s="435" t="s">
        <v>184</v>
      </c>
      <c r="F87" s="436">
        <v>49</v>
      </c>
      <c r="G87" s="148" t="s">
        <v>259</v>
      </c>
    </row>
    <row r="88" spans="1:7" hidden="1">
      <c r="A88" s="148" t="str">
        <f t="shared" si="1"/>
        <v>Data Analyst-Principal-India-Technology</v>
      </c>
      <c r="B88" s="435" t="s">
        <v>622</v>
      </c>
      <c r="C88" s="435" t="s">
        <v>242</v>
      </c>
      <c r="D88" s="435" t="s">
        <v>530</v>
      </c>
      <c r="E88" s="435" t="s">
        <v>184</v>
      </c>
      <c r="F88" s="436">
        <v>60</v>
      </c>
      <c r="G88" s="148" t="s">
        <v>259</v>
      </c>
    </row>
    <row r="89" spans="1:7" hidden="1">
      <c r="A89" s="148" t="str">
        <f t="shared" si="1"/>
        <v>Data Analyst-Senior-India-Technology</v>
      </c>
      <c r="B89" s="435" t="s">
        <v>622</v>
      </c>
      <c r="C89" s="435" t="s">
        <v>243</v>
      </c>
      <c r="D89" s="435" t="s">
        <v>526</v>
      </c>
      <c r="E89" s="435" t="s">
        <v>184</v>
      </c>
      <c r="F89" s="436">
        <v>41</v>
      </c>
      <c r="G89" s="148" t="s">
        <v>259</v>
      </c>
    </row>
    <row r="90" spans="1:7" hidden="1">
      <c r="A90" s="148" t="str">
        <f t="shared" si="1"/>
        <v>Data Architect-Intermediate-India-Technology</v>
      </c>
      <c r="B90" s="435" t="s">
        <v>628</v>
      </c>
      <c r="C90" s="435" t="s">
        <v>239</v>
      </c>
      <c r="D90" s="435" t="s">
        <v>524</v>
      </c>
      <c r="E90" s="435" t="s">
        <v>184</v>
      </c>
      <c r="F90" s="436">
        <v>40</v>
      </c>
      <c r="G90" s="148" t="s">
        <v>259</v>
      </c>
    </row>
    <row r="91" spans="1:7" hidden="1">
      <c r="A91" s="148" t="str">
        <f t="shared" si="1"/>
        <v>Data Architect-Junior-India-Technology</v>
      </c>
      <c r="B91" s="435" t="s">
        <v>628</v>
      </c>
      <c r="C91" s="435" t="s">
        <v>240</v>
      </c>
      <c r="D91" s="435" t="s">
        <v>521</v>
      </c>
      <c r="E91" s="435" t="s">
        <v>184</v>
      </c>
      <c r="F91" s="436">
        <v>34</v>
      </c>
      <c r="G91" s="148" t="s">
        <v>259</v>
      </c>
    </row>
    <row r="92" spans="1:7" hidden="1">
      <c r="A92" s="148" t="str">
        <f t="shared" si="1"/>
        <v>Data Architect-Lead-India-Technology</v>
      </c>
      <c r="B92" s="435" t="s">
        <v>628</v>
      </c>
      <c r="C92" s="435" t="s">
        <v>241</v>
      </c>
      <c r="D92" s="435" t="s">
        <v>528</v>
      </c>
      <c r="E92" s="435" t="s">
        <v>184</v>
      </c>
      <c r="F92" s="436">
        <v>50</v>
      </c>
      <c r="G92" s="148" t="s">
        <v>259</v>
      </c>
    </row>
    <row r="93" spans="1:7" hidden="1">
      <c r="A93" s="148" t="str">
        <f t="shared" si="1"/>
        <v>Data Architect-Principal-India-Technology</v>
      </c>
      <c r="B93" s="435" t="s">
        <v>628</v>
      </c>
      <c r="C93" s="435" t="s">
        <v>242</v>
      </c>
      <c r="D93" s="435" t="s">
        <v>530</v>
      </c>
      <c r="E93" s="435" t="s">
        <v>184</v>
      </c>
      <c r="F93" s="436">
        <v>60</v>
      </c>
      <c r="G93" s="148" t="s">
        <v>259</v>
      </c>
    </row>
    <row r="94" spans="1:7" hidden="1">
      <c r="A94" s="148" t="str">
        <f t="shared" si="1"/>
        <v>Data Architect-Senior-India-Technology</v>
      </c>
      <c r="B94" s="435" t="s">
        <v>628</v>
      </c>
      <c r="C94" s="435" t="s">
        <v>243</v>
      </c>
      <c r="D94" s="435" t="s">
        <v>526</v>
      </c>
      <c r="E94" s="435" t="s">
        <v>184</v>
      </c>
      <c r="F94" s="436">
        <v>44</v>
      </c>
      <c r="G94" s="148" t="s">
        <v>259</v>
      </c>
    </row>
    <row r="95" spans="1:7" hidden="1">
      <c r="A95" s="148" t="str">
        <f t="shared" si="1"/>
        <v>Data Engineer-Intermediate-India-Technology</v>
      </c>
      <c r="B95" s="435" t="s">
        <v>634</v>
      </c>
      <c r="C95" s="435" t="s">
        <v>239</v>
      </c>
      <c r="D95" s="435" t="s">
        <v>524</v>
      </c>
      <c r="E95" s="435" t="s">
        <v>184</v>
      </c>
      <c r="F95" s="436">
        <v>25</v>
      </c>
      <c r="G95" s="148" t="s">
        <v>259</v>
      </c>
    </row>
    <row r="96" spans="1:7" hidden="1">
      <c r="A96" s="148" t="str">
        <f t="shared" si="1"/>
        <v>Data Engineer-Junior-India-Technology</v>
      </c>
      <c r="B96" s="435" t="s">
        <v>634</v>
      </c>
      <c r="C96" s="435" t="s">
        <v>240</v>
      </c>
      <c r="D96" s="435" t="s">
        <v>521</v>
      </c>
      <c r="E96" s="435" t="s">
        <v>184</v>
      </c>
      <c r="F96" s="436">
        <v>22</v>
      </c>
      <c r="G96" s="148" t="s">
        <v>259</v>
      </c>
    </row>
    <row r="97" spans="1:7" hidden="1">
      <c r="A97" s="148" t="str">
        <f t="shared" si="1"/>
        <v>Data Engineer-Lead-India-Technology</v>
      </c>
      <c r="B97" s="435" t="s">
        <v>634</v>
      </c>
      <c r="C97" s="435" t="s">
        <v>241</v>
      </c>
      <c r="D97" s="435" t="s">
        <v>528</v>
      </c>
      <c r="E97" s="435" t="s">
        <v>184</v>
      </c>
      <c r="F97" s="436">
        <v>37</v>
      </c>
      <c r="G97" s="148" t="s">
        <v>259</v>
      </c>
    </row>
    <row r="98" spans="1:7" hidden="1">
      <c r="A98" s="148" t="str">
        <f t="shared" si="1"/>
        <v>Data Engineer-Principal-India-Technology</v>
      </c>
      <c r="B98" s="435" t="s">
        <v>634</v>
      </c>
      <c r="C98" s="435" t="s">
        <v>242</v>
      </c>
      <c r="D98" s="435" t="s">
        <v>530</v>
      </c>
      <c r="E98" s="435" t="s">
        <v>184</v>
      </c>
      <c r="F98" s="436">
        <v>45</v>
      </c>
      <c r="G98" s="148" t="s">
        <v>259</v>
      </c>
    </row>
    <row r="99" spans="1:7" hidden="1">
      <c r="A99" s="148" t="str">
        <f t="shared" si="1"/>
        <v>Data Engineer-Senior-India-Technology</v>
      </c>
      <c r="B99" s="435" t="s">
        <v>634</v>
      </c>
      <c r="C99" s="435" t="s">
        <v>243</v>
      </c>
      <c r="D99" s="435" t="s">
        <v>526</v>
      </c>
      <c r="E99" s="435" t="s">
        <v>184</v>
      </c>
      <c r="F99" s="436">
        <v>32</v>
      </c>
      <c r="G99" s="148" t="s">
        <v>259</v>
      </c>
    </row>
    <row r="100" spans="1:7" hidden="1">
      <c r="A100" s="148" t="str">
        <f t="shared" si="1"/>
        <v>Data Integration Architect-Intermediate-India-Technology</v>
      </c>
      <c r="B100" s="435" t="s">
        <v>640</v>
      </c>
      <c r="C100" s="435" t="s">
        <v>239</v>
      </c>
      <c r="D100" s="435" t="s">
        <v>524</v>
      </c>
      <c r="E100" s="435" t="s">
        <v>184</v>
      </c>
      <c r="F100" s="436">
        <v>43</v>
      </c>
      <c r="G100" s="148" t="s">
        <v>259</v>
      </c>
    </row>
    <row r="101" spans="1:7" hidden="1">
      <c r="A101" s="148" t="str">
        <f t="shared" si="1"/>
        <v>Data Integration Architect-Junior-India-Technology</v>
      </c>
      <c r="B101" s="435" t="s">
        <v>640</v>
      </c>
      <c r="C101" s="435" t="s">
        <v>240</v>
      </c>
      <c r="D101" s="435" t="s">
        <v>521</v>
      </c>
      <c r="E101" s="435" t="s">
        <v>184</v>
      </c>
      <c r="F101" s="436">
        <v>35</v>
      </c>
      <c r="G101" s="148" t="s">
        <v>259</v>
      </c>
    </row>
    <row r="102" spans="1:7" hidden="1">
      <c r="A102" s="148" t="str">
        <f t="shared" si="1"/>
        <v>Data Integration Architect-Lead-India-Technology</v>
      </c>
      <c r="B102" s="435" t="s">
        <v>640</v>
      </c>
      <c r="C102" s="435" t="s">
        <v>241</v>
      </c>
      <c r="D102" s="435" t="s">
        <v>528</v>
      </c>
      <c r="E102" s="435" t="s">
        <v>184</v>
      </c>
      <c r="F102" s="436">
        <v>52</v>
      </c>
      <c r="G102" s="148" t="s">
        <v>259</v>
      </c>
    </row>
    <row r="103" spans="1:7" hidden="1">
      <c r="A103" s="148" t="str">
        <f t="shared" si="1"/>
        <v>Data Integration Architect-Principal-India-Technology</v>
      </c>
      <c r="B103" s="435" t="s">
        <v>640</v>
      </c>
      <c r="C103" s="435" t="s">
        <v>242</v>
      </c>
      <c r="D103" s="435" t="s">
        <v>530</v>
      </c>
      <c r="E103" s="435" t="s">
        <v>184</v>
      </c>
      <c r="F103" s="436">
        <v>58</v>
      </c>
      <c r="G103" s="148" t="s">
        <v>259</v>
      </c>
    </row>
    <row r="104" spans="1:7" hidden="1">
      <c r="A104" s="148" t="str">
        <f t="shared" si="1"/>
        <v>Data Integration Architect-Senior-India-Technology</v>
      </c>
      <c r="B104" s="435" t="s">
        <v>640</v>
      </c>
      <c r="C104" s="435" t="s">
        <v>243</v>
      </c>
      <c r="D104" s="435" t="s">
        <v>526</v>
      </c>
      <c r="E104" s="435" t="s">
        <v>184</v>
      </c>
      <c r="F104" s="436">
        <v>49</v>
      </c>
      <c r="G104" s="148" t="s">
        <v>259</v>
      </c>
    </row>
    <row r="105" spans="1:7" hidden="1">
      <c r="A105" s="148" t="str">
        <f t="shared" si="1"/>
        <v>Data Science Developer-Intermediate-India-Technology</v>
      </c>
      <c r="B105" s="435" t="s">
        <v>646</v>
      </c>
      <c r="C105" s="435" t="s">
        <v>239</v>
      </c>
      <c r="D105" s="435" t="s">
        <v>524</v>
      </c>
      <c r="E105" s="435" t="s">
        <v>184</v>
      </c>
      <c r="F105" s="436">
        <v>39</v>
      </c>
      <c r="G105" s="148" t="s">
        <v>259</v>
      </c>
    </row>
    <row r="106" spans="1:7" hidden="1">
      <c r="A106" s="148" t="str">
        <f t="shared" si="1"/>
        <v>Data Science Developer-Junior-India-Technology</v>
      </c>
      <c r="B106" s="435" t="s">
        <v>646</v>
      </c>
      <c r="C106" s="435" t="s">
        <v>240</v>
      </c>
      <c r="D106" s="435" t="s">
        <v>521</v>
      </c>
      <c r="E106" s="435" t="s">
        <v>184</v>
      </c>
      <c r="F106" s="436">
        <v>32</v>
      </c>
      <c r="G106" s="148" t="s">
        <v>259</v>
      </c>
    </row>
    <row r="107" spans="1:7" hidden="1">
      <c r="A107" s="148" t="str">
        <f t="shared" si="1"/>
        <v>Data Science Developer-Lead-India-Technology</v>
      </c>
      <c r="B107" s="435" t="s">
        <v>646</v>
      </c>
      <c r="C107" s="435" t="s">
        <v>241</v>
      </c>
      <c r="D107" s="435" t="s">
        <v>528</v>
      </c>
      <c r="E107" s="435" t="s">
        <v>184</v>
      </c>
      <c r="F107" s="436">
        <v>52</v>
      </c>
      <c r="G107" s="148" t="s">
        <v>259</v>
      </c>
    </row>
    <row r="108" spans="1:7" hidden="1">
      <c r="A108" s="148" t="str">
        <f t="shared" si="1"/>
        <v>Data Science Developer-Principal-India-Technology</v>
      </c>
      <c r="B108" s="435" t="s">
        <v>646</v>
      </c>
      <c r="C108" s="435" t="s">
        <v>242</v>
      </c>
      <c r="D108" s="435" t="s">
        <v>530</v>
      </c>
      <c r="E108" s="435" t="s">
        <v>184</v>
      </c>
      <c r="F108" s="436">
        <v>60</v>
      </c>
      <c r="G108" s="148" t="s">
        <v>259</v>
      </c>
    </row>
    <row r="109" spans="1:7" hidden="1">
      <c r="A109" s="148" t="str">
        <f t="shared" si="1"/>
        <v>Data Science Developer-Senior-India-Technology</v>
      </c>
      <c r="B109" s="435" t="s">
        <v>646</v>
      </c>
      <c r="C109" s="435" t="s">
        <v>243</v>
      </c>
      <c r="D109" s="435" t="s">
        <v>526</v>
      </c>
      <c r="E109" s="435" t="s">
        <v>184</v>
      </c>
      <c r="F109" s="436">
        <v>43</v>
      </c>
      <c r="G109" s="148" t="s">
        <v>259</v>
      </c>
    </row>
    <row r="110" spans="1:7" hidden="1">
      <c r="A110" s="148" t="str">
        <f t="shared" si="1"/>
        <v>Data Visualization Engineer-Intermediate-India-Technology</v>
      </c>
      <c r="B110" s="435" t="s">
        <v>652</v>
      </c>
      <c r="C110" s="435" t="s">
        <v>239</v>
      </c>
      <c r="D110" s="435" t="s">
        <v>524</v>
      </c>
      <c r="E110" s="435" t="s">
        <v>184</v>
      </c>
      <c r="F110" s="436">
        <v>34</v>
      </c>
      <c r="G110" s="148" t="s">
        <v>259</v>
      </c>
    </row>
    <row r="111" spans="1:7" hidden="1">
      <c r="A111" s="148" t="str">
        <f t="shared" si="1"/>
        <v>Data Visualization Engineer-Junior-India-Technology</v>
      </c>
      <c r="B111" s="435" t="s">
        <v>652</v>
      </c>
      <c r="C111" s="435" t="s">
        <v>240</v>
      </c>
      <c r="D111" s="435" t="s">
        <v>521</v>
      </c>
      <c r="E111" s="435" t="s">
        <v>184</v>
      </c>
      <c r="F111" s="436">
        <v>31</v>
      </c>
      <c r="G111" s="148" t="s">
        <v>259</v>
      </c>
    </row>
    <row r="112" spans="1:7" hidden="1">
      <c r="A112" s="148" t="str">
        <f t="shared" si="1"/>
        <v>Data Visualization Engineer-Lead-India-Technology</v>
      </c>
      <c r="B112" s="435" t="s">
        <v>652</v>
      </c>
      <c r="C112" s="435" t="s">
        <v>241</v>
      </c>
      <c r="D112" s="435" t="s">
        <v>528</v>
      </c>
      <c r="E112" s="435" t="s">
        <v>184</v>
      </c>
      <c r="F112" s="436">
        <v>49</v>
      </c>
      <c r="G112" s="148" t="s">
        <v>259</v>
      </c>
    </row>
    <row r="113" spans="1:7" hidden="1">
      <c r="A113" s="148" t="str">
        <f t="shared" si="1"/>
        <v>Data Visualization Engineer-Principal-India-Technology</v>
      </c>
      <c r="B113" s="435" t="s">
        <v>652</v>
      </c>
      <c r="C113" s="435" t="s">
        <v>242</v>
      </c>
      <c r="D113" s="435" t="s">
        <v>530</v>
      </c>
      <c r="E113" s="435" t="s">
        <v>184</v>
      </c>
      <c r="F113" s="436">
        <v>59</v>
      </c>
      <c r="G113" s="148" t="s">
        <v>259</v>
      </c>
    </row>
    <row r="114" spans="1:7" hidden="1">
      <c r="A114" s="148" t="str">
        <f t="shared" si="1"/>
        <v>Data Visualization Engineer-Senior-India-Technology</v>
      </c>
      <c r="B114" s="435" t="s">
        <v>652</v>
      </c>
      <c r="C114" s="435" t="s">
        <v>243</v>
      </c>
      <c r="D114" s="435" t="s">
        <v>526</v>
      </c>
      <c r="E114" s="435" t="s">
        <v>184</v>
      </c>
      <c r="F114" s="436">
        <v>39</v>
      </c>
      <c r="G114" s="148" t="s">
        <v>259</v>
      </c>
    </row>
    <row r="115" spans="1:7" hidden="1">
      <c r="A115" s="148" t="str">
        <f t="shared" si="1"/>
        <v>Data Warehouse / Business Intelligence Engineer-Intermediate-India-Technology</v>
      </c>
      <c r="B115" s="435" t="s">
        <v>658</v>
      </c>
      <c r="C115" s="435" t="s">
        <v>239</v>
      </c>
      <c r="D115" s="435" t="s">
        <v>524</v>
      </c>
      <c r="E115" s="435" t="s">
        <v>184</v>
      </c>
      <c r="F115" s="436">
        <v>29</v>
      </c>
      <c r="G115" s="148" t="s">
        <v>259</v>
      </c>
    </row>
    <row r="116" spans="1:7" hidden="1">
      <c r="A116" s="148" t="str">
        <f t="shared" si="1"/>
        <v>Data Warehouse / Business Intelligence Engineer-Junior-India-Technology</v>
      </c>
      <c r="B116" s="435" t="s">
        <v>658</v>
      </c>
      <c r="C116" s="435" t="s">
        <v>240</v>
      </c>
      <c r="D116" s="435" t="s">
        <v>521</v>
      </c>
      <c r="E116" s="435" t="s">
        <v>184</v>
      </c>
      <c r="F116" s="436">
        <v>25</v>
      </c>
      <c r="G116" s="148" t="s">
        <v>259</v>
      </c>
    </row>
    <row r="117" spans="1:7" hidden="1">
      <c r="A117" s="148" t="str">
        <f t="shared" si="1"/>
        <v>Data Warehouse / Business Intelligence Engineer-Lead-India-Technology</v>
      </c>
      <c r="B117" s="435" t="s">
        <v>658</v>
      </c>
      <c r="C117" s="435" t="s">
        <v>241</v>
      </c>
      <c r="D117" s="435" t="s">
        <v>528</v>
      </c>
      <c r="E117" s="435" t="s">
        <v>184</v>
      </c>
      <c r="F117" s="436">
        <v>41</v>
      </c>
      <c r="G117" s="148" t="s">
        <v>259</v>
      </c>
    </row>
    <row r="118" spans="1:7" hidden="1">
      <c r="A118" s="148" t="str">
        <f t="shared" si="1"/>
        <v>Data Warehouse / Business Intelligence Engineer-Principal-India-Technology</v>
      </c>
      <c r="B118" s="435" t="s">
        <v>658</v>
      </c>
      <c r="C118" s="435" t="s">
        <v>242</v>
      </c>
      <c r="D118" s="435" t="s">
        <v>530</v>
      </c>
      <c r="E118" s="435" t="s">
        <v>184</v>
      </c>
      <c r="F118" s="436">
        <v>46</v>
      </c>
      <c r="G118" s="148" t="s">
        <v>259</v>
      </c>
    </row>
    <row r="119" spans="1:7" hidden="1">
      <c r="A119" s="148" t="str">
        <f t="shared" si="1"/>
        <v>Data Warehouse / Business Intelligence Engineer-Senior-India-Technology</v>
      </c>
      <c r="B119" s="435" t="s">
        <v>658</v>
      </c>
      <c r="C119" s="435" t="s">
        <v>243</v>
      </c>
      <c r="D119" s="435" t="s">
        <v>526</v>
      </c>
      <c r="E119" s="435" t="s">
        <v>184</v>
      </c>
      <c r="F119" s="436">
        <v>34</v>
      </c>
      <c r="G119" s="148" t="s">
        <v>259</v>
      </c>
    </row>
    <row r="120" spans="1:7" hidden="1">
      <c r="A120" s="148" t="str">
        <f t="shared" si="1"/>
        <v>Database Administrator-Intermediate-India-Technology</v>
      </c>
      <c r="B120" s="435" t="s">
        <v>664</v>
      </c>
      <c r="C120" s="435" t="s">
        <v>239</v>
      </c>
      <c r="D120" s="435" t="s">
        <v>524</v>
      </c>
      <c r="E120" s="435" t="s">
        <v>184</v>
      </c>
      <c r="F120" s="436">
        <v>25</v>
      </c>
      <c r="G120" s="148" t="s">
        <v>259</v>
      </c>
    </row>
    <row r="121" spans="1:7" hidden="1">
      <c r="A121" s="148" t="str">
        <f t="shared" si="1"/>
        <v>Database Administrator-Junior-India-Technology</v>
      </c>
      <c r="B121" s="435" t="s">
        <v>664</v>
      </c>
      <c r="C121" s="435" t="s">
        <v>240</v>
      </c>
      <c r="D121" s="435" t="s">
        <v>521</v>
      </c>
      <c r="E121" s="435" t="s">
        <v>184</v>
      </c>
      <c r="F121" s="436">
        <v>22</v>
      </c>
      <c r="G121" s="148" t="s">
        <v>259</v>
      </c>
    </row>
    <row r="122" spans="1:7" hidden="1">
      <c r="A122" s="148" t="str">
        <f t="shared" si="1"/>
        <v>Database Administrator-Lead-India-Technology</v>
      </c>
      <c r="B122" s="435" t="s">
        <v>664</v>
      </c>
      <c r="C122" s="435" t="s">
        <v>241</v>
      </c>
      <c r="D122" s="435" t="s">
        <v>528</v>
      </c>
      <c r="E122" s="435" t="s">
        <v>184</v>
      </c>
      <c r="F122" s="436">
        <v>37</v>
      </c>
      <c r="G122" s="148" t="s">
        <v>259</v>
      </c>
    </row>
    <row r="123" spans="1:7" hidden="1">
      <c r="A123" s="148" t="str">
        <f t="shared" si="1"/>
        <v>Database Administrator-Principal-India-Technology</v>
      </c>
      <c r="B123" s="435" t="s">
        <v>664</v>
      </c>
      <c r="C123" s="435" t="s">
        <v>242</v>
      </c>
      <c r="D123" s="435" t="s">
        <v>530</v>
      </c>
      <c r="E123" s="435" t="s">
        <v>184</v>
      </c>
      <c r="F123" s="436">
        <v>45</v>
      </c>
      <c r="G123" s="148" t="s">
        <v>259</v>
      </c>
    </row>
    <row r="124" spans="1:7" hidden="1">
      <c r="A124" s="148" t="str">
        <f t="shared" si="1"/>
        <v>Database Administrator-Senior-India-Technology</v>
      </c>
      <c r="B124" s="435" t="s">
        <v>664</v>
      </c>
      <c r="C124" s="435" t="s">
        <v>243</v>
      </c>
      <c r="D124" s="435" t="s">
        <v>526</v>
      </c>
      <c r="E124" s="435" t="s">
        <v>184</v>
      </c>
      <c r="F124" s="436">
        <v>32</v>
      </c>
      <c r="G124" s="148" t="s">
        <v>259</v>
      </c>
    </row>
    <row r="125" spans="1:7" hidden="1">
      <c r="A125" s="148" t="str">
        <f t="shared" si="1"/>
        <v>Deal Advisory / M&amp;A-Analyst-India-Consulting</v>
      </c>
      <c r="B125" s="435" t="s">
        <v>670</v>
      </c>
      <c r="C125" s="435" t="s">
        <v>384</v>
      </c>
      <c r="D125" s="435" t="s">
        <v>591</v>
      </c>
      <c r="E125" s="435" t="s">
        <v>184</v>
      </c>
      <c r="F125" s="436">
        <v>170</v>
      </c>
      <c r="G125" s="148" t="s">
        <v>261</v>
      </c>
    </row>
    <row r="126" spans="1:7" hidden="1">
      <c r="A126" s="148" t="str">
        <f t="shared" si="1"/>
        <v>Deal Advisory / M&amp;A-Consultant-India-Consulting</v>
      </c>
      <c r="B126" s="435" t="s">
        <v>670</v>
      </c>
      <c r="C126" s="435" t="s">
        <v>368</v>
      </c>
      <c r="D126" s="435" t="s">
        <v>593</v>
      </c>
      <c r="E126" s="435" t="s">
        <v>184</v>
      </c>
      <c r="F126" s="436">
        <v>170</v>
      </c>
      <c r="G126" s="148" t="s">
        <v>261</v>
      </c>
    </row>
    <row r="127" spans="1:7" hidden="1">
      <c r="A127" s="148" t="str">
        <f t="shared" si="1"/>
        <v>Deal Advisory / M&amp;A-Manager-India-Consulting</v>
      </c>
      <c r="B127" s="435" t="s">
        <v>670</v>
      </c>
      <c r="C127" s="435" t="s">
        <v>376</v>
      </c>
      <c r="D127" s="435" t="s">
        <v>595</v>
      </c>
      <c r="E127" s="435" t="s">
        <v>184</v>
      </c>
      <c r="F127" s="436">
        <v>365</v>
      </c>
      <c r="G127" s="148" t="s">
        <v>261</v>
      </c>
    </row>
    <row r="128" spans="1:7" hidden="1">
      <c r="A128" s="148" t="str">
        <f t="shared" si="1"/>
        <v>Cyber Security -Managing Director-US-Consulting</v>
      </c>
      <c r="B128" s="435" t="s">
        <v>477</v>
      </c>
      <c r="C128" s="435" t="s">
        <v>357</v>
      </c>
      <c r="D128" s="435" t="s">
        <v>597</v>
      </c>
      <c r="E128" s="435" t="s">
        <v>186</v>
      </c>
      <c r="F128" s="436">
        <v>437</v>
      </c>
      <c r="G128" s="148" t="s">
        <v>261</v>
      </c>
    </row>
    <row r="129" spans="1:7" hidden="1">
      <c r="A129" s="148" t="str">
        <f t="shared" si="1"/>
        <v>Deal Advisory / M&amp;A-Principal-India-Consulting</v>
      </c>
      <c r="B129" s="435" t="s">
        <v>670</v>
      </c>
      <c r="C129" s="435" t="s">
        <v>242</v>
      </c>
      <c r="D129" s="435" t="s">
        <v>599</v>
      </c>
      <c r="E129" s="435" t="s">
        <v>184</v>
      </c>
      <c r="F129" s="436">
        <v>419</v>
      </c>
      <c r="G129" s="148" t="s">
        <v>261</v>
      </c>
    </row>
    <row r="130" spans="1:7" hidden="1">
      <c r="A130" s="148" t="str">
        <f t="shared" ref="A130:A193" si="2">_xlfn.CONCAT(B130,"-",C130,"-",E130,"-",G130)</f>
        <v>Deal Advisory / M&amp;A-Senior Consultant-India-Consulting</v>
      </c>
      <c r="B130" s="435" t="s">
        <v>670</v>
      </c>
      <c r="C130" s="435" t="s">
        <v>364</v>
      </c>
      <c r="D130" s="435" t="s">
        <v>601</v>
      </c>
      <c r="E130" s="435" t="s">
        <v>184</v>
      </c>
      <c r="F130" s="436">
        <v>280</v>
      </c>
      <c r="G130" s="148" t="s">
        <v>261</v>
      </c>
    </row>
    <row r="131" spans="1:7" hidden="1">
      <c r="A131" s="148" t="str">
        <f t="shared" si="2"/>
        <v>Deal Advisory / M&amp;A-Senior Manager-India-Consulting</v>
      </c>
      <c r="B131" s="435" t="s">
        <v>670</v>
      </c>
      <c r="C131" s="435" t="s">
        <v>361</v>
      </c>
      <c r="D131" s="435" t="s">
        <v>603</v>
      </c>
      <c r="E131" s="435" t="s">
        <v>184</v>
      </c>
      <c r="F131" s="436">
        <v>389</v>
      </c>
      <c r="G131" s="148" t="s">
        <v>261</v>
      </c>
    </row>
    <row r="132" spans="1:7" hidden="1">
      <c r="A132" s="148" t="str">
        <f t="shared" si="2"/>
        <v>Delivery Manager-Intermediate-India-Technology</v>
      </c>
      <c r="B132" s="435" t="s">
        <v>678</v>
      </c>
      <c r="C132" s="435" t="s">
        <v>239</v>
      </c>
      <c r="D132" s="435" t="s">
        <v>524</v>
      </c>
      <c r="E132" s="435" t="s">
        <v>184</v>
      </c>
      <c r="F132" s="436">
        <v>45</v>
      </c>
      <c r="G132" s="148" t="s">
        <v>259</v>
      </c>
    </row>
    <row r="133" spans="1:7" hidden="1">
      <c r="A133" s="148" t="str">
        <f t="shared" si="2"/>
        <v>Delivery Manager-Junior-India-Technology</v>
      </c>
      <c r="B133" s="435" t="s">
        <v>678</v>
      </c>
      <c r="C133" s="435" t="s">
        <v>240</v>
      </c>
      <c r="D133" s="435" t="s">
        <v>521</v>
      </c>
      <c r="E133" s="435" t="s">
        <v>184</v>
      </c>
      <c r="F133" s="436">
        <v>42</v>
      </c>
      <c r="G133" s="148" t="s">
        <v>259</v>
      </c>
    </row>
    <row r="134" spans="1:7" hidden="1">
      <c r="A134" s="148" t="str">
        <f t="shared" si="2"/>
        <v>Delivery Manager-Lead-India-Technology</v>
      </c>
      <c r="B134" s="435" t="s">
        <v>678</v>
      </c>
      <c r="C134" s="435" t="s">
        <v>241</v>
      </c>
      <c r="D134" s="435" t="s">
        <v>528</v>
      </c>
      <c r="E134" s="435" t="s">
        <v>184</v>
      </c>
      <c r="F134" s="436">
        <v>57</v>
      </c>
      <c r="G134" s="148" t="s">
        <v>259</v>
      </c>
    </row>
    <row r="135" spans="1:7" hidden="1">
      <c r="A135" s="148" t="str">
        <f t="shared" si="2"/>
        <v>Delivery Manager-Principal-India-Technology</v>
      </c>
      <c r="B135" s="435" t="s">
        <v>678</v>
      </c>
      <c r="C135" s="435" t="s">
        <v>242</v>
      </c>
      <c r="D135" s="435" t="s">
        <v>530</v>
      </c>
      <c r="E135" s="435" t="s">
        <v>184</v>
      </c>
      <c r="F135" s="436">
        <v>66</v>
      </c>
      <c r="G135" s="148" t="s">
        <v>259</v>
      </c>
    </row>
    <row r="136" spans="1:7" hidden="1">
      <c r="A136" s="148" t="str">
        <f t="shared" si="2"/>
        <v>Delivery Manager-Senior-India-Technology</v>
      </c>
      <c r="B136" s="435" t="s">
        <v>678</v>
      </c>
      <c r="C136" s="435" t="s">
        <v>243</v>
      </c>
      <c r="D136" s="435" t="s">
        <v>526</v>
      </c>
      <c r="E136" s="435" t="s">
        <v>184</v>
      </c>
      <c r="F136" s="436">
        <v>49</v>
      </c>
      <c r="G136" s="148" t="s">
        <v>259</v>
      </c>
    </row>
    <row r="137" spans="1:7" hidden="1">
      <c r="A137" s="148" t="str">
        <f t="shared" si="2"/>
        <v>Desktop Engineer-Intermediate-India-Technology</v>
      </c>
      <c r="B137" s="435" t="s">
        <v>684</v>
      </c>
      <c r="C137" s="435" t="s">
        <v>239</v>
      </c>
      <c r="D137" s="435" t="s">
        <v>524</v>
      </c>
      <c r="E137" s="435" t="s">
        <v>184</v>
      </c>
      <c r="F137" s="436">
        <v>25</v>
      </c>
      <c r="G137" s="148" t="s">
        <v>259</v>
      </c>
    </row>
    <row r="138" spans="1:7" hidden="1">
      <c r="A138" s="148" t="str">
        <f t="shared" si="2"/>
        <v>Desktop Engineer-Junior-India-Technology</v>
      </c>
      <c r="B138" s="435" t="s">
        <v>684</v>
      </c>
      <c r="C138" s="435" t="s">
        <v>240</v>
      </c>
      <c r="D138" s="435" t="s">
        <v>521</v>
      </c>
      <c r="E138" s="435" t="s">
        <v>184</v>
      </c>
      <c r="F138" s="436">
        <v>21</v>
      </c>
      <c r="G138" s="148" t="s">
        <v>259</v>
      </c>
    </row>
    <row r="139" spans="1:7" hidden="1">
      <c r="A139" s="148" t="str">
        <f t="shared" si="2"/>
        <v>Desktop Engineer-Lead-India-Technology</v>
      </c>
      <c r="B139" s="435" t="s">
        <v>684</v>
      </c>
      <c r="C139" s="435" t="s">
        <v>241</v>
      </c>
      <c r="D139" s="435" t="s">
        <v>528</v>
      </c>
      <c r="E139" s="435" t="s">
        <v>184</v>
      </c>
      <c r="F139" s="436">
        <v>37</v>
      </c>
      <c r="G139" s="148" t="s">
        <v>259</v>
      </c>
    </row>
    <row r="140" spans="1:7" hidden="1">
      <c r="A140" s="148" t="str">
        <f t="shared" si="2"/>
        <v>Desktop Engineer-Principal-India-Technology</v>
      </c>
      <c r="B140" s="435" t="s">
        <v>684</v>
      </c>
      <c r="C140" s="435" t="s">
        <v>242</v>
      </c>
      <c r="D140" s="435" t="s">
        <v>530</v>
      </c>
      <c r="E140" s="435" t="s">
        <v>184</v>
      </c>
      <c r="F140" s="436">
        <v>45</v>
      </c>
      <c r="G140" s="148" t="s">
        <v>259</v>
      </c>
    </row>
    <row r="141" spans="1:7" hidden="1">
      <c r="A141" s="148" t="str">
        <f t="shared" si="2"/>
        <v>Desktop Engineer-Senior-India-Technology</v>
      </c>
      <c r="B141" s="435" t="s">
        <v>684</v>
      </c>
      <c r="C141" s="435" t="s">
        <v>243</v>
      </c>
      <c r="D141" s="435" t="s">
        <v>526</v>
      </c>
      <c r="E141" s="435" t="s">
        <v>184</v>
      </c>
      <c r="F141" s="436">
        <v>32</v>
      </c>
      <c r="G141" s="148" t="s">
        <v>259</v>
      </c>
    </row>
    <row r="142" spans="1:7" hidden="1">
      <c r="A142" s="148" t="str">
        <f t="shared" si="2"/>
        <v>Developer/Coder-Intermediate-India-Technology</v>
      </c>
      <c r="B142" s="435" t="s">
        <v>690</v>
      </c>
      <c r="C142" s="435" t="s">
        <v>239</v>
      </c>
      <c r="D142" s="435" t="s">
        <v>524</v>
      </c>
      <c r="E142" s="435" t="s">
        <v>184</v>
      </c>
      <c r="F142" s="436">
        <v>32</v>
      </c>
      <c r="G142" s="148" t="s">
        <v>259</v>
      </c>
    </row>
    <row r="143" spans="1:7" hidden="1">
      <c r="A143" s="148" t="str">
        <f t="shared" si="2"/>
        <v>Developer/Coder-Junior-India-Technology</v>
      </c>
      <c r="B143" s="435" t="s">
        <v>690</v>
      </c>
      <c r="C143" s="435" t="s">
        <v>240</v>
      </c>
      <c r="D143" s="435" t="s">
        <v>521</v>
      </c>
      <c r="E143" s="435" t="s">
        <v>184</v>
      </c>
      <c r="F143" s="436">
        <v>25</v>
      </c>
      <c r="G143" s="148" t="s">
        <v>259</v>
      </c>
    </row>
    <row r="144" spans="1:7" hidden="1">
      <c r="A144" s="148" t="str">
        <f t="shared" si="2"/>
        <v>Developer/Coder-Lead-India-Technology</v>
      </c>
      <c r="B144" s="435" t="s">
        <v>690</v>
      </c>
      <c r="C144" s="435" t="s">
        <v>241</v>
      </c>
      <c r="D144" s="435" t="s">
        <v>528</v>
      </c>
      <c r="E144" s="435" t="s">
        <v>184</v>
      </c>
      <c r="F144" s="436">
        <v>42</v>
      </c>
      <c r="G144" s="148" t="s">
        <v>259</v>
      </c>
    </row>
    <row r="145" spans="1:7" hidden="1">
      <c r="A145" s="148" t="str">
        <f t="shared" si="2"/>
        <v>Developer/Coder-Principal-India-Technology</v>
      </c>
      <c r="B145" s="435" t="s">
        <v>690</v>
      </c>
      <c r="C145" s="435" t="s">
        <v>242</v>
      </c>
      <c r="D145" s="435" t="s">
        <v>530</v>
      </c>
      <c r="E145" s="435" t="s">
        <v>184</v>
      </c>
      <c r="F145" s="436">
        <v>46</v>
      </c>
      <c r="G145" s="148" t="s">
        <v>259</v>
      </c>
    </row>
    <row r="146" spans="1:7" hidden="1">
      <c r="A146" s="148" t="str">
        <f t="shared" si="2"/>
        <v>Developer/Coder-Senior-India-Technology</v>
      </c>
      <c r="B146" s="435" t="s">
        <v>690</v>
      </c>
      <c r="C146" s="435" t="s">
        <v>243</v>
      </c>
      <c r="D146" s="435" t="s">
        <v>526</v>
      </c>
      <c r="E146" s="435" t="s">
        <v>184</v>
      </c>
      <c r="F146" s="436">
        <v>37</v>
      </c>
      <c r="G146" s="148" t="s">
        <v>259</v>
      </c>
    </row>
    <row r="147" spans="1:7" hidden="1">
      <c r="A147" s="148" t="str">
        <f t="shared" si="2"/>
        <v>DevOps Engineer-Intermediate-India-Technology</v>
      </c>
      <c r="B147" s="435" t="s">
        <v>696</v>
      </c>
      <c r="C147" s="435" t="s">
        <v>239</v>
      </c>
      <c r="D147" s="435" t="s">
        <v>524</v>
      </c>
      <c r="E147" s="435" t="s">
        <v>184</v>
      </c>
      <c r="F147" s="436">
        <v>32</v>
      </c>
      <c r="G147" s="148" t="s">
        <v>259</v>
      </c>
    </row>
    <row r="148" spans="1:7" hidden="1">
      <c r="A148" s="148" t="str">
        <f t="shared" si="2"/>
        <v>DevOps Engineer-Junior-India-Technology</v>
      </c>
      <c r="B148" s="435" t="s">
        <v>696</v>
      </c>
      <c r="C148" s="435" t="s">
        <v>240</v>
      </c>
      <c r="D148" s="435" t="s">
        <v>521</v>
      </c>
      <c r="E148" s="435" t="s">
        <v>184</v>
      </c>
      <c r="F148" s="436">
        <v>26</v>
      </c>
      <c r="G148" s="148" t="s">
        <v>259</v>
      </c>
    </row>
    <row r="149" spans="1:7" hidden="1">
      <c r="A149" s="148" t="str">
        <f t="shared" si="2"/>
        <v>DevOps Engineer-Lead-India-Technology</v>
      </c>
      <c r="B149" s="435" t="s">
        <v>696</v>
      </c>
      <c r="C149" s="435" t="s">
        <v>241</v>
      </c>
      <c r="D149" s="435" t="s">
        <v>528</v>
      </c>
      <c r="E149" s="435" t="s">
        <v>184</v>
      </c>
      <c r="F149" s="436">
        <v>42</v>
      </c>
      <c r="G149" s="148" t="s">
        <v>259</v>
      </c>
    </row>
    <row r="150" spans="1:7" hidden="1">
      <c r="A150" s="148" t="str">
        <f t="shared" si="2"/>
        <v>DevOps Engineer-Principal-India-Technology</v>
      </c>
      <c r="B150" s="435" t="s">
        <v>696</v>
      </c>
      <c r="C150" s="435" t="s">
        <v>242</v>
      </c>
      <c r="D150" s="435" t="s">
        <v>530</v>
      </c>
      <c r="E150" s="435" t="s">
        <v>184</v>
      </c>
      <c r="F150" s="436">
        <v>59</v>
      </c>
      <c r="G150" s="148" t="s">
        <v>259</v>
      </c>
    </row>
    <row r="151" spans="1:7" hidden="1">
      <c r="A151" s="148" t="str">
        <f t="shared" si="2"/>
        <v>DevOps Engineer-Senior-India-Technology</v>
      </c>
      <c r="B151" s="435" t="s">
        <v>696</v>
      </c>
      <c r="C151" s="435" t="s">
        <v>243</v>
      </c>
      <c r="D151" s="435" t="s">
        <v>526</v>
      </c>
      <c r="E151" s="435" t="s">
        <v>184</v>
      </c>
      <c r="F151" s="436">
        <v>38</v>
      </c>
      <c r="G151" s="148" t="s">
        <v>259</v>
      </c>
    </row>
    <row r="152" spans="1:7" hidden="1">
      <c r="A152" s="148" t="str">
        <f t="shared" si="2"/>
        <v>Enterprise Architect-Intermediate-India-Technology</v>
      </c>
      <c r="B152" s="435" t="s">
        <v>702</v>
      </c>
      <c r="C152" s="435" t="s">
        <v>239</v>
      </c>
      <c r="D152" s="435" t="s">
        <v>524</v>
      </c>
      <c r="E152" s="435" t="s">
        <v>184</v>
      </c>
      <c r="F152" s="436">
        <v>47</v>
      </c>
      <c r="G152" s="148" t="s">
        <v>259</v>
      </c>
    </row>
    <row r="153" spans="1:7" hidden="1">
      <c r="A153" s="148" t="str">
        <f t="shared" si="2"/>
        <v>Enterprise Architect-Junior-India-Technology</v>
      </c>
      <c r="B153" s="435" t="s">
        <v>702</v>
      </c>
      <c r="C153" s="435" t="s">
        <v>240</v>
      </c>
      <c r="D153" s="435" t="s">
        <v>521</v>
      </c>
      <c r="E153" s="435" t="s">
        <v>184</v>
      </c>
      <c r="F153" s="436">
        <v>45</v>
      </c>
      <c r="G153" s="148" t="s">
        <v>259</v>
      </c>
    </row>
    <row r="154" spans="1:7" hidden="1">
      <c r="A154" s="148" t="str">
        <f t="shared" si="2"/>
        <v>Enterprise Architect-Lead-India-Technology</v>
      </c>
      <c r="B154" s="435" t="s">
        <v>702</v>
      </c>
      <c r="C154" s="435" t="s">
        <v>241</v>
      </c>
      <c r="D154" s="435" t="s">
        <v>528</v>
      </c>
      <c r="E154" s="435" t="s">
        <v>184</v>
      </c>
      <c r="F154" s="436">
        <v>62</v>
      </c>
      <c r="G154" s="148" t="s">
        <v>259</v>
      </c>
    </row>
    <row r="155" spans="1:7" hidden="1">
      <c r="A155" s="148" t="str">
        <f t="shared" si="2"/>
        <v>Enterprise Architect-Principal-India-Technology</v>
      </c>
      <c r="B155" s="435" t="s">
        <v>702</v>
      </c>
      <c r="C155" s="435" t="s">
        <v>242</v>
      </c>
      <c r="D155" s="435" t="s">
        <v>530</v>
      </c>
      <c r="E155" s="435" t="s">
        <v>184</v>
      </c>
      <c r="F155" s="436">
        <v>71</v>
      </c>
      <c r="G155" s="148" t="s">
        <v>259</v>
      </c>
    </row>
    <row r="156" spans="1:7" hidden="1">
      <c r="A156" s="148" t="str">
        <f t="shared" si="2"/>
        <v>Enterprise Architect-Senior-India-Technology</v>
      </c>
      <c r="B156" s="435" t="s">
        <v>702</v>
      </c>
      <c r="C156" s="435" t="s">
        <v>243</v>
      </c>
      <c r="D156" s="435" t="s">
        <v>526</v>
      </c>
      <c r="E156" s="435" t="s">
        <v>184</v>
      </c>
      <c r="F156" s="436">
        <v>52</v>
      </c>
      <c r="G156" s="148" t="s">
        <v>259</v>
      </c>
    </row>
    <row r="157" spans="1:7" hidden="1">
      <c r="A157" s="148" t="str">
        <f t="shared" si="2"/>
        <v>Functional Consultant-Intermediate-India-Technology</v>
      </c>
      <c r="B157" s="435" t="s">
        <v>708</v>
      </c>
      <c r="C157" s="435" t="s">
        <v>239</v>
      </c>
      <c r="D157" s="435" t="s">
        <v>524</v>
      </c>
      <c r="E157" s="435" t="s">
        <v>184</v>
      </c>
      <c r="F157" s="436">
        <v>35</v>
      </c>
      <c r="G157" s="148" t="s">
        <v>259</v>
      </c>
    </row>
    <row r="158" spans="1:7" hidden="1">
      <c r="A158" s="148" t="str">
        <f t="shared" si="2"/>
        <v>Functional Consultant-Junior-India-Technology</v>
      </c>
      <c r="B158" s="435" t="s">
        <v>708</v>
      </c>
      <c r="C158" s="435" t="s">
        <v>240</v>
      </c>
      <c r="D158" s="435" t="s">
        <v>521</v>
      </c>
      <c r="E158" s="435" t="s">
        <v>184</v>
      </c>
      <c r="F158" s="436">
        <v>31</v>
      </c>
      <c r="G158" s="148" t="s">
        <v>259</v>
      </c>
    </row>
    <row r="159" spans="1:7" hidden="1">
      <c r="A159" s="148" t="str">
        <f t="shared" si="2"/>
        <v>Functional Consultant-Lead-India-Technology</v>
      </c>
      <c r="B159" s="435" t="s">
        <v>708</v>
      </c>
      <c r="C159" s="435" t="s">
        <v>241</v>
      </c>
      <c r="D159" s="435" t="s">
        <v>528</v>
      </c>
      <c r="E159" s="435" t="s">
        <v>184</v>
      </c>
      <c r="F159" s="436">
        <v>59</v>
      </c>
      <c r="G159" s="148" t="s">
        <v>259</v>
      </c>
    </row>
    <row r="160" spans="1:7" hidden="1">
      <c r="A160" s="148" t="str">
        <f t="shared" si="2"/>
        <v>Functional Consultant-Principal-India-Technology</v>
      </c>
      <c r="B160" s="435" t="s">
        <v>708</v>
      </c>
      <c r="C160" s="435" t="s">
        <v>242</v>
      </c>
      <c r="D160" s="435" t="s">
        <v>530</v>
      </c>
      <c r="E160" s="435" t="s">
        <v>184</v>
      </c>
      <c r="F160" s="436">
        <v>66</v>
      </c>
      <c r="G160" s="148" t="s">
        <v>259</v>
      </c>
    </row>
    <row r="161" spans="1:7" hidden="1">
      <c r="A161" s="148" t="str">
        <f t="shared" si="2"/>
        <v>Functional Consultant-Senior-India-Technology</v>
      </c>
      <c r="B161" s="435" t="s">
        <v>708</v>
      </c>
      <c r="C161" s="435" t="s">
        <v>243</v>
      </c>
      <c r="D161" s="435" t="s">
        <v>526</v>
      </c>
      <c r="E161" s="435" t="s">
        <v>184</v>
      </c>
      <c r="F161" s="436">
        <v>48</v>
      </c>
      <c r="G161" s="148" t="s">
        <v>259</v>
      </c>
    </row>
    <row r="162" spans="1:7">
      <c r="A162" s="148" t="str">
        <f t="shared" si="2"/>
        <v>Human Capital-Analyst-India-Consulting</v>
      </c>
      <c r="B162" s="435" t="s">
        <v>492</v>
      </c>
      <c r="C162" s="435" t="s">
        <v>384</v>
      </c>
      <c r="D162" s="435" t="s">
        <v>591</v>
      </c>
      <c r="E162" s="435" t="s">
        <v>184</v>
      </c>
      <c r="F162" s="437">
        <v>106</v>
      </c>
      <c r="G162" s="148" t="s">
        <v>261</v>
      </c>
    </row>
    <row r="163" spans="1:7">
      <c r="A163" s="148" t="str">
        <f t="shared" si="2"/>
        <v>Human Capital-Consultant-India-Consulting</v>
      </c>
      <c r="B163" s="435" t="s">
        <v>492</v>
      </c>
      <c r="C163" s="435" t="s">
        <v>368</v>
      </c>
      <c r="D163" s="435" t="s">
        <v>593</v>
      </c>
      <c r="E163" s="435" t="s">
        <v>184</v>
      </c>
      <c r="F163" s="437">
        <v>121</v>
      </c>
      <c r="G163" s="148" t="s">
        <v>261</v>
      </c>
    </row>
    <row r="164" spans="1:7">
      <c r="A164" s="148" t="str">
        <f t="shared" si="2"/>
        <v>Human Capital-Manager-India-Consulting</v>
      </c>
      <c r="B164" s="435" t="s">
        <v>492</v>
      </c>
      <c r="C164" s="435" t="s">
        <v>376</v>
      </c>
      <c r="D164" s="435" t="s">
        <v>595</v>
      </c>
      <c r="E164" s="435" t="s">
        <v>184</v>
      </c>
      <c r="F164" s="437">
        <v>161</v>
      </c>
      <c r="G164" s="148" t="s">
        <v>261</v>
      </c>
    </row>
    <row r="165" spans="1:7" hidden="1">
      <c r="A165" s="148" t="str">
        <f t="shared" si="2"/>
        <v>Deal Advisory / M&amp;A-Managing Director-India-Consulting</v>
      </c>
      <c r="B165" s="435" t="s">
        <v>670</v>
      </c>
      <c r="C165" s="435" t="s">
        <v>357</v>
      </c>
      <c r="D165" s="435" t="s">
        <v>597</v>
      </c>
      <c r="E165" s="435" t="s">
        <v>184</v>
      </c>
      <c r="F165" s="436">
        <v>419</v>
      </c>
      <c r="G165" s="148" t="s">
        <v>261</v>
      </c>
    </row>
    <row r="166" spans="1:7">
      <c r="A166" s="148" t="str">
        <f t="shared" si="2"/>
        <v>Human Capital-Principal-India-Consulting</v>
      </c>
      <c r="B166" s="435" t="s">
        <v>492</v>
      </c>
      <c r="C166" s="435" t="s">
        <v>242</v>
      </c>
      <c r="D166" s="435" t="s">
        <v>599</v>
      </c>
      <c r="E166" s="435" t="s">
        <v>184</v>
      </c>
      <c r="F166" s="437">
        <v>266</v>
      </c>
      <c r="G166" s="148" t="s">
        <v>261</v>
      </c>
    </row>
    <row r="167" spans="1:7">
      <c r="A167" s="148" t="str">
        <f t="shared" si="2"/>
        <v>Human Capital-Senior Consultant-India-Consulting</v>
      </c>
      <c r="B167" s="435" t="s">
        <v>492</v>
      </c>
      <c r="C167" s="435" t="s">
        <v>364</v>
      </c>
      <c r="D167" s="435" t="s">
        <v>601</v>
      </c>
      <c r="E167" s="435" t="s">
        <v>184</v>
      </c>
      <c r="F167" s="436">
        <v>134</v>
      </c>
      <c r="G167" s="148" t="s">
        <v>261</v>
      </c>
    </row>
    <row r="168" spans="1:7">
      <c r="A168" s="148" t="str">
        <f t="shared" si="2"/>
        <v>Human Capital-Senior Manager-India-Consulting</v>
      </c>
      <c r="B168" s="435" t="s">
        <v>492</v>
      </c>
      <c r="C168" s="435" t="s">
        <v>361</v>
      </c>
      <c r="D168" s="435" t="s">
        <v>603</v>
      </c>
      <c r="E168" s="435" t="s">
        <v>184</v>
      </c>
      <c r="F168" s="436">
        <v>209</v>
      </c>
      <c r="G168" s="148" t="s">
        <v>261</v>
      </c>
    </row>
    <row r="169" spans="1:7" hidden="1">
      <c r="A169" s="148" t="str">
        <f t="shared" si="2"/>
        <v>Infrastructure Consultant-Intermediate-India-Technology</v>
      </c>
      <c r="B169" s="435" t="s">
        <v>721</v>
      </c>
      <c r="C169" s="435" t="s">
        <v>239</v>
      </c>
      <c r="D169" s="435" t="s">
        <v>524</v>
      </c>
      <c r="E169" s="435" t="s">
        <v>184</v>
      </c>
      <c r="F169" s="436">
        <v>38</v>
      </c>
      <c r="G169" s="148" t="s">
        <v>259</v>
      </c>
    </row>
    <row r="170" spans="1:7" hidden="1">
      <c r="A170" s="148" t="str">
        <f t="shared" si="2"/>
        <v>Infrastructure Consultant-Junior-India-Technology</v>
      </c>
      <c r="B170" s="435" t="s">
        <v>721</v>
      </c>
      <c r="C170" s="435" t="s">
        <v>240</v>
      </c>
      <c r="D170" s="435" t="s">
        <v>521</v>
      </c>
      <c r="E170" s="435" t="s">
        <v>184</v>
      </c>
      <c r="F170" s="436">
        <v>35</v>
      </c>
      <c r="G170" s="148" t="s">
        <v>259</v>
      </c>
    </row>
    <row r="171" spans="1:7" hidden="1">
      <c r="A171" s="148" t="str">
        <f t="shared" si="2"/>
        <v>Infrastructure Consultant-Lead-India-Technology</v>
      </c>
      <c r="B171" s="435" t="s">
        <v>721</v>
      </c>
      <c r="C171" s="435" t="s">
        <v>241</v>
      </c>
      <c r="D171" s="435" t="s">
        <v>528</v>
      </c>
      <c r="E171" s="435" t="s">
        <v>184</v>
      </c>
      <c r="F171" s="436">
        <v>59</v>
      </c>
      <c r="G171" s="148" t="s">
        <v>259</v>
      </c>
    </row>
    <row r="172" spans="1:7" hidden="1">
      <c r="A172" s="148" t="str">
        <f t="shared" si="2"/>
        <v>Infrastructure Consultant-Principal-India-Technology</v>
      </c>
      <c r="B172" s="435" t="s">
        <v>721</v>
      </c>
      <c r="C172" s="435" t="s">
        <v>242</v>
      </c>
      <c r="D172" s="435" t="s">
        <v>530</v>
      </c>
      <c r="E172" s="435" t="s">
        <v>184</v>
      </c>
      <c r="F172" s="436">
        <v>66</v>
      </c>
      <c r="G172" s="148" t="s">
        <v>259</v>
      </c>
    </row>
    <row r="173" spans="1:7" hidden="1">
      <c r="A173" s="148" t="str">
        <f t="shared" si="2"/>
        <v>Infrastructure Consultant-Senior-India-Technology</v>
      </c>
      <c r="B173" s="435" t="s">
        <v>721</v>
      </c>
      <c r="C173" s="435" t="s">
        <v>243</v>
      </c>
      <c r="D173" s="435" t="s">
        <v>526</v>
      </c>
      <c r="E173" s="435" t="s">
        <v>184</v>
      </c>
      <c r="F173" s="436">
        <v>52</v>
      </c>
      <c r="G173" s="148" t="s">
        <v>259</v>
      </c>
    </row>
    <row r="174" spans="1:7" hidden="1">
      <c r="A174" s="148" t="str">
        <f t="shared" si="2"/>
        <v>Infrastructure Project Manager-Intermediate-India-Technology</v>
      </c>
      <c r="B174" s="435" t="s">
        <v>727</v>
      </c>
      <c r="C174" s="435" t="s">
        <v>239</v>
      </c>
      <c r="D174" s="435" t="s">
        <v>524</v>
      </c>
      <c r="E174" s="435" t="s">
        <v>184</v>
      </c>
      <c r="F174" s="436">
        <v>37</v>
      </c>
      <c r="G174" s="148" t="s">
        <v>259</v>
      </c>
    </row>
    <row r="175" spans="1:7" hidden="1">
      <c r="A175" s="148" t="str">
        <f t="shared" si="2"/>
        <v>Infrastructure Project Manager-Junior-India-Technology</v>
      </c>
      <c r="B175" s="435" t="s">
        <v>727</v>
      </c>
      <c r="C175" s="435" t="s">
        <v>240</v>
      </c>
      <c r="D175" s="435" t="s">
        <v>521</v>
      </c>
      <c r="E175" s="435" t="s">
        <v>184</v>
      </c>
      <c r="F175" s="436">
        <v>32</v>
      </c>
      <c r="G175" s="148" t="s">
        <v>259</v>
      </c>
    </row>
    <row r="176" spans="1:7" hidden="1">
      <c r="A176" s="148" t="str">
        <f t="shared" si="2"/>
        <v>Infrastructure Project Manager-Lead-India-Technology</v>
      </c>
      <c r="B176" s="435" t="s">
        <v>727</v>
      </c>
      <c r="C176" s="435" t="s">
        <v>241</v>
      </c>
      <c r="D176" s="435" t="s">
        <v>528</v>
      </c>
      <c r="E176" s="435" t="s">
        <v>184</v>
      </c>
      <c r="F176" s="436">
        <v>49</v>
      </c>
      <c r="G176" s="148" t="s">
        <v>259</v>
      </c>
    </row>
    <row r="177" spans="1:7" hidden="1">
      <c r="A177" s="148" t="str">
        <f t="shared" si="2"/>
        <v>Infrastructure Project Manager-Principal-India-Technology</v>
      </c>
      <c r="B177" s="435" t="s">
        <v>727</v>
      </c>
      <c r="C177" s="435" t="s">
        <v>242</v>
      </c>
      <c r="D177" s="435" t="s">
        <v>530</v>
      </c>
      <c r="E177" s="435" t="s">
        <v>184</v>
      </c>
      <c r="F177" s="436">
        <v>57</v>
      </c>
      <c r="G177" s="148" t="s">
        <v>259</v>
      </c>
    </row>
    <row r="178" spans="1:7" hidden="1">
      <c r="A178" s="148" t="str">
        <f t="shared" si="2"/>
        <v>Infrastructure Project Manager-Senior-India-Technology</v>
      </c>
      <c r="B178" s="435" t="s">
        <v>727</v>
      </c>
      <c r="C178" s="435" t="s">
        <v>243</v>
      </c>
      <c r="D178" s="435" t="s">
        <v>526</v>
      </c>
      <c r="E178" s="435" t="s">
        <v>184</v>
      </c>
      <c r="F178" s="436">
        <v>42</v>
      </c>
      <c r="G178" s="148" t="s">
        <v>259</v>
      </c>
    </row>
    <row r="179" spans="1:7" hidden="1">
      <c r="A179" s="148" t="str">
        <f t="shared" si="2"/>
        <v>Integration Engineer-Intermediate-India-Technology</v>
      </c>
      <c r="B179" s="435" t="s">
        <v>733</v>
      </c>
      <c r="C179" s="435" t="s">
        <v>239</v>
      </c>
      <c r="D179" s="435" t="s">
        <v>524</v>
      </c>
      <c r="E179" s="435" t="s">
        <v>184</v>
      </c>
      <c r="F179" s="436">
        <v>25</v>
      </c>
      <c r="G179" s="148" t="s">
        <v>259</v>
      </c>
    </row>
    <row r="180" spans="1:7" hidden="1">
      <c r="A180" s="148" t="str">
        <f t="shared" si="2"/>
        <v>Integration Engineer-Junior-India-Technology</v>
      </c>
      <c r="B180" s="435" t="s">
        <v>733</v>
      </c>
      <c r="C180" s="435" t="s">
        <v>240</v>
      </c>
      <c r="D180" s="435" t="s">
        <v>521</v>
      </c>
      <c r="E180" s="435" t="s">
        <v>184</v>
      </c>
      <c r="F180" s="436">
        <v>22</v>
      </c>
      <c r="G180" s="148" t="s">
        <v>259</v>
      </c>
    </row>
    <row r="181" spans="1:7" hidden="1">
      <c r="A181" s="148" t="str">
        <f t="shared" si="2"/>
        <v>Integration Engineer-Lead-India-Technology</v>
      </c>
      <c r="B181" s="435" t="s">
        <v>733</v>
      </c>
      <c r="C181" s="435" t="s">
        <v>241</v>
      </c>
      <c r="D181" s="435" t="s">
        <v>528</v>
      </c>
      <c r="E181" s="435" t="s">
        <v>184</v>
      </c>
      <c r="F181" s="436">
        <v>38</v>
      </c>
      <c r="G181" s="148" t="s">
        <v>259</v>
      </c>
    </row>
    <row r="182" spans="1:7" hidden="1">
      <c r="A182" s="148" t="str">
        <f t="shared" si="2"/>
        <v>Integration Engineer-Principal-India-Technology</v>
      </c>
      <c r="B182" s="435" t="s">
        <v>733</v>
      </c>
      <c r="C182" s="435" t="s">
        <v>242</v>
      </c>
      <c r="D182" s="435" t="s">
        <v>530</v>
      </c>
      <c r="E182" s="435" t="s">
        <v>184</v>
      </c>
      <c r="F182" s="436">
        <v>45</v>
      </c>
      <c r="G182" s="148" t="s">
        <v>259</v>
      </c>
    </row>
    <row r="183" spans="1:7" hidden="1">
      <c r="A183" s="148" t="str">
        <f t="shared" si="2"/>
        <v>Integration Engineer-Senior-India-Technology</v>
      </c>
      <c r="B183" s="435" t="s">
        <v>733</v>
      </c>
      <c r="C183" s="435" t="s">
        <v>243</v>
      </c>
      <c r="D183" s="435" t="s">
        <v>526</v>
      </c>
      <c r="E183" s="435" t="s">
        <v>184</v>
      </c>
      <c r="F183" s="436">
        <v>32</v>
      </c>
      <c r="G183" s="148" t="s">
        <v>259</v>
      </c>
    </row>
    <row r="184" spans="1:7" hidden="1">
      <c r="A184" s="148" t="str">
        <f t="shared" si="2"/>
        <v>Integration Lead-Intermediate-India-Technology</v>
      </c>
      <c r="B184" s="435" t="s">
        <v>739</v>
      </c>
      <c r="C184" s="435" t="s">
        <v>239</v>
      </c>
      <c r="D184" s="435" t="s">
        <v>524</v>
      </c>
      <c r="E184" s="435" t="s">
        <v>184</v>
      </c>
      <c r="F184" s="436">
        <v>32</v>
      </c>
      <c r="G184" s="148" t="s">
        <v>259</v>
      </c>
    </row>
    <row r="185" spans="1:7" hidden="1">
      <c r="A185" s="148" t="str">
        <f t="shared" si="2"/>
        <v>Integration Lead-Junior-India-Technology</v>
      </c>
      <c r="B185" s="435" t="s">
        <v>739</v>
      </c>
      <c r="C185" s="435" t="s">
        <v>240</v>
      </c>
      <c r="D185" s="435" t="s">
        <v>521</v>
      </c>
      <c r="E185" s="435" t="s">
        <v>184</v>
      </c>
      <c r="F185" s="436">
        <v>26</v>
      </c>
      <c r="G185" s="148" t="s">
        <v>259</v>
      </c>
    </row>
    <row r="186" spans="1:7" hidden="1">
      <c r="A186" s="148" t="str">
        <f t="shared" si="2"/>
        <v>Integration Lead-Lead-India-Technology</v>
      </c>
      <c r="B186" s="435" t="s">
        <v>739</v>
      </c>
      <c r="C186" s="435" t="s">
        <v>241</v>
      </c>
      <c r="D186" s="435" t="s">
        <v>528</v>
      </c>
      <c r="E186" s="435" t="s">
        <v>184</v>
      </c>
      <c r="F186" s="436">
        <v>45</v>
      </c>
      <c r="G186" s="148" t="s">
        <v>259</v>
      </c>
    </row>
    <row r="187" spans="1:7" hidden="1">
      <c r="A187" s="148" t="str">
        <f t="shared" si="2"/>
        <v>Integration Lead-Principal-India-Technology</v>
      </c>
      <c r="B187" s="435" t="s">
        <v>739</v>
      </c>
      <c r="C187" s="435" t="s">
        <v>242</v>
      </c>
      <c r="D187" s="435" t="s">
        <v>530</v>
      </c>
      <c r="E187" s="435" t="s">
        <v>184</v>
      </c>
      <c r="F187" s="436">
        <v>51</v>
      </c>
      <c r="G187" s="148" t="s">
        <v>259</v>
      </c>
    </row>
    <row r="188" spans="1:7" hidden="1">
      <c r="A188" s="148" t="str">
        <f t="shared" si="2"/>
        <v>Integration Lead-Senior-India-Technology</v>
      </c>
      <c r="B188" s="435" t="s">
        <v>739</v>
      </c>
      <c r="C188" s="435" t="s">
        <v>243</v>
      </c>
      <c r="D188" s="435" t="s">
        <v>526</v>
      </c>
      <c r="E188" s="435" t="s">
        <v>184</v>
      </c>
      <c r="F188" s="436">
        <v>39</v>
      </c>
      <c r="G188" s="148" t="s">
        <v>259</v>
      </c>
    </row>
    <row r="189" spans="1:7" hidden="1">
      <c r="A189" s="148" t="str">
        <f t="shared" si="2"/>
        <v>Kubernetes Engineer-Intermediate-India-Technology</v>
      </c>
      <c r="B189" s="435" t="s">
        <v>745</v>
      </c>
      <c r="C189" s="435" t="s">
        <v>239</v>
      </c>
      <c r="D189" s="435" t="s">
        <v>524</v>
      </c>
      <c r="E189" s="435" t="s">
        <v>184</v>
      </c>
      <c r="F189" s="436">
        <v>32</v>
      </c>
      <c r="G189" s="148" t="s">
        <v>259</v>
      </c>
    </row>
    <row r="190" spans="1:7" hidden="1">
      <c r="A190" s="148" t="str">
        <f t="shared" si="2"/>
        <v>Kubernetes Engineer-Junior-India-Technology</v>
      </c>
      <c r="B190" s="435" t="s">
        <v>745</v>
      </c>
      <c r="C190" s="435" t="s">
        <v>240</v>
      </c>
      <c r="D190" s="435" t="s">
        <v>521</v>
      </c>
      <c r="E190" s="435" t="s">
        <v>184</v>
      </c>
      <c r="F190" s="436">
        <v>26</v>
      </c>
      <c r="G190" s="148" t="s">
        <v>259</v>
      </c>
    </row>
    <row r="191" spans="1:7" hidden="1">
      <c r="A191" s="148" t="str">
        <f t="shared" si="2"/>
        <v>Kubernetes Engineer-Lead-India-Technology</v>
      </c>
      <c r="B191" s="435" t="s">
        <v>745</v>
      </c>
      <c r="C191" s="435" t="s">
        <v>241</v>
      </c>
      <c r="D191" s="435" t="s">
        <v>528</v>
      </c>
      <c r="E191" s="435" t="s">
        <v>184</v>
      </c>
      <c r="F191" s="436">
        <v>43</v>
      </c>
      <c r="G191" s="148" t="s">
        <v>259</v>
      </c>
    </row>
    <row r="192" spans="1:7" hidden="1">
      <c r="A192" s="148" t="str">
        <f t="shared" si="2"/>
        <v>Kubernetes Engineer-Principal-India-Technology</v>
      </c>
      <c r="B192" s="435" t="s">
        <v>745</v>
      </c>
      <c r="C192" s="435" t="s">
        <v>242</v>
      </c>
      <c r="D192" s="435" t="s">
        <v>530</v>
      </c>
      <c r="E192" s="435" t="s">
        <v>184</v>
      </c>
      <c r="F192" s="436">
        <v>59</v>
      </c>
      <c r="G192" s="148" t="s">
        <v>259</v>
      </c>
    </row>
    <row r="193" spans="1:7" hidden="1">
      <c r="A193" s="148" t="str">
        <f t="shared" si="2"/>
        <v>Kubernetes Engineer-Senior-India-Technology</v>
      </c>
      <c r="B193" s="435" t="s">
        <v>745</v>
      </c>
      <c r="C193" s="435" t="s">
        <v>243</v>
      </c>
      <c r="D193" s="435" t="s">
        <v>526</v>
      </c>
      <c r="E193" s="435" t="s">
        <v>184</v>
      </c>
      <c r="F193" s="436">
        <v>38</v>
      </c>
      <c r="G193" s="148" t="s">
        <v>259</v>
      </c>
    </row>
    <row r="194" spans="1:7" hidden="1">
      <c r="A194" s="148" t="str">
        <f t="shared" ref="A194:A257" si="3">_xlfn.CONCAT(B194,"-",C194,"-",E194,"-",G194)</f>
        <v>Network Architect-Intermediate-India-Technology</v>
      </c>
      <c r="B194" s="435" t="s">
        <v>751</v>
      </c>
      <c r="C194" s="435" t="s">
        <v>239</v>
      </c>
      <c r="D194" s="435" t="s">
        <v>524</v>
      </c>
      <c r="E194" s="435" t="s">
        <v>184</v>
      </c>
      <c r="F194" s="436">
        <v>42</v>
      </c>
      <c r="G194" s="148" t="s">
        <v>259</v>
      </c>
    </row>
    <row r="195" spans="1:7" hidden="1">
      <c r="A195" s="148" t="str">
        <f t="shared" si="3"/>
        <v>Network Architect-Junior-India-Technology</v>
      </c>
      <c r="B195" s="435" t="s">
        <v>751</v>
      </c>
      <c r="C195" s="435" t="s">
        <v>240</v>
      </c>
      <c r="D195" s="435" t="s">
        <v>521</v>
      </c>
      <c r="E195" s="435" t="s">
        <v>184</v>
      </c>
      <c r="F195" s="436">
        <v>31</v>
      </c>
      <c r="G195" s="148" t="s">
        <v>259</v>
      </c>
    </row>
    <row r="196" spans="1:7" hidden="1">
      <c r="A196" s="148" t="str">
        <f t="shared" si="3"/>
        <v>Network Architect-Lead-India-Technology</v>
      </c>
      <c r="B196" s="435" t="s">
        <v>751</v>
      </c>
      <c r="C196" s="435" t="s">
        <v>241</v>
      </c>
      <c r="D196" s="435" t="s">
        <v>528</v>
      </c>
      <c r="E196" s="435" t="s">
        <v>184</v>
      </c>
      <c r="F196" s="436">
        <v>53</v>
      </c>
      <c r="G196" s="148" t="s">
        <v>259</v>
      </c>
    </row>
    <row r="197" spans="1:7" hidden="1">
      <c r="A197" s="148" t="str">
        <f t="shared" si="3"/>
        <v>Network Architect-Principal-India-Technology</v>
      </c>
      <c r="B197" s="435" t="s">
        <v>751</v>
      </c>
      <c r="C197" s="435" t="s">
        <v>242</v>
      </c>
      <c r="D197" s="435" t="s">
        <v>530</v>
      </c>
      <c r="E197" s="435" t="s">
        <v>184</v>
      </c>
      <c r="F197" s="436">
        <v>70</v>
      </c>
      <c r="G197" s="148" t="s">
        <v>259</v>
      </c>
    </row>
    <row r="198" spans="1:7" hidden="1">
      <c r="A198" s="148" t="str">
        <f t="shared" si="3"/>
        <v>Network Architect-Senior-India-Technology</v>
      </c>
      <c r="B198" s="435" t="s">
        <v>751</v>
      </c>
      <c r="C198" s="435" t="s">
        <v>243</v>
      </c>
      <c r="D198" s="435" t="s">
        <v>526</v>
      </c>
      <c r="E198" s="435" t="s">
        <v>184</v>
      </c>
      <c r="F198" s="436">
        <v>49</v>
      </c>
      <c r="G198" s="148" t="s">
        <v>259</v>
      </c>
    </row>
    <row r="199" spans="1:7" hidden="1">
      <c r="A199" s="148" t="str">
        <f t="shared" si="3"/>
        <v>Network Engineer-Intermediate-India-Technology</v>
      </c>
      <c r="B199" s="435" t="s">
        <v>757</v>
      </c>
      <c r="C199" s="435" t="s">
        <v>239</v>
      </c>
      <c r="D199" s="435" t="s">
        <v>524</v>
      </c>
      <c r="E199" s="435" t="s">
        <v>184</v>
      </c>
      <c r="F199" s="436">
        <v>31</v>
      </c>
      <c r="G199" s="148" t="s">
        <v>259</v>
      </c>
    </row>
    <row r="200" spans="1:7" hidden="1">
      <c r="A200" s="148" t="str">
        <f t="shared" si="3"/>
        <v>Network Engineer-Junior-India-Technology</v>
      </c>
      <c r="B200" s="435" t="s">
        <v>757</v>
      </c>
      <c r="C200" s="435" t="s">
        <v>240</v>
      </c>
      <c r="D200" s="435" t="s">
        <v>521</v>
      </c>
      <c r="E200" s="435" t="s">
        <v>184</v>
      </c>
      <c r="F200" s="436">
        <v>21</v>
      </c>
      <c r="G200" s="148" t="s">
        <v>259</v>
      </c>
    </row>
    <row r="201" spans="1:7" hidden="1">
      <c r="A201" s="148" t="str">
        <f t="shared" si="3"/>
        <v>Network Engineer-Lead-India-Technology</v>
      </c>
      <c r="B201" s="435" t="s">
        <v>757</v>
      </c>
      <c r="C201" s="435" t="s">
        <v>241</v>
      </c>
      <c r="D201" s="435" t="s">
        <v>528</v>
      </c>
      <c r="E201" s="435" t="s">
        <v>184</v>
      </c>
      <c r="F201" s="436">
        <v>40</v>
      </c>
      <c r="G201" s="148" t="s">
        <v>259</v>
      </c>
    </row>
    <row r="202" spans="1:7" hidden="1">
      <c r="A202" s="148" t="str">
        <f t="shared" si="3"/>
        <v>Network Engineer-Principal-India-Technology</v>
      </c>
      <c r="B202" s="435" t="s">
        <v>757</v>
      </c>
      <c r="C202" s="435" t="s">
        <v>242</v>
      </c>
      <c r="D202" s="435" t="s">
        <v>530</v>
      </c>
      <c r="E202" s="435" t="s">
        <v>184</v>
      </c>
      <c r="F202" s="436">
        <v>59</v>
      </c>
      <c r="G202" s="148" t="s">
        <v>259</v>
      </c>
    </row>
    <row r="203" spans="1:7" hidden="1">
      <c r="A203" s="148" t="str">
        <f t="shared" si="3"/>
        <v>Network Engineer-Senior-India-Technology</v>
      </c>
      <c r="B203" s="435" t="s">
        <v>757</v>
      </c>
      <c r="C203" s="435" t="s">
        <v>243</v>
      </c>
      <c r="D203" s="435" t="s">
        <v>526</v>
      </c>
      <c r="E203" s="435" t="s">
        <v>184</v>
      </c>
      <c r="F203" s="436">
        <v>37</v>
      </c>
      <c r="G203" s="148" t="s">
        <v>259</v>
      </c>
    </row>
    <row r="204" spans="1:7" hidden="1">
      <c r="A204" s="148" t="str">
        <f t="shared" si="3"/>
        <v>Program Director/ Industry Lead-Intermediate-India-Technology</v>
      </c>
      <c r="B204" s="435" t="s">
        <v>763</v>
      </c>
      <c r="C204" s="435" t="s">
        <v>239</v>
      </c>
      <c r="D204" s="435" t="s">
        <v>524</v>
      </c>
      <c r="E204" s="435" t="s">
        <v>184</v>
      </c>
      <c r="F204" s="436">
        <v>52</v>
      </c>
      <c r="G204" s="148" t="s">
        <v>259</v>
      </c>
    </row>
    <row r="205" spans="1:7" hidden="1">
      <c r="A205" s="148" t="str">
        <f t="shared" si="3"/>
        <v>Program Director/ Industry Lead-Junior-India-Technology</v>
      </c>
      <c r="B205" s="435" t="s">
        <v>763</v>
      </c>
      <c r="C205" s="435" t="s">
        <v>240</v>
      </c>
      <c r="D205" s="435" t="s">
        <v>521</v>
      </c>
      <c r="E205" s="435" t="s">
        <v>184</v>
      </c>
      <c r="F205" s="436">
        <v>46</v>
      </c>
      <c r="G205" s="148" t="s">
        <v>259</v>
      </c>
    </row>
    <row r="206" spans="1:7" hidden="1">
      <c r="A206" s="148" t="str">
        <f t="shared" si="3"/>
        <v>Program Director/ Industry Lead-Lead-India-Technology</v>
      </c>
      <c r="B206" s="435" t="s">
        <v>763</v>
      </c>
      <c r="C206" s="435" t="s">
        <v>241</v>
      </c>
      <c r="D206" s="435" t="s">
        <v>528</v>
      </c>
      <c r="E206" s="435" t="s">
        <v>184</v>
      </c>
      <c r="F206" s="436">
        <v>77</v>
      </c>
      <c r="G206" s="148" t="s">
        <v>259</v>
      </c>
    </row>
    <row r="207" spans="1:7" hidden="1">
      <c r="A207" s="148" t="str">
        <f t="shared" si="3"/>
        <v>Program Director/ Industry Lead-Principal-India-Technology</v>
      </c>
      <c r="B207" s="435" t="s">
        <v>763</v>
      </c>
      <c r="C207" s="435" t="s">
        <v>242</v>
      </c>
      <c r="D207" s="435" t="s">
        <v>530</v>
      </c>
      <c r="E207" s="435" t="s">
        <v>184</v>
      </c>
      <c r="F207" s="436">
        <v>82</v>
      </c>
      <c r="G207" s="148" t="s">
        <v>259</v>
      </c>
    </row>
    <row r="208" spans="1:7" hidden="1">
      <c r="A208" s="148" t="str">
        <f t="shared" si="3"/>
        <v>Program Director/ Industry Lead-Senior-India-Technology</v>
      </c>
      <c r="B208" s="435" t="s">
        <v>763</v>
      </c>
      <c r="C208" s="435" t="s">
        <v>243</v>
      </c>
      <c r="D208" s="435" t="s">
        <v>526</v>
      </c>
      <c r="E208" s="435" t="s">
        <v>184</v>
      </c>
      <c r="F208" s="436">
        <v>65</v>
      </c>
      <c r="G208" s="148" t="s">
        <v>259</v>
      </c>
    </row>
    <row r="209" spans="1:7" hidden="1">
      <c r="A209" s="148" t="str">
        <f t="shared" si="3"/>
        <v>Program Manager-Intermediate-India-Technology</v>
      </c>
      <c r="B209" s="435" t="s">
        <v>358</v>
      </c>
      <c r="C209" s="435" t="s">
        <v>239</v>
      </c>
      <c r="D209" s="435" t="s">
        <v>524</v>
      </c>
      <c r="E209" s="435" t="s">
        <v>184</v>
      </c>
      <c r="F209" s="436">
        <v>41</v>
      </c>
      <c r="G209" s="148" t="s">
        <v>259</v>
      </c>
    </row>
    <row r="210" spans="1:7" hidden="1">
      <c r="A210" s="148" t="str">
        <f t="shared" si="3"/>
        <v>Program Manager-Junior-India-Technology</v>
      </c>
      <c r="B210" s="435" t="s">
        <v>358</v>
      </c>
      <c r="C210" s="435" t="s">
        <v>240</v>
      </c>
      <c r="D210" s="435" t="s">
        <v>521</v>
      </c>
      <c r="E210" s="435" t="s">
        <v>184</v>
      </c>
      <c r="F210" s="436">
        <v>40</v>
      </c>
      <c r="G210" s="148" t="s">
        <v>259</v>
      </c>
    </row>
    <row r="211" spans="1:7" hidden="1">
      <c r="A211" s="148" t="str">
        <f t="shared" si="3"/>
        <v>Program Manager-Lead-India-Technology</v>
      </c>
      <c r="B211" s="435" t="s">
        <v>358</v>
      </c>
      <c r="C211" s="435" t="s">
        <v>241</v>
      </c>
      <c r="D211" s="435" t="s">
        <v>528</v>
      </c>
      <c r="E211" s="435" t="s">
        <v>184</v>
      </c>
      <c r="F211" s="436">
        <v>63</v>
      </c>
      <c r="G211" s="148" t="s">
        <v>259</v>
      </c>
    </row>
    <row r="212" spans="1:7" hidden="1">
      <c r="A212" s="148" t="str">
        <f t="shared" si="3"/>
        <v>Program Manager-Principal-India-Technology</v>
      </c>
      <c r="B212" s="435" t="s">
        <v>358</v>
      </c>
      <c r="C212" s="435" t="s">
        <v>242</v>
      </c>
      <c r="D212" s="435" t="s">
        <v>530</v>
      </c>
      <c r="E212" s="435" t="s">
        <v>184</v>
      </c>
      <c r="F212" s="436">
        <v>75</v>
      </c>
      <c r="G212" s="148" t="s">
        <v>259</v>
      </c>
    </row>
    <row r="213" spans="1:7" hidden="1">
      <c r="A213" s="148" t="str">
        <f t="shared" si="3"/>
        <v>Program Manager-Senior-India-Technology</v>
      </c>
      <c r="B213" s="435" t="s">
        <v>358</v>
      </c>
      <c r="C213" s="435" t="s">
        <v>243</v>
      </c>
      <c r="D213" s="435" t="s">
        <v>526</v>
      </c>
      <c r="E213" s="435" t="s">
        <v>184</v>
      </c>
      <c r="F213" s="436">
        <v>56</v>
      </c>
      <c r="G213" s="148" t="s">
        <v>259</v>
      </c>
    </row>
    <row r="214" spans="1:7" hidden="1">
      <c r="A214" s="148" t="str">
        <f t="shared" si="3"/>
        <v>Project Manager-Intermediate-India-Technology</v>
      </c>
      <c r="B214" s="435" t="s">
        <v>774</v>
      </c>
      <c r="C214" s="435" t="s">
        <v>239</v>
      </c>
      <c r="D214" s="435" t="s">
        <v>524</v>
      </c>
      <c r="E214" s="435" t="s">
        <v>184</v>
      </c>
      <c r="F214" s="436">
        <v>37</v>
      </c>
      <c r="G214" s="148" t="s">
        <v>259</v>
      </c>
    </row>
    <row r="215" spans="1:7" hidden="1">
      <c r="A215" s="148" t="str">
        <f t="shared" si="3"/>
        <v>Project Manager-Junior-India-Technology</v>
      </c>
      <c r="B215" s="435" t="s">
        <v>774</v>
      </c>
      <c r="C215" s="435" t="s">
        <v>240</v>
      </c>
      <c r="D215" s="435" t="s">
        <v>521</v>
      </c>
      <c r="E215" s="435" t="s">
        <v>184</v>
      </c>
      <c r="F215" s="436">
        <v>30</v>
      </c>
      <c r="G215" s="148" t="s">
        <v>259</v>
      </c>
    </row>
    <row r="216" spans="1:7" hidden="1">
      <c r="A216" s="148" t="str">
        <f t="shared" si="3"/>
        <v>Project Manager-Lead-India-Technology</v>
      </c>
      <c r="B216" s="435" t="s">
        <v>774</v>
      </c>
      <c r="C216" s="435" t="s">
        <v>241</v>
      </c>
      <c r="D216" s="435" t="s">
        <v>528</v>
      </c>
      <c r="E216" s="435" t="s">
        <v>184</v>
      </c>
      <c r="F216" s="436">
        <v>49</v>
      </c>
      <c r="G216" s="148" t="s">
        <v>259</v>
      </c>
    </row>
    <row r="217" spans="1:7" hidden="1">
      <c r="A217" s="148" t="str">
        <f t="shared" si="3"/>
        <v>Project Manager-Principal-India-Technology</v>
      </c>
      <c r="B217" s="435" t="s">
        <v>774</v>
      </c>
      <c r="C217" s="435" t="s">
        <v>242</v>
      </c>
      <c r="D217" s="435" t="s">
        <v>530</v>
      </c>
      <c r="E217" s="435" t="s">
        <v>184</v>
      </c>
      <c r="F217" s="436">
        <v>59</v>
      </c>
      <c r="G217" s="148" t="s">
        <v>259</v>
      </c>
    </row>
    <row r="218" spans="1:7" hidden="1">
      <c r="A218" s="148" t="str">
        <f t="shared" si="3"/>
        <v>Project Manager-Senior-India-Technology</v>
      </c>
      <c r="B218" s="435" t="s">
        <v>774</v>
      </c>
      <c r="C218" s="435" t="s">
        <v>243</v>
      </c>
      <c r="D218" s="435" t="s">
        <v>526</v>
      </c>
      <c r="E218" s="435" t="s">
        <v>184</v>
      </c>
      <c r="F218" s="436">
        <v>42</v>
      </c>
      <c r="G218" s="148" t="s">
        <v>259</v>
      </c>
    </row>
    <row r="219" spans="1:7" hidden="1">
      <c r="A219" s="148" t="str">
        <f t="shared" si="3"/>
        <v>Scrum Master-Intermediate-India-Technology</v>
      </c>
      <c r="B219" s="435" t="s">
        <v>780</v>
      </c>
      <c r="C219" s="435" t="s">
        <v>239</v>
      </c>
      <c r="D219" s="435" t="s">
        <v>524</v>
      </c>
      <c r="E219" s="435" t="s">
        <v>184</v>
      </c>
      <c r="F219" s="436">
        <v>37</v>
      </c>
      <c r="G219" s="148" t="s">
        <v>259</v>
      </c>
    </row>
    <row r="220" spans="1:7" hidden="1">
      <c r="A220" s="148" t="str">
        <f t="shared" si="3"/>
        <v>Scrum Master-Junior-India-Technology</v>
      </c>
      <c r="B220" s="435" t="s">
        <v>780</v>
      </c>
      <c r="C220" s="435" t="s">
        <v>240</v>
      </c>
      <c r="D220" s="435" t="s">
        <v>521</v>
      </c>
      <c r="E220" s="435" t="s">
        <v>184</v>
      </c>
      <c r="F220" s="436">
        <v>30</v>
      </c>
      <c r="G220" s="148" t="s">
        <v>259</v>
      </c>
    </row>
    <row r="221" spans="1:7" hidden="1">
      <c r="A221" s="148" t="str">
        <f t="shared" si="3"/>
        <v>Scrum Master-Lead-India-Technology</v>
      </c>
      <c r="B221" s="435" t="s">
        <v>780</v>
      </c>
      <c r="C221" s="435" t="s">
        <v>241</v>
      </c>
      <c r="D221" s="435" t="s">
        <v>528</v>
      </c>
      <c r="E221" s="435" t="s">
        <v>184</v>
      </c>
      <c r="F221" s="436">
        <v>49</v>
      </c>
      <c r="G221" s="148" t="s">
        <v>259</v>
      </c>
    </row>
    <row r="222" spans="1:7" hidden="1">
      <c r="A222" s="148" t="str">
        <f t="shared" si="3"/>
        <v>Scrum Master-Principal-India-Technology</v>
      </c>
      <c r="B222" s="435" t="s">
        <v>780</v>
      </c>
      <c r="C222" s="435" t="s">
        <v>242</v>
      </c>
      <c r="D222" s="435" t="s">
        <v>530</v>
      </c>
      <c r="E222" s="435" t="s">
        <v>184</v>
      </c>
      <c r="F222" s="436">
        <v>58</v>
      </c>
      <c r="G222" s="148" t="s">
        <v>259</v>
      </c>
    </row>
    <row r="223" spans="1:7" hidden="1">
      <c r="A223" s="148" t="str">
        <f t="shared" si="3"/>
        <v>Scrum Master-Senior-India-Technology</v>
      </c>
      <c r="B223" s="435" t="s">
        <v>780</v>
      </c>
      <c r="C223" s="435" t="s">
        <v>243</v>
      </c>
      <c r="D223" s="435" t="s">
        <v>526</v>
      </c>
      <c r="E223" s="435" t="s">
        <v>184</v>
      </c>
      <c r="F223" s="436">
        <v>42</v>
      </c>
      <c r="G223" s="148" t="s">
        <v>259</v>
      </c>
    </row>
    <row r="224" spans="1:7" hidden="1">
      <c r="A224" s="148" t="str">
        <f t="shared" si="3"/>
        <v>Security Architect-Intermediate-India-Technology</v>
      </c>
      <c r="B224" s="435" t="s">
        <v>786</v>
      </c>
      <c r="C224" s="435" t="s">
        <v>239</v>
      </c>
      <c r="D224" s="435" t="s">
        <v>524</v>
      </c>
      <c r="E224" s="435" t="s">
        <v>184</v>
      </c>
      <c r="F224" s="436">
        <v>48</v>
      </c>
      <c r="G224" s="148" t="s">
        <v>259</v>
      </c>
    </row>
    <row r="225" spans="1:7" hidden="1">
      <c r="A225" s="148" t="str">
        <f t="shared" si="3"/>
        <v>Security Architect-Junior-India-Technology</v>
      </c>
      <c r="B225" s="435" t="s">
        <v>786</v>
      </c>
      <c r="C225" s="435" t="s">
        <v>240</v>
      </c>
      <c r="D225" s="435" t="s">
        <v>521</v>
      </c>
      <c r="E225" s="435" t="s">
        <v>184</v>
      </c>
      <c r="F225" s="436">
        <v>45</v>
      </c>
      <c r="G225" s="148" t="s">
        <v>259</v>
      </c>
    </row>
    <row r="226" spans="1:7" hidden="1">
      <c r="A226" s="148" t="str">
        <f t="shared" si="3"/>
        <v>Security Architect-Lead-India-Technology</v>
      </c>
      <c r="B226" s="435" t="s">
        <v>786</v>
      </c>
      <c r="C226" s="435" t="s">
        <v>241</v>
      </c>
      <c r="D226" s="435" t="s">
        <v>528</v>
      </c>
      <c r="E226" s="435" t="s">
        <v>184</v>
      </c>
      <c r="F226" s="436">
        <v>62</v>
      </c>
      <c r="G226" s="148" t="s">
        <v>259</v>
      </c>
    </row>
    <row r="227" spans="1:7" hidden="1">
      <c r="A227" s="148" t="str">
        <f t="shared" si="3"/>
        <v>Security Architect-Principal-India-Technology</v>
      </c>
      <c r="B227" s="435" t="s">
        <v>786</v>
      </c>
      <c r="C227" s="435" t="s">
        <v>242</v>
      </c>
      <c r="D227" s="435" t="s">
        <v>530</v>
      </c>
      <c r="E227" s="435" t="s">
        <v>184</v>
      </c>
      <c r="F227" s="436">
        <v>70</v>
      </c>
      <c r="G227" s="148" t="s">
        <v>259</v>
      </c>
    </row>
    <row r="228" spans="1:7" hidden="1">
      <c r="A228" s="148" t="str">
        <f t="shared" si="3"/>
        <v>Security Architect-Senior-India-Technology</v>
      </c>
      <c r="B228" s="435" t="s">
        <v>786</v>
      </c>
      <c r="C228" s="435" t="s">
        <v>243</v>
      </c>
      <c r="D228" s="435" t="s">
        <v>526</v>
      </c>
      <c r="E228" s="435" t="s">
        <v>184</v>
      </c>
      <c r="F228" s="436">
        <v>52</v>
      </c>
      <c r="G228" s="148" t="s">
        <v>259</v>
      </c>
    </row>
    <row r="229" spans="1:7" hidden="1">
      <c r="A229" s="148" t="str">
        <f t="shared" si="3"/>
        <v>Security Engineer-Intermediate-India-Technology</v>
      </c>
      <c r="B229" s="435" t="s">
        <v>792</v>
      </c>
      <c r="C229" s="435" t="s">
        <v>239</v>
      </c>
      <c r="D229" s="435" t="s">
        <v>524</v>
      </c>
      <c r="E229" s="435" t="s">
        <v>184</v>
      </c>
      <c r="F229" s="436">
        <v>32</v>
      </c>
      <c r="G229" s="148" t="s">
        <v>259</v>
      </c>
    </row>
    <row r="230" spans="1:7" hidden="1">
      <c r="A230" s="148" t="str">
        <f t="shared" si="3"/>
        <v>Security Engineer-Junior-India-Technology</v>
      </c>
      <c r="B230" s="435" t="s">
        <v>792</v>
      </c>
      <c r="C230" s="435" t="s">
        <v>240</v>
      </c>
      <c r="D230" s="435" t="s">
        <v>521</v>
      </c>
      <c r="E230" s="435" t="s">
        <v>184</v>
      </c>
      <c r="F230" s="436">
        <v>28</v>
      </c>
      <c r="G230" s="148" t="s">
        <v>259</v>
      </c>
    </row>
    <row r="231" spans="1:7" hidden="1">
      <c r="A231" s="148" t="str">
        <f t="shared" si="3"/>
        <v>Security Engineer-Lead-India-Technology</v>
      </c>
      <c r="B231" s="435" t="s">
        <v>792</v>
      </c>
      <c r="C231" s="435" t="s">
        <v>241</v>
      </c>
      <c r="D231" s="435" t="s">
        <v>528</v>
      </c>
      <c r="E231" s="435" t="s">
        <v>184</v>
      </c>
      <c r="F231" s="436">
        <v>49</v>
      </c>
      <c r="G231" s="148" t="s">
        <v>259</v>
      </c>
    </row>
    <row r="232" spans="1:7" hidden="1">
      <c r="A232" s="148" t="str">
        <f t="shared" si="3"/>
        <v>Security Engineer-Principal-India-Technology</v>
      </c>
      <c r="B232" s="435" t="s">
        <v>792</v>
      </c>
      <c r="C232" s="435" t="s">
        <v>242</v>
      </c>
      <c r="D232" s="435" t="s">
        <v>530</v>
      </c>
      <c r="E232" s="435" t="s">
        <v>184</v>
      </c>
      <c r="F232" s="436">
        <v>59</v>
      </c>
      <c r="G232" s="148" t="s">
        <v>259</v>
      </c>
    </row>
    <row r="233" spans="1:7" hidden="1">
      <c r="A233" s="148" t="str">
        <f t="shared" si="3"/>
        <v>Security Engineer-Senior-India-Technology</v>
      </c>
      <c r="B233" s="435" t="s">
        <v>792</v>
      </c>
      <c r="C233" s="435" t="s">
        <v>243</v>
      </c>
      <c r="D233" s="435" t="s">
        <v>526</v>
      </c>
      <c r="E233" s="435" t="s">
        <v>184</v>
      </c>
      <c r="F233" s="436">
        <v>39</v>
      </c>
      <c r="G233" s="148" t="s">
        <v>259</v>
      </c>
    </row>
    <row r="234" spans="1:7" hidden="1">
      <c r="A234" s="148" t="str">
        <f t="shared" si="3"/>
        <v>ServiceNow Architect-Intermediate-India-Technology</v>
      </c>
      <c r="B234" s="435" t="s">
        <v>253</v>
      </c>
      <c r="C234" s="435" t="s">
        <v>239</v>
      </c>
      <c r="D234" s="435" t="s">
        <v>524</v>
      </c>
      <c r="E234" s="435" t="s">
        <v>184</v>
      </c>
      <c r="F234" s="436">
        <v>39</v>
      </c>
      <c r="G234" s="148" t="s">
        <v>259</v>
      </c>
    </row>
    <row r="235" spans="1:7" hidden="1">
      <c r="A235" s="148" t="str">
        <f t="shared" si="3"/>
        <v>ServiceNow Architect-Lead-India-Technology</v>
      </c>
      <c r="B235" s="435" t="s">
        <v>253</v>
      </c>
      <c r="C235" s="435" t="s">
        <v>241</v>
      </c>
      <c r="D235" s="435" t="s">
        <v>528</v>
      </c>
      <c r="E235" s="435" t="s">
        <v>184</v>
      </c>
      <c r="F235" s="436">
        <v>50</v>
      </c>
      <c r="G235" s="148" t="s">
        <v>259</v>
      </c>
    </row>
    <row r="236" spans="1:7" hidden="1">
      <c r="A236" s="148" t="str">
        <f t="shared" si="3"/>
        <v>ServiceNow Architect-Principal-India-Technology</v>
      </c>
      <c r="B236" s="435" t="s">
        <v>253</v>
      </c>
      <c r="C236" s="435" t="s">
        <v>242</v>
      </c>
      <c r="D236" s="435" t="s">
        <v>530</v>
      </c>
      <c r="E236" s="435" t="s">
        <v>184</v>
      </c>
      <c r="F236" s="436">
        <v>60</v>
      </c>
      <c r="G236" s="148" t="s">
        <v>259</v>
      </c>
    </row>
    <row r="237" spans="1:7" hidden="1">
      <c r="A237" s="148" t="str">
        <f t="shared" si="3"/>
        <v>ServiceNow Architect-Senior-India-Technology</v>
      </c>
      <c r="B237" s="435" t="s">
        <v>253</v>
      </c>
      <c r="C237" s="435" t="s">
        <v>243</v>
      </c>
      <c r="D237" s="435" t="s">
        <v>526</v>
      </c>
      <c r="E237" s="435" t="s">
        <v>184</v>
      </c>
      <c r="F237" s="436">
        <v>44</v>
      </c>
      <c r="G237" s="148" t="s">
        <v>259</v>
      </c>
    </row>
    <row r="238" spans="1:7" hidden="1">
      <c r="A238" s="148" t="str">
        <f t="shared" si="3"/>
        <v>Software Engineer-Intermediate-India-Technology</v>
      </c>
      <c r="B238" s="435" t="s">
        <v>802</v>
      </c>
      <c r="C238" s="435" t="s">
        <v>239</v>
      </c>
      <c r="D238" s="435" t="s">
        <v>524</v>
      </c>
      <c r="E238" s="435" t="s">
        <v>184</v>
      </c>
      <c r="F238" s="436">
        <v>25</v>
      </c>
      <c r="G238" s="148" t="s">
        <v>259</v>
      </c>
    </row>
    <row r="239" spans="1:7" hidden="1">
      <c r="A239" s="148" t="str">
        <f t="shared" si="3"/>
        <v>Software Engineer-Junior-India-Technology</v>
      </c>
      <c r="B239" s="435" t="s">
        <v>802</v>
      </c>
      <c r="C239" s="435" t="s">
        <v>240</v>
      </c>
      <c r="D239" s="435" t="s">
        <v>521</v>
      </c>
      <c r="E239" s="435" t="s">
        <v>184</v>
      </c>
      <c r="F239" s="436">
        <v>22</v>
      </c>
      <c r="G239" s="148" t="s">
        <v>259</v>
      </c>
    </row>
    <row r="240" spans="1:7" hidden="1">
      <c r="A240" s="148" t="str">
        <f t="shared" si="3"/>
        <v>Software Engineer-Lead-India-Technology</v>
      </c>
      <c r="B240" s="435" t="s">
        <v>802</v>
      </c>
      <c r="C240" s="435" t="s">
        <v>241</v>
      </c>
      <c r="D240" s="435" t="s">
        <v>528</v>
      </c>
      <c r="E240" s="435" t="s">
        <v>184</v>
      </c>
      <c r="F240" s="436">
        <v>37</v>
      </c>
      <c r="G240" s="148" t="s">
        <v>259</v>
      </c>
    </row>
    <row r="241" spans="1:7" hidden="1">
      <c r="A241" s="148" t="str">
        <f t="shared" si="3"/>
        <v>Software Engineer-Principal-India-Technology</v>
      </c>
      <c r="B241" s="435" t="s">
        <v>802</v>
      </c>
      <c r="C241" s="435" t="s">
        <v>242</v>
      </c>
      <c r="D241" s="435" t="s">
        <v>530</v>
      </c>
      <c r="E241" s="435" t="s">
        <v>184</v>
      </c>
      <c r="F241" s="436">
        <v>45</v>
      </c>
      <c r="G241" s="148" t="s">
        <v>259</v>
      </c>
    </row>
    <row r="242" spans="1:7" hidden="1">
      <c r="A242" s="148" t="str">
        <f t="shared" si="3"/>
        <v>Software Engineer-Senior-India-Technology</v>
      </c>
      <c r="B242" s="435" t="s">
        <v>802</v>
      </c>
      <c r="C242" s="435" t="s">
        <v>243</v>
      </c>
      <c r="D242" s="435" t="s">
        <v>526</v>
      </c>
      <c r="E242" s="435" t="s">
        <v>184</v>
      </c>
      <c r="F242" s="436">
        <v>32</v>
      </c>
      <c r="G242" s="148" t="s">
        <v>259</v>
      </c>
    </row>
    <row r="243" spans="1:7" hidden="1">
      <c r="A243" s="148" t="str">
        <f t="shared" si="3"/>
        <v>Solution Architect-Intermediate-India-Technology</v>
      </c>
      <c r="B243" s="435" t="s">
        <v>369</v>
      </c>
      <c r="C243" s="435" t="s">
        <v>239</v>
      </c>
      <c r="D243" s="435" t="s">
        <v>524</v>
      </c>
      <c r="E243" s="435" t="s">
        <v>184</v>
      </c>
      <c r="F243" s="436">
        <v>44</v>
      </c>
      <c r="G243" s="148" t="s">
        <v>259</v>
      </c>
    </row>
    <row r="244" spans="1:7" hidden="1">
      <c r="A244" s="148" t="str">
        <f t="shared" si="3"/>
        <v>Solution Architect-Junior-India-Technology</v>
      </c>
      <c r="B244" s="435" t="s">
        <v>369</v>
      </c>
      <c r="C244" s="435" t="s">
        <v>240</v>
      </c>
      <c r="D244" s="435" t="s">
        <v>521</v>
      </c>
      <c r="E244" s="435" t="s">
        <v>184</v>
      </c>
      <c r="F244" s="436">
        <v>40</v>
      </c>
      <c r="G244" s="148" t="s">
        <v>259</v>
      </c>
    </row>
    <row r="245" spans="1:7" hidden="1">
      <c r="A245" s="148" t="str">
        <f t="shared" si="3"/>
        <v>Solution Architect-Lead-India-Technology</v>
      </c>
      <c r="B245" s="435" t="s">
        <v>369</v>
      </c>
      <c r="C245" s="435" t="s">
        <v>241</v>
      </c>
      <c r="D245" s="435" t="s">
        <v>528</v>
      </c>
      <c r="E245" s="435" t="s">
        <v>184</v>
      </c>
      <c r="F245" s="436">
        <v>62</v>
      </c>
      <c r="G245" s="148" t="s">
        <v>259</v>
      </c>
    </row>
    <row r="246" spans="1:7" hidden="1">
      <c r="A246" s="148" t="str">
        <f t="shared" si="3"/>
        <v>Solution Architect-Principal-India-Technology</v>
      </c>
      <c r="B246" s="435" t="s">
        <v>369</v>
      </c>
      <c r="C246" s="435" t="s">
        <v>242</v>
      </c>
      <c r="D246" s="435" t="s">
        <v>530</v>
      </c>
      <c r="E246" s="435" t="s">
        <v>184</v>
      </c>
      <c r="F246" s="436">
        <v>70</v>
      </c>
      <c r="G246" s="148" t="s">
        <v>259</v>
      </c>
    </row>
    <row r="247" spans="1:7" hidden="1">
      <c r="A247" s="148" t="str">
        <f t="shared" si="3"/>
        <v>Solution Architect-Senior-India-Technology</v>
      </c>
      <c r="B247" s="435" t="s">
        <v>369</v>
      </c>
      <c r="C247" s="435" t="s">
        <v>243</v>
      </c>
      <c r="D247" s="435" t="s">
        <v>526</v>
      </c>
      <c r="E247" s="435" t="s">
        <v>184</v>
      </c>
      <c r="F247" s="436">
        <v>52</v>
      </c>
      <c r="G247" s="148" t="s">
        <v>259</v>
      </c>
    </row>
    <row r="248" spans="1:7" hidden="1">
      <c r="A248" s="148" t="str">
        <f t="shared" si="3"/>
        <v>Strategy-Analyst-India-Consulting</v>
      </c>
      <c r="B248" s="435" t="s">
        <v>813</v>
      </c>
      <c r="C248" s="435" t="s">
        <v>384</v>
      </c>
      <c r="D248" s="435" t="s">
        <v>591</v>
      </c>
      <c r="E248" s="435" t="s">
        <v>184</v>
      </c>
      <c r="F248" s="436">
        <v>80</v>
      </c>
      <c r="G248" s="148" t="s">
        <v>261</v>
      </c>
    </row>
    <row r="249" spans="1:7" hidden="1">
      <c r="A249" s="148" t="str">
        <f t="shared" si="3"/>
        <v>Strategy-Consultant-India-Consulting</v>
      </c>
      <c r="B249" s="435" t="s">
        <v>813</v>
      </c>
      <c r="C249" s="435" t="s">
        <v>368</v>
      </c>
      <c r="D249" s="435" t="s">
        <v>593</v>
      </c>
      <c r="E249" s="435" t="s">
        <v>184</v>
      </c>
      <c r="F249" s="436">
        <v>122</v>
      </c>
      <c r="G249" s="148" t="s">
        <v>261</v>
      </c>
    </row>
    <row r="250" spans="1:7" hidden="1">
      <c r="A250" s="148" t="str">
        <f t="shared" si="3"/>
        <v>Strategy-Manager-India-Consulting</v>
      </c>
      <c r="B250" s="435" t="s">
        <v>813</v>
      </c>
      <c r="C250" s="435" t="s">
        <v>376</v>
      </c>
      <c r="D250" s="435" t="s">
        <v>595</v>
      </c>
      <c r="E250" s="435" t="s">
        <v>184</v>
      </c>
      <c r="F250" s="436">
        <v>179</v>
      </c>
      <c r="G250" s="148" t="s">
        <v>261</v>
      </c>
    </row>
    <row r="251" spans="1:7" hidden="1">
      <c r="A251" s="148" t="str">
        <f t="shared" si="3"/>
        <v>Deal Advisory / M&amp;A-Managing Director-US-Consulting</v>
      </c>
      <c r="B251" s="435" t="s">
        <v>670</v>
      </c>
      <c r="C251" s="435" t="s">
        <v>357</v>
      </c>
      <c r="D251" s="435" t="s">
        <v>597</v>
      </c>
      <c r="E251" s="435" t="s">
        <v>186</v>
      </c>
      <c r="F251" s="436">
        <v>730</v>
      </c>
      <c r="G251" s="148" t="s">
        <v>261</v>
      </c>
    </row>
    <row r="252" spans="1:7" hidden="1">
      <c r="A252" s="148" t="str">
        <f t="shared" si="3"/>
        <v>Strategy-Principal-India-Consulting</v>
      </c>
      <c r="B252" s="435" t="s">
        <v>813</v>
      </c>
      <c r="C252" s="435" t="s">
        <v>242</v>
      </c>
      <c r="D252" s="435" t="s">
        <v>599</v>
      </c>
      <c r="E252" s="435" t="s">
        <v>184</v>
      </c>
      <c r="F252" s="436">
        <v>391</v>
      </c>
      <c r="G252" s="148" t="s">
        <v>261</v>
      </c>
    </row>
    <row r="253" spans="1:7" hidden="1">
      <c r="A253" s="148" t="str">
        <f t="shared" si="3"/>
        <v>Strategy-Senior Consultant-India-Consulting</v>
      </c>
      <c r="B253" s="435" t="s">
        <v>813</v>
      </c>
      <c r="C253" s="435" t="s">
        <v>364</v>
      </c>
      <c r="D253" s="435" t="s">
        <v>601</v>
      </c>
      <c r="E253" s="435" t="s">
        <v>184</v>
      </c>
      <c r="F253" s="436">
        <v>133</v>
      </c>
      <c r="G253" s="148" t="s">
        <v>261</v>
      </c>
    </row>
    <row r="254" spans="1:7" hidden="1">
      <c r="A254" s="148" t="str">
        <f t="shared" si="3"/>
        <v>Strategy-Senior Manager-India-Consulting</v>
      </c>
      <c r="B254" s="435" t="s">
        <v>813</v>
      </c>
      <c r="C254" s="435" t="s">
        <v>361</v>
      </c>
      <c r="D254" s="435" t="s">
        <v>603</v>
      </c>
      <c r="E254" s="435" t="s">
        <v>184</v>
      </c>
      <c r="F254" s="436">
        <v>226</v>
      </c>
      <c r="G254" s="148" t="s">
        <v>261</v>
      </c>
    </row>
    <row r="255" spans="1:7" hidden="1">
      <c r="A255" s="148" t="str">
        <f t="shared" si="3"/>
        <v>System Administrator-Intermediate-India-Technology</v>
      </c>
      <c r="B255" s="435" t="s">
        <v>821</v>
      </c>
      <c r="C255" s="435" t="s">
        <v>239</v>
      </c>
      <c r="D255" s="435" t="s">
        <v>524</v>
      </c>
      <c r="E255" s="435" t="s">
        <v>184</v>
      </c>
      <c r="F255" s="436">
        <v>25</v>
      </c>
      <c r="G255" s="148" t="s">
        <v>259</v>
      </c>
    </row>
    <row r="256" spans="1:7" hidden="1">
      <c r="A256" s="148" t="str">
        <f t="shared" si="3"/>
        <v>System Administrator-Junior-India-Technology</v>
      </c>
      <c r="B256" s="435" t="s">
        <v>821</v>
      </c>
      <c r="C256" s="435" t="s">
        <v>240</v>
      </c>
      <c r="D256" s="435" t="s">
        <v>521</v>
      </c>
      <c r="E256" s="435" t="s">
        <v>184</v>
      </c>
      <c r="F256" s="436">
        <v>21</v>
      </c>
      <c r="G256" s="148" t="s">
        <v>259</v>
      </c>
    </row>
    <row r="257" spans="1:7" hidden="1">
      <c r="A257" s="148" t="str">
        <f t="shared" si="3"/>
        <v>System Administrator-Lead-India-Technology</v>
      </c>
      <c r="B257" s="435" t="s">
        <v>821</v>
      </c>
      <c r="C257" s="435" t="s">
        <v>241</v>
      </c>
      <c r="D257" s="435" t="s">
        <v>528</v>
      </c>
      <c r="E257" s="435" t="s">
        <v>184</v>
      </c>
      <c r="F257" s="436">
        <v>35</v>
      </c>
      <c r="G257" s="148" t="s">
        <v>259</v>
      </c>
    </row>
    <row r="258" spans="1:7" hidden="1">
      <c r="A258" s="148" t="str">
        <f t="shared" ref="A258:A321" si="4">_xlfn.CONCAT(B258,"-",C258,"-",E258,"-",G258)</f>
        <v>System Administrator-Principal-India-Technology</v>
      </c>
      <c r="B258" s="435" t="s">
        <v>821</v>
      </c>
      <c r="C258" s="435" t="s">
        <v>242</v>
      </c>
      <c r="D258" s="435" t="s">
        <v>530</v>
      </c>
      <c r="E258" s="435" t="s">
        <v>184</v>
      </c>
      <c r="F258" s="436">
        <v>39</v>
      </c>
      <c r="G258" s="148" t="s">
        <v>259</v>
      </c>
    </row>
    <row r="259" spans="1:7" hidden="1">
      <c r="A259" s="148" t="str">
        <f t="shared" si="4"/>
        <v>System Administrator-Senior-India-Technology</v>
      </c>
      <c r="B259" s="435" t="s">
        <v>821</v>
      </c>
      <c r="C259" s="435" t="s">
        <v>243</v>
      </c>
      <c r="D259" s="435" t="s">
        <v>526</v>
      </c>
      <c r="E259" s="435" t="s">
        <v>184</v>
      </c>
      <c r="F259" s="436">
        <v>30</v>
      </c>
      <c r="G259" s="148" t="s">
        <v>259</v>
      </c>
    </row>
    <row r="260" spans="1:7" hidden="1">
      <c r="A260" s="148" t="str">
        <f t="shared" si="4"/>
        <v>Systems Engineer-Intermediate-India-Technology</v>
      </c>
      <c r="B260" s="435" t="s">
        <v>827</v>
      </c>
      <c r="C260" s="435" t="s">
        <v>239</v>
      </c>
      <c r="D260" s="435" t="s">
        <v>524</v>
      </c>
      <c r="E260" s="435" t="s">
        <v>184</v>
      </c>
      <c r="F260" s="436">
        <v>25</v>
      </c>
      <c r="G260" s="148" t="s">
        <v>259</v>
      </c>
    </row>
    <row r="261" spans="1:7" hidden="1">
      <c r="A261" s="148" t="str">
        <f t="shared" si="4"/>
        <v>Systems Engineer-Junior-India-Technology</v>
      </c>
      <c r="B261" s="435" t="s">
        <v>827</v>
      </c>
      <c r="C261" s="435" t="s">
        <v>240</v>
      </c>
      <c r="D261" s="435" t="s">
        <v>521</v>
      </c>
      <c r="E261" s="435" t="s">
        <v>184</v>
      </c>
      <c r="F261" s="436">
        <v>22</v>
      </c>
      <c r="G261" s="148" t="s">
        <v>259</v>
      </c>
    </row>
    <row r="262" spans="1:7" hidden="1">
      <c r="A262" s="148" t="str">
        <f t="shared" si="4"/>
        <v>Systems Engineer-Lead-India-Technology</v>
      </c>
      <c r="B262" s="435" t="s">
        <v>827</v>
      </c>
      <c r="C262" s="435" t="s">
        <v>241</v>
      </c>
      <c r="D262" s="435" t="s">
        <v>528</v>
      </c>
      <c r="E262" s="435" t="s">
        <v>184</v>
      </c>
      <c r="F262" s="436">
        <v>37</v>
      </c>
      <c r="G262" s="148" t="s">
        <v>259</v>
      </c>
    </row>
    <row r="263" spans="1:7" hidden="1">
      <c r="A263" s="148" t="str">
        <f t="shared" si="4"/>
        <v>Systems Engineer-Principal-India-Technology</v>
      </c>
      <c r="B263" s="435" t="s">
        <v>827</v>
      </c>
      <c r="C263" s="435" t="s">
        <v>242</v>
      </c>
      <c r="D263" s="435" t="s">
        <v>530</v>
      </c>
      <c r="E263" s="435" t="s">
        <v>184</v>
      </c>
      <c r="F263" s="436">
        <v>45</v>
      </c>
      <c r="G263" s="148" t="s">
        <v>259</v>
      </c>
    </row>
    <row r="264" spans="1:7" hidden="1">
      <c r="A264" s="148" t="str">
        <f t="shared" si="4"/>
        <v>Systems Engineer-Senior-India-Technology</v>
      </c>
      <c r="B264" s="435" t="s">
        <v>827</v>
      </c>
      <c r="C264" s="435" t="s">
        <v>243</v>
      </c>
      <c r="D264" s="435" t="s">
        <v>526</v>
      </c>
      <c r="E264" s="435" t="s">
        <v>184</v>
      </c>
      <c r="F264" s="436">
        <v>32</v>
      </c>
      <c r="G264" s="148" t="s">
        <v>259</v>
      </c>
    </row>
    <row r="265" spans="1:7" hidden="1">
      <c r="A265" s="148" t="str">
        <f t="shared" si="4"/>
        <v>Systems Implementation Consultant-Intermediate-India-Technology</v>
      </c>
      <c r="B265" s="435" t="s">
        <v>833</v>
      </c>
      <c r="C265" s="435" t="s">
        <v>239</v>
      </c>
      <c r="D265" s="435" t="s">
        <v>524</v>
      </c>
      <c r="E265" s="435" t="s">
        <v>184</v>
      </c>
      <c r="F265" s="436">
        <v>35</v>
      </c>
      <c r="G265" s="148" t="s">
        <v>259</v>
      </c>
    </row>
    <row r="266" spans="1:7" hidden="1">
      <c r="A266" s="148" t="str">
        <f t="shared" si="4"/>
        <v>Systems Implementation Consultant-Junior-India-Technology</v>
      </c>
      <c r="B266" s="435" t="s">
        <v>833</v>
      </c>
      <c r="C266" s="435" t="s">
        <v>240</v>
      </c>
      <c r="D266" s="435" t="s">
        <v>521</v>
      </c>
      <c r="E266" s="435" t="s">
        <v>184</v>
      </c>
      <c r="F266" s="436">
        <v>30</v>
      </c>
      <c r="G266" s="148" t="s">
        <v>259</v>
      </c>
    </row>
    <row r="267" spans="1:7" hidden="1">
      <c r="A267" s="148" t="str">
        <f t="shared" si="4"/>
        <v>Systems Implementation Consultant-Lead-India-Technology</v>
      </c>
      <c r="B267" s="435" t="s">
        <v>833</v>
      </c>
      <c r="C267" s="435" t="s">
        <v>241</v>
      </c>
      <c r="D267" s="435" t="s">
        <v>528</v>
      </c>
      <c r="E267" s="435" t="s">
        <v>184</v>
      </c>
      <c r="F267" s="436">
        <v>59</v>
      </c>
      <c r="G267" s="148" t="s">
        <v>259</v>
      </c>
    </row>
    <row r="268" spans="1:7" hidden="1">
      <c r="A268" s="148" t="str">
        <f t="shared" si="4"/>
        <v>Systems Implementation Consultant-Principal-India-Technology</v>
      </c>
      <c r="B268" s="435" t="s">
        <v>833</v>
      </c>
      <c r="C268" s="435" t="s">
        <v>242</v>
      </c>
      <c r="D268" s="435" t="s">
        <v>530</v>
      </c>
      <c r="E268" s="435" t="s">
        <v>184</v>
      </c>
      <c r="F268" s="436">
        <v>66</v>
      </c>
      <c r="G268" s="148" t="s">
        <v>259</v>
      </c>
    </row>
    <row r="269" spans="1:7" hidden="1">
      <c r="A269" s="148" t="str">
        <f t="shared" si="4"/>
        <v>Systems Implementation Consultant-Senior-India-Technology</v>
      </c>
      <c r="B269" s="435" t="s">
        <v>833</v>
      </c>
      <c r="C269" s="435" t="s">
        <v>243</v>
      </c>
      <c r="D269" s="435" t="s">
        <v>526</v>
      </c>
      <c r="E269" s="435" t="s">
        <v>184</v>
      </c>
      <c r="F269" s="436">
        <v>48</v>
      </c>
      <c r="G269" s="148" t="s">
        <v>259</v>
      </c>
    </row>
    <row r="270" spans="1:7" hidden="1">
      <c r="A270" s="148" t="str">
        <f t="shared" si="4"/>
        <v>Tech Consultant-Intermediate-India-Technology</v>
      </c>
      <c r="B270" s="435" t="s">
        <v>451</v>
      </c>
      <c r="C270" s="435" t="s">
        <v>239</v>
      </c>
      <c r="D270" s="435" t="s">
        <v>524</v>
      </c>
      <c r="E270" s="435" t="s">
        <v>184</v>
      </c>
      <c r="F270" s="436">
        <v>33</v>
      </c>
      <c r="G270" s="148" t="s">
        <v>259</v>
      </c>
    </row>
    <row r="271" spans="1:7" hidden="1">
      <c r="A271" s="148" t="str">
        <f t="shared" si="4"/>
        <v>Tech Consultant-Junior-India-Technology</v>
      </c>
      <c r="B271" s="435" t="s">
        <v>451</v>
      </c>
      <c r="C271" s="435" t="s">
        <v>240</v>
      </c>
      <c r="D271" s="435" t="s">
        <v>521</v>
      </c>
      <c r="E271" s="435" t="s">
        <v>184</v>
      </c>
      <c r="F271" s="436">
        <v>29</v>
      </c>
      <c r="G271" s="148" t="s">
        <v>259</v>
      </c>
    </row>
    <row r="272" spans="1:7" hidden="1">
      <c r="A272" s="148" t="str">
        <f t="shared" si="4"/>
        <v>Tech Consultant-Lead-India-Technology</v>
      </c>
      <c r="B272" s="435" t="s">
        <v>451</v>
      </c>
      <c r="C272" s="435" t="s">
        <v>241</v>
      </c>
      <c r="D272" s="435" t="s">
        <v>528</v>
      </c>
      <c r="E272" s="435" t="s">
        <v>184</v>
      </c>
      <c r="F272" s="436">
        <v>52</v>
      </c>
      <c r="G272" s="148" t="s">
        <v>259</v>
      </c>
    </row>
    <row r="273" spans="1:7" hidden="1">
      <c r="A273" s="148" t="str">
        <f t="shared" si="4"/>
        <v>Tech Consultant-Principal-India-Technology</v>
      </c>
      <c r="B273" s="435" t="s">
        <v>451</v>
      </c>
      <c r="C273" s="435" t="s">
        <v>242</v>
      </c>
      <c r="D273" s="435" t="s">
        <v>530</v>
      </c>
      <c r="E273" s="435" t="s">
        <v>184</v>
      </c>
      <c r="F273" s="436">
        <v>60</v>
      </c>
      <c r="G273" s="148" t="s">
        <v>259</v>
      </c>
    </row>
    <row r="274" spans="1:7" hidden="1">
      <c r="A274" s="148" t="str">
        <f t="shared" si="4"/>
        <v>Tech Consultant-Senior-India-Technology</v>
      </c>
      <c r="B274" s="435" t="s">
        <v>451</v>
      </c>
      <c r="C274" s="435" t="s">
        <v>243</v>
      </c>
      <c r="D274" s="435" t="s">
        <v>526</v>
      </c>
      <c r="E274" s="435" t="s">
        <v>184</v>
      </c>
      <c r="F274" s="436">
        <v>42</v>
      </c>
      <c r="G274" s="148" t="s">
        <v>259</v>
      </c>
    </row>
    <row r="275" spans="1:7" hidden="1">
      <c r="A275" s="148" t="str">
        <f t="shared" si="4"/>
        <v>Technical Analyst-Intermediate-India-Technology</v>
      </c>
      <c r="B275" s="435" t="s">
        <v>844</v>
      </c>
      <c r="C275" s="435" t="s">
        <v>239</v>
      </c>
      <c r="D275" s="435" t="s">
        <v>524</v>
      </c>
      <c r="E275" s="435" t="s">
        <v>184</v>
      </c>
      <c r="F275" s="436">
        <v>28</v>
      </c>
      <c r="G275" s="148" t="s">
        <v>259</v>
      </c>
    </row>
    <row r="276" spans="1:7" hidden="1">
      <c r="A276" s="148" t="str">
        <f t="shared" si="4"/>
        <v>Technical Analyst-Junior-India-Technology</v>
      </c>
      <c r="B276" s="435" t="s">
        <v>844</v>
      </c>
      <c r="C276" s="435" t="s">
        <v>240</v>
      </c>
      <c r="D276" s="435" t="s">
        <v>521</v>
      </c>
      <c r="E276" s="435" t="s">
        <v>184</v>
      </c>
      <c r="F276" s="436">
        <v>24</v>
      </c>
      <c r="G276" s="148" t="s">
        <v>259</v>
      </c>
    </row>
    <row r="277" spans="1:7" hidden="1">
      <c r="A277" s="148" t="str">
        <f t="shared" si="4"/>
        <v>Technical Analyst-Lead-India-Technology</v>
      </c>
      <c r="B277" s="435" t="s">
        <v>844</v>
      </c>
      <c r="C277" s="435" t="s">
        <v>241</v>
      </c>
      <c r="D277" s="435" t="s">
        <v>528</v>
      </c>
      <c r="E277" s="435" t="s">
        <v>184</v>
      </c>
      <c r="F277" s="436">
        <v>41</v>
      </c>
      <c r="G277" s="148" t="s">
        <v>259</v>
      </c>
    </row>
    <row r="278" spans="1:7" hidden="1">
      <c r="A278" s="148" t="str">
        <f t="shared" si="4"/>
        <v>Technical Analyst-Principal-India-Technology</v>
      </c>
      <c r="B278" s="435" t="s">
        <v>844</v>
      </c>
      <c r="C278" s="435" t="s">
        <v>242</v>
      </c>
      <c r="D278" s="435" t="s">
        <v>530</v>
      </c>
      <c r="E278" s="435" t="s">
        <v>184</v>
      </c>
      <c r="F278" s="436">
        <v>47</v>
      </c>
      <c r="G278" s="148" t="s">
        <v>259</v>
      </c>
    </row>
    <row r="279" spans="1:7" hidden="1">
      <c r="A279" s="148" t="str">
        <f t="shared" si="4"/>
        <v>Technical Analyst-Senior-India-Technology</v>
      </c>
      <c r="B279" s="435" t="s">
        <v>844</v>
      </c>
      <c r="C279" s="435" t="s">
        <v>243</v>
      </c>
      <c r="D279" s="435" t="s">
        <v>526</v>
      </c>
      <c r="E279" s="435" t="s">
        <v>184</v>
      </c>
      <c r="F279" s="436">
        <v>35</v>
      </c>
      <c r="G279" s="148" t="s">
        <v>259</v>
      </c>
    </row>
    <row r="280" spans="1:7" hidden="1">
      <c r="A280" s="148" t="str">
        <f t="shared" si="4"/>
        <v>Technical Architect-Intermediate-India-Technology</v>
      </c>
      <c r="B280" s="435" t="s">
        <v>850</v>
      </c>
      <c r="C280" s="435" t="s">
        <v>239</v>
      </c>
      <c r="D280" s="435" t="s">
        <v>524</v>
      </c>
      <c r="E280" s="435" t="s">
        <v>184</v>
      </c>
      <c r="F280" s="436">
        <v>40</v>
      </c>
      <c r="G280" s="148" t="s">
        <v>259</v>
      </c>
    </row>
    <row r="281" spans="1:7" hidden="1">
      <c r="A281" s="148" t="str">
        <f t="shared" si="4"/>
        <v>Technical Architect-Junior-India-Technology</v>
      </c>
      <c r="B281" s="435" t="s">
        <v>850</v>
      </c>
      <c r="C281" s="435" t="s">
        <v>240</v>
      </c>
      <c r="D281" s="435" t="s">
        <v>521</v>
      </c>
      <c r="E281" s="435" t="s">
        <v>184</v>
      </c>
      <c r="F281" s="436">
        <v>38</v>
      </c>
      <c r="G281" s="148" t="s">
        <v>259</v>
      </c>
    </row>
    <row r="282" spans="1:7" hidden="1">
      <c r="A282" s="148" t="str">
        <f t="shared" si="4"/>
        <v>Technical Architect-Lead-India-Technology</v>
      </c>
      <c r="B282" s="435" t="s">
        <v>850</v>
      </c>
      <c r="C282" s="435" t="s">
        <v>241</v>
      </c>
      <c r="D282" s="435" t="s">
        <v>528</v>
      </c>
      <c r="E282" s="435" t="s">
        <v>184</v>
      </c>
      <c r="F282" s="436">
        <v>50</v>
      </c>
      <c r="G282" s="148" t="s">
        <v>259</v>
      </c>
    </row>
    <row r="283" spans="1:7" hidden="1">
      <c r="A283" s="148" t="str">
        <f t="shared" si="4"/>
        <v>Technical Architect-Principal-India-Technology</v>
      </c>
      <c r="B283" s="435" t="s">
        <v>850</v>
      </c>
      <c r="C283" s="435" t="s">
        <v>242</v>
      </c>
      <c r="D283" s="435" t="s">
        <v>530</v>
      </c>
      <c r="E283" s="435" t="s">
        <v>184</v>
      </c>
      <c r="F283" s="436">
        <v>60</v>
      </c>
      <c r="G283" s="148" t="s">
        <v>259</v>
      </c>
    </row>
    <row r="284" spans="1:7" hidden="1">
      <c r="A284" s="148" t="str">
        <f t="shared" si="4"/>
        <v>Technical Architect-Senior-India-Technology</v>
      </c>
      <c r="B284" s="435" t="s">
        <v>850</v>
      </c>
      <c r="C284" s="435" t="s">
        <v>243</v>
      </c>
      <c r="D284" s="435" t="s">
        <v>526</v>
      </c>
      <c r="E284" s="435" t="s">
        <v>184</v>
      </c>
      <c r="F284" s="436">
        <v>44</v>
      </c>
      <c r="G284" s="148" t="s">
        <v>259</v>
      </c>
    </row>
    <row r="285" spans="1:7" hidden="1">
      <c r="A285" s="148" t="str">
        <f t="shared" si="4"/>
        <v>Technical Consultant-Intermediate-India-Technology</v>
      </c>
      <c r="B285" s="435" t="s">
        <v>856</v>
      </c>
      <c r="C285" s="435" t="s">
        <v>239</v>
      </c>
      <c r="D285" s="435" t="s">
        <v>524</v>
      </c>
      <c r="E285" s="435" t="s">
        <v>184</v>
      </c>
      <c r="F285" s="436">
        <v>33</v>
      </c>
      <c r="G285" s="148" t="s">
        <v>259</v>
      </c>
    </row>
    <row r="286" spans="1:7" hidden="1">
      <c r="A286" s="148" t="str">
        <f t="shared" si="4"/>
        <v>Technical Consultant-Junior-India-Technology</v>
      </c>
      <c r="B286" s="435" t="s">
        <v>856</v>
      </c>
      <c r="C286" s="435" t="s">
        <v>240</v>
      </c>
      <c r="D286" s="435" t="s">
        <v>521</v>
      </c>
      <c r="E286" s="435" t="s">
        <v>184</v>
      </c>
      <c r="F286" s="436">
        <v>29</v>
      </c>
      <c r="G286" s="148" t="s">
        <v>259</v>
      </c>
    </row>
    <row r="287" spans="1:7" hidden="1">
      <c r="A287" s="148" t="str">
        <f t="shared" si="4"/>
        <v>Technical Consultant-Lead-India-Technology</v>
      </c>
      <c r="B287" s="435" t="s">
        <v>856</v>
      </c>
      <c r="C287" s="435" t="s">
        <v>241</v>
      </c>
      <c r="D287" s="435" t="s">
        <v>528</v>
      </c>
      <c r="E287" s="435" t="s">
        <v>184</v>
      </c>
      <c r="F287" s="436">
        <v>49</v>
      </c>
      <c r="G287" s="148" t="s">
        <v>259</v>
      </c>
    </row>
    <row r="288" spans="1:7" hidden="1">
      <c r="A288" s="148" t="str">
        <f t="shared" si="4"/>
        <v>Technical Consultant-Principal-India-Technology</v>
      </c>
      <c r="B288" s="435" t="s">
        <v>856</v>
      </c>
      <c r="C288" s="435" t="s">
        <v>242</v>
      </c>
      <c r="D288" s="435" t="s">
        <v>530</v>
      </c>
      <c r="E288" s="435" t="s">
        <v>184</v>
      </c>
      <c r="F288" s="436">
        <v>60</v>
      </c>
      <c r="G288" s="148" t="s">
        <v>259</v>
      </c>
    </row>
    <row r="289" spans="1:7" hidden="1">
      <c r="A289" s="148" t="str">
        <f t="shared" si="4"/>
        <v>Technical Consultant-Senior-India-Technology</v>
      </c>
      <c r="B289" s="435" t="s">
        <v>856</v>
      </c>
      <c r="C289" s="435" t="s">
        <v>243</v>
      </c>
      <c r="D289" s="435" t="s">
        <v>526</v>
      </c>
      <c r="E289" s="435" t="s">
        <v>184</v>
      </c>
      <c r="F289" s="436">
        <v>40</v>
      </c>
      <c r="G289" s="148" t="s">
        <v>259</v>
      </c>
    </row>
    <row r="290" spans="1:7" hidden="1">
      <c r="A290" s="148" t="str">
        <f t="shared" si="4"/>
        <v>Technical Writer-Intermediate-India-Technology</v>
      </c>
      <c r="B290" s="435" t="s">
        <v>862</v>
      </c>
      <c r="C290" s="435" t="s">
        <v>239</v>
      </c>
      <c r="D290" s="435" t="s">
        <v>524</v>
      </c>
      <c r="E290" s="435" t="s">
        <v>184</v>
      </c>
      <c r="F290" s="436">
        <v>25</v>
      </c>
      <c r="G290" s="148" t="s">
        <v>259</v>
      </c>
    </row>
    <row r="291" spans="1:7" hidden="1">
      <c r="A291" s="148" t="str">
        <f t="shared" si="4"/>
        <v>Technical Writer-Junior-India-Technology</v>
      </c>
      <c r="B291" s="435" t="s">
        <v>862</v>
      </c>
      <c r="C291" s="435" t="s">
        <v>240</v>
      </c>
      <c r="D291" s="435" t="s">
        <v>521</v>
      </c>
      <c r="E291" s="435" t="s">
        <v>184</v>
      </c>
      <c r="F291" s="436">
        <v>21</v>
      </c>
      <c r="G291" s="148" t="s">
        <v>259</v>
      </c>
    </row>
    <row r="292" spans="1:7" hidden="1">
      <c r="A292" s="148" t="str">
        <f t="shared" si="4"/>
        <v>Technical Writer-Lead-India-Technology</v>
      </c>
      <c r="B292" s="435" t="s">
        <v>862</v>
      </c>
      <c r="C292" s="435" t="s">
        <v>241</v>
      </c>
      <c r="D292" s="435" t="s">
        <v>528</v>
      </c>
      <c r="E292" s="435" t="s">
        <v>184</v>
      </c>
      <c r="F292" s="436">
        <v>36</v>
      </c>
      <c r="G292" s="148" t="s">
        <v>259</v>
      </c>
    </row>
    <row r="293" spans="1:7" hidden="1">
      <c r="A293" s="148" t="str">
        <f t="shared" si="4"/>
        <v>Technical Writer-Principal-India-Technology</v>
      </c>
      <c r="B293" s="435" t="s">
        <v>862</v>
      </c>
      <c r="C293" s="435" t="s">
        <v>242</v>
      </c>
      <c r="D293" s="435" t="s">
        <v>530</v>
      </c>
      <c r="E293" s="435" t="s">
        <v>184</v>
      </c>
      <c r="F293" s="436">
        <v>39</v>
      </c>
      <c r="G293" s="148" t="s">
        <v>259</v>
      </c>
    </row>
    <row r="294" spans="1:7" hidden="1">
      <c r="A294" s="148" t="str">
        <f t="shared" si="4"/>
        <v>Technical Writer-Senior-India-Technology</v>
      </c>
      <c r="B294" s="435" t="s">
        <v>862</v>
      </c>
      <c r="C294" s="435" t="s">
        <v>243</v>
      </c>
      <c r="D294" s="435" t="s">
        <v>526</v>
      </c>
      <c r="E294" s="435" t="s">
        <v>184</v>
      </c>
      <c r="F294" s="436">
        <v>30</v>
      </c>
      <c r="G294" s="148" t="s">
        <v>259</v>
      </c>
    </row>
    <row r="295" spans="1:7" hidden="1">
      <c r="A295" s="148" t="str">
        <f t="shared" si="4"/>
        <v>Technical/Functional Team Lead-Intermediate-India-Technology</v>
      </c>
      <c r="B295" s="435" t="s">
        <v>868</v>
      </c>
      <c r="C295" s="435" t="s">
        <v>239</v>
      </c>
      <c r="D295" s="435" t="s">
        <v>524</v>
      </c>
      <c r="E295" s="435" t="s">
        <v>184</v>
      </c>
      <c r="F295" s="436">
        <v>33</v>
      </c>
      <c r="G295" s="148" t="s">
        <v>259</v>
      </c>
    </row>
    <row r="296" spans="1:7" hidden="1">
      <c r="A296" s="148" t="str">
        <f t="shared" si="4"/>
        <v>Technical/Functional Team Lead-Junior-India-Technology</v>
      </c>
      <c r="B296" s="435" t="s">
        <v>868</v>
      </c>
      <c r="C296" s="435" t="s">
        <v>240</v>
      </c>
      <c r="D296" s="435" t="s">
        <v>521</v>
      </c>
      <c r="E296" s="435" t="s">
        <v>184</v>
      </c>
      <c r="F296" s="436">
        <v>29</v>
      </c>
      <c r="G296" s="148" t="s">
        <v>259</v>
      </c>
    </row>
    <row r="297" spans="1:7" hidden="1">
      <c r="A297" s="148" t="str">
        <f t="shared" si="4"/>
        <v>Technical/Functional Team Lead-Lead-India-Technology</v>
      </c>
      <c r="B297" s="435" t="s">
        <v>868</v>
      </c>
      <c r="C297" s="435" t="s">
        <v>241</v>
      </c>
      <c r="D297" s="435" t="s">
        <v>528</v>
      </c>
      <c r="E297" s="435" t="s">
        <v>184</v>
      </c>
      <c r="F297" s="436">
        <v>52</v>
      </c>
      <c r="G297" s="148" t="s">
        <v>259</v>
      </c>
    </row>
    <row r="298" spans="1:7" hidden="1">
      <c r="A298" s="148" t="str">
        <f t="shared" si="4"/>
        <v>Technical/Functional Team Lead-Principal-India-Technology</v>
      </c>
      <c r="B298" s="435" t="s">
        <v>868</v>
      </c>
      <c r="C298" s="435" t="s">
        <v>242</v>
      </c>
      <c r="D298" s="435" t="s">
        <v>530</v>
      </c>
      <c r="E298" s="435" t="s">
        <v>184</v>
      </c>
      <c r="F298" s="436">
        <v>60</v>
      </c>
      <c r="G298" s="148" t="s">
        <v>259</v>
      </c>
    </row>
    <row r="299" spans="1:7" hidden="1">
      <c r="A299" s="148" t="str">
        <f t="shared" si="4"/>
        <v>Technical/Functional Team Lead-Senior-India-Technology</v>
      </c>
      <c r="B299" s="435" t="s">
        <v>868</v>
      </c>
      <c r="C299" s="435" t="s">
        <v>243</v>
      </c>
      <c r="D299" s="435" t="s">
        <v>526</v>
      </c>
      <c r="E299" s="435" t="s">
        <v>184</v>
      </c>
      <c r="F299" s="436">
        <v>42</v>
      </c>
      <c r="G299" s="148" t="s">
        <v>259</v>
      </c>
    </row>
    <row r="300" spans="1:7" hidden="1">
      <c r="A300" s="148" t="str">
        <f t="shared" si="4"/>
        <v>Technology-Analyst-India-Consulting</v>
      </c>
      <c r="B300" s="435" t="s">
        <v>259</v>
      </c>
      <c r="C300" s="435" t="s">
        <v>384</v>
      </c>
      <c r="D300" s="435" t="s">
        <v>591</v>
      </c>
      <c r="E300" s="435" t="s">
        <v>184</v>
      </c>
      <c r="F300" s="436">
        <v>48</v>
      </c>
      <c r="G300" s="148" t="s">
        <v>261</v>
      </c>
    </row>
    <row r="301" spans="1:7" hidden="1">
      <c r="A301" s="148" t="str">
        <f t="shared" si="4"/>
        <v>Technology-Consultant-India-Consulting</v>
      </c>
      <c r="B301" s="435" t="s">
        <v>259</v>
      </c>
      <c r="C301" s="435" t="s">
        <v>368</v>
      </c>
      <c r="D301" s="435" t="s">
        <v>593</v>
      </c>
      <c r="E301" s="435" t="s">
        <v>184</v>
      </c>
      <c r="F301" s="436">
        <v>60</v>
      </c>
      <c r="G301" s="148" t="s">
        <v>261</v>
      </c>
    </row>
    <row r="302" spans="1:7" hidden="1">
      <c r="A302" s="148" t="str">
        <f t="shared" si="4"/>
        <v>Technology-Manager-India-Consulting</v>
      </c>
      <c r="B302" s="435" t="s">
        <v>259</v>
      </c>
      <c r="C302" s="435" t="s">
        <v>376</v>
      </c>
      <c r="D302" s="435" t="s">
        <v>595</v>
      </c>
      <c r="E302" s="435" t="s">
        <v>184</v>
      </c>
      <c r="F302" s="436">
        <v>99</v>
      </c>
      <c r="G302" s="148" t="s">
        <v>261</v>
      </c>
    </row>
    <row r="303" spans="1:7">
      <c r="A303" s="148" t="str">
        <f t="shared" si="4"/>
        <v>Human Capital-Managing Director-India-Consulting</v>
      </c>
      <c r="B303" s="435" t="s">
        <v>492</v>
      </c>
      <c r="C303" s="435" t="s">
        <v>357</v>
      </c>
      <c r="D303" s="435" t="s">
        <v>597</v>
      </c>
      <c r="E303" s="435" t="s">
        <v>184</v>
      </c>
      <c r="F303" s="436">
        <v>266</v>
      </c>
      <c r="G303" s="148" t="s">
        <v>261</v>
      </c>
    </row>
    <row r="304" spans="1:7" hidden="1">
      <c r="A304" s="148" t="str">
        <f t="shared" si="4"/>
        <v>Technology-Principal-India-Consulting</v>
      </c>
      <c r="B304" s="435" t="s">
        <v>259</v>
      </c>
      <c r="C304" s="435" t="s">
        <v>242</v>
      </c>
      <c r="D304" s="435" t="s">
        <v>599</v>
      </c>
      <c r="E304" s="435" t="s">
        <v>184</v>
      </c>
      <c r="F304" s="436">
        <v>180</v>
      </c>
      <c r="G304" s="148" t="s">
        <v>261</v>
      </c>
    </row>
    <row r="305" spans="1:7" hidden="1">
      <c r="A305" s="148" t="str">
        <f t="shared" si="4"/>
        <v>Technology-Senior Consultant-India-Consulting</v>
      </c>
      <c r="B305" s="435" t="s">
        <v>259</v>
      </c>
      <c r="C305" s="435" t="s">
        <v>364</v>
      </c>
      <c r="D305" s="435" t="s">
        <v>601</v>
      </c>
      <c r="E305" s="435" t="s">
        <v>184</v>
      </c>
      <c r="F305" s="436">
        <v>71</v>
      </c>
      <c r="G305" s="148" t="s">
        <v>261</v>
      </c>
    </row>
    <row r="306" spans="1:7" hidden="1">
      <c r="A306" s="148" t="str">
        <f t="shared" si="4"/>
        <v>Technology-Senior Manager-India-Consulting</v>
      </c>
      <c r="B306" s="435" t="s">
        <v>259</v>
      </c>
      <c r="C306" s="435" t="s">
        <v>361</v>
      </c>
      <c r="D306" s="435" t="s">
        <v>603</v>
      </c>
      <c r="E306" s="435" t="s">
        <v>184</v>
      </c>
      <c r="F306" s="436">
        <v>134</v>
      </c>
      <c r="G306" s="148" t="s">
        <v>261</v>
      </c>
    </row>
    <row r="307" spans="1:7" hidden="1">
      <c r="A307" s="148" t="str">
        <f t="shared" si="4"/>
        <v>Technology Analyst-Intermediate-India-Technology</v>
      </c>
      <c r="B307" s="435" t="s">
        <v>881</v>
      </c>
      <c r="C307" s="435" t="s">
        <v>239</v>
      </c>
      <c r="D307" s="435" t="s">
        <v>524</v>
      </c>
      <c r="E307" s="435" t="s">
        <v>184</v>
      </c>
      <c r="F307" s="436">
        <v>28</v>
      </c>
      <c r="G307" s="148" t="s">
        <v>259</v>
      </c>
    </row>
    <row r="308" spans="1:7" hidden="1">
      <c r="A308" s="148" t="str">
        <f t="shared" si="4"/>
        <v>Technology Analyst-Junior-India-Technology</v>
      </c>
      <c r="B308" s="435" t="s">
        <v>881</v>
      </c>
      <c r="C308" s="435" t="s">
        <v>240</v>
      </c>
      <c r="D308" s="435" t="s">
        <v>521</v>
      </c>
      <c r="E308" s="435" t="s">
        <v>184</v>
      </c>
      <c r="F308" s="436">
        <v>24</v>
      </c>
      <c r="G308" s="148" t="s">
        <v>259</v>
      </c>
    </row>
    <row r="309" spans="1:7" hidden="1">
      <c r="A309" s="148" t="str">
        <f t="shared" si="4"/>
        <v>Technology Analyst-Lead-India-Technology</v>
      </c>
      <c r="B309" s="435" t="s">
        <v>881</v>
      </c>
      <c r="C309" s="435" t="s">
        <v>241</v>
      </c>
      <c r="D309" s="435" t="s">
        <v>528</v>
      </c>
      <c r="E309" s="435" t="s">
        <v>184</v>
      </c>
      <c r="F309" s="436">
        <v>40</v>
      </c>
      <c r="G309" s="148" t="s">
        <v>259</v>
      </c>
    </row>
    <row r="310" spans="1:7" hidden="1">
      <c r="A310" s="148" t="str">
        <f t="shared" si="4"/>
        <v>Technology Analyst-Principal-India-Technology</v>
      </c>
      <c r="B310" s="435" t="s">
        <v>881</v>
      </c>
      <c r="C310" s="435" t="s">
        <v>242</v>
      </c>
      <c r="D310" s="435" t="s">
        <v>530</v>
      </c>
      <c r="E310" s="435" t="s">
        <v>184</v>
      </c>
      <c r="F310" s="436">
        <v>47</v>
      </c>
      <c r="G310" s="148" t="s">
        <v>259</v>
      </c>
    </row>
    <row r="311" spans="1:7" hidden="1">
      <c r="A311" s="148" t="str">
        <f t="shared" si="4"/>
        <v>Technology Analyst-Senior-India-Technology</v>
      </c>
      <c r="B311" s="435" t="s">
        <v>881</v>
      </c>
      <c r="C311" s="435" t="s">
        <v>243</v>
      </c>
      <c r="D311" s="435" t="s">
        <v>526</v>
      </c>
      <c r="E311" s="435" t="s">
        <v>184</v>
      </c>
      <c r="F311" s="436">
        <v>35</v>
      </c>
      <c r="G311" s="148" t="s">
        <v>259</v>
      </c>
    </row>
    <row r="312" spans="1:7" hidden="1">
      <c r="A312" s="148" t="str">
        <f t="shared" si="4"/>
        <v>Test Engineer-Intermediate-India-Technology</v>
      </c>
      <c r="B312" s="435" t="s">
        <v>887</v>
      </c>
      <c r="C312" s="435" t="s">
        <v>239</v>
      </c>
      <c r="D312" s="435" t="s">
        <v>524</v>
      </c>
      <c r="E312" s="435" t="s">
        <v>184</v>
      </c>
      <c r="F312" s="436">
        <v>24</v>
      </c>
      <c r="G312" s="148" t="s">
        <v>259</v>
      </c>
    </row>
    <row r="313" spans="1:7" hidden="1">
      <c r="A313" s="148" t="str">
        <f t="shared" si="4"/>
        <v>Test Engineer-Junior-India-Technology</v>
      </c>
      <c r="B313" s="435" t="s">
        <v>887</v>
      </c>
      <c r="C313" s="435" t="s">
        <v>240</v>
      </c>
      <c r="D313" s="435" t="s">
        <v>521</v>
      </c>
      <c r="E313" s="435" t="s">
        <v>184</v>
      </c>
      <c r="F313" s="436">
        <v>22</v>
      </c>
      <c r="G313" s="148" t="s">
        <v>259</v>
      </c>
    </row>
    <row r="314" spans="1:7" hidden="1">
      <c r="A314" s="148" t="str">
        <f t="shared" si="4"/>
        <v>Test Engineer-Lead-India-Technology</v>
      </c>
      <c r="B314" s="435" t="s">
        <v>887</v>
      </c>
      <c r="C314" s="435" t="s">
        <v>241</v>
      </c>
      <c r="D314" s="435" t="s">
        <v>528</v>
      </c>
      <c r="E314" s="435" t="s">
        <v>184</v>
      </c>
      <c r="F314" s="436">
        <v>34</v>
      </c>
      <c r="G314" s="148" t="s">
        <v>259</v>
      </c>
    </row>
    <row r="315" spans="1:7" hidden="1">
      <c r="A315" s="148" t="str">
        <f t="shared" si="4"/>
        <v>Test Engineer-Principal-India-Technology</v>
      </c>
      <c r="B315" s="435" t="s">
        <v>887</v>
      </c>
      <c r="C315" s="435" t="s">
        <v>242</v>
      </c>
      <c r="D315" s="435" t="s">
        <v>530</v>
      </c>
      <c r="E315" s="435" t="s">
        <v>184</v>
      </c>
      <c r="F315" s="436">
        <v>38</v>
      </c>
      <c r="G315" s="148" t="s">
        <v>259</v>
      </c>
    </row>
    <row r="316" spans="1:7" hidden="1">
      <c r="A316" s="148" t="str">
        <f t="shared" si="4"/>
        <v>Test Engineer-Senior-India-Technology</v>
      </c>
      <c r="B316" s="435" t="s">
        <v>887</v>
      </c>
      <c r="C316" s="435" t="s">
        <v>243</v>
      </c>
      <c r="D316" s="435" t="s">
        <v>526</v>
      </c>
      <c r="E316" s="435" t="s">
        <v>184</v>
      </c>
      <c r="F316" s="436">
        <v>29</v>
      </c>
      <c r="G316" s="148" t="s">
        <v>259</v>
      </c>
    </row>
    <row r="317" spans="1:7" hidden="1">
      <c r="A317" s="148" t="str">
        <f t="shared" si="4"/>
        <v>UX Designer-Intermediate-India-Technology</v>
      </c>
      <c r="B317" s="435" t="s">
        <v>893</v>
      </c>
      <c r="C317" s="435" t="s">
        <v>239</v>
      </c>
      <c r="D317" s="435" t="s">
        <v>524</v>
      </c>
      <c r="E317" s="435" t="s">
        <v>184</v>
      </c>
      <c r="F317" s="436">
        <v>39</v>
      </c>
      <c r="G317" s="148" t="s">
        <v>259</v>
      </c>
    </row>
    <row r="318" spans="1:7" hidden="1">
      <c r="A318" s="148" t="str">
        <f t="shared" si="4"/>
        <v>UX Designer-Junior-India-Technology</v>
      </c>
      <c r="B318" s="435" t="s">
        <v>893</v>
      </c>
      <c r="C318" s="435" t="s">
        <v>240</v>
      </c>
      <c r="D318" s="435" t="s">
        <v>521</v>
      </c>
      <c r="E318" s="435" t="s">
        <v>184</v>
      </c>
      <c r="F318" s="436">
        <v>34</v>
      </c>
      <c r="G318" s="148" t="s">
        <v>259</v>
      </c>
    </row>
    <row r="319" spans="1:7" hidden="1">
      <c r="A319" s="148" t="str">
        <f t="shared" si="4"/>
        <v>UX Designer-Lead-India-Technology</v>
      </c>
      <c r="B319" s="435" t="s">
        <v>893</v>
      </c>
      <c r="C319" s="435" t="s">
        <v>241</v>
      </c>
      <c r="D319" s="435" t="s">
        <v>528</v>
      </c>
      <c r="E319" s="435" t="s">
        <v>184</v>
      </c>
      <c r="F319" s="436">
        <v>58</v>
      </c>
      <c r="G319" s="148" t="s">
        <v>259</v>
      </c>
    </row>
    <row r="320" spans="1:7" hidden="1">
      <c r="A320" s="148" t="str">
        <f t="shared" si="4"/>
        <v>UX Designer-Principal-India-Technology</v>
      </c>
      <c r="B320" s="435" t="s">
        <v>893</v>
      </c>
      <c r="C320" s="435" t="s">
        <v>242</v>
      </c>
      <c r="D320" s="435" t="s">
        <v>530</v>
      </c>
      <c r="E320" s="435" t="s">
        <v>184</v>
      </c>
      <c r="F320" s="436">
        <v>75</v>
      </c>
      <c r="G320" s="148" t="s">
        <v>259</v>
      </c>
    </row>
    <row r="321" spans="1:7" hidden="1">
      <c r="A321" s="148" t="str">
        <f t="shared" si="4"/>
        <v>UX Designer-Senior-India-Technology</v>
      </c>
      <c r="B321" s="435" t="s">
        <v>893</v>
      </c>
      <c r="C321" s="435" t="s">
        <v>243</v>
      </c>
      <c r="D321" s="435" t="s">
        <v>526</v>
      </c>
      <c r="E321" s="435" t="s">
        <v>184</v>
      </c>
      <c r="F321" s="436">
        <v>52</v>
      </c>
      <c r="G321" s="148" t="s">
        <v>259</v>
      </c>
    </row>
    <row r="322" spans="1:7" hidden="1">
      <c r="A322" s="148" t="str">
        <f t="shared" ref="A322:A385" si="5">_xlfn.CONCAT(B322,"-",C322,"-",E322,"-",G322)</f>
        <v>Agile Coach-Junior-India-Technology</v>
      </c>
      <c r="B322" s="435" t="s">
        <v>238</v>
      </c>
      <c r="C322" s="435" t="s">
        <v>240</v>
      </c>
      <c r="D322" s="435" t="s">
        <v>521</v>
      </c>
      <c r="E322" s="435" t="s">
        <v>184</v>
      </c>
      <c r="F322" s="436">
        <v>40</v>
      </c>
      <c r="G322" s="148" t="s">
        <v>259</v>
      </c>
    </row>
    <row r="323" spans="1:7" hidden="1">
      <c r="A323" s="148" t="str">
        <f t="shared" si="5"/>
        <v>Agile Coach-Intermediate-India-Technology</v>
      </c>
      <c r="B323" s="435" t="s">
        <v>238</v>
      </c>
      <c r="C323" s="435" t="s">
        <v>239</v>
      </c>
      <c r="D323" s="435" t="s">
        <v>524</v>
      </c>
      <c r="E323" s="435" t="s">
        <v>184</v>
      </c>
      <c r="F323" s="436">
        <v>46</v>
      </c>
      <c r="G323" s="148" t="s">
        <v>259</v>
      </c>
    </row>
    <row r="324" spans="1:7" hidden="1">
      <c r="A324" s="148" t="str">
        <f t="shared" si="5"/>
        <v>Agile Coach-Senior-India-Technology</v>
      </c>
      <c r="B324" s="435" t="s">
        <v>238</v>
      </c>
      <c r="C324" s="435" t="s">
        <v>243</v>
      </c>
      <c r="D324" s="435" t="s">
        <v>526</v>
      </c>
      <c r="E324" s="435" t="s">
        <v>184</v>
      </c>
      <c r="F324" s="436">
        <v>51</v>
      </c>
      <c r="G324" s="148" t="s">
        <v>259</v>
      </c>
    </row>
    <row r="325" spans="1:7" hidden="1">
      <c r="A325" s="148" t="str">
        <f t="shared" si="5"/>
        <v>Agile Coach-Lead-India-Technology</v>
      </c>
      <c r="B325" s="435" t="s">
        <v>238</v>
      </c>
      <c r="C325" s="435" t="s">
        <v>241</v>
      </c>
      <c r="D325" s="435" t="s">
        <v>528</v>
      </c>
      <c r="E325" s="435" t="s">
        <v>184</v>
      </c>
      <c r="F325" s="436">
        <v>61</v>
      </c>
      <c r="G325" s="148" t="s">
        <v>259</v>
      </c>
    </row>
    <row r="326" spans="1:7" hidden="1">
      <c r="A326" s="148" t="str">
        <f t="shared" si="5"/>
        <v>Agile Coach-Principal-India-Technology</v>
      </c>
      <c r="B326" s="435" t="s">
        <v>238</v>
      </c>
      <c r="C326" s="435" t="s">
        <v>242</v>
      </c>
      <c r="D326" s="435" t="s">
        <v>530</v>
      </c>
      <c r="E326" s="435" t="s">
        <v>184</v>
      </c>
      <c r="F326" s="436">
        <v>75</v>
      </c>
      <c r="G326" s="148" t="s">
        <v>259</v>
      </c>
    </row>
    <row r="327" spans="1:7" hidden="1">
      <c r="A327" s="148" t="str">
        <f t="shared" si="5"/>
        <v>Application Architect-Junior-US-Technology</v>
      </c>
      <c r="B327" s="435" t="s">
        <v>244</v>
      </c>
      <c r="C327" s="435" t="s">
        <v>240</v>
      </c>
      <c r="D327" s="435" t="s">
        <v>521</v>
      </c>
      <c r="E327" s="435" t="s">
        <v>186</v>
      </c>
      <c r="F327" s="436">
        <v>166</v>
      </c>
      <c r="G327" s="148" t="s">
        <v>259</v>
      </c>
    </row>
    <row r="328" spans="1:7" hidden="1">
      <c r="A328" s="148" t="str">
        <f t="shared" si="5"/>
        <v>Application Architect-Intermediate-US-Technology</v>
      </c>
      <c r="B328" s="435" t="s">
        <v>244</v>
      </c>
      <c r="C328" s="435" t="s">
        <v>239</v>
      </c>
      <c r="D328" s="435" t="s">
        <v>524</v>
      </c>
      <c r="E328" s="435" t="s">
        <v>186</v>
      </c>
      <c r="F328" s="436">
        <v>172</v>
      </c>
      <c r="G328" s="148" t="s">
        <v>259</v>
      </c>
    </row>
    <row r="329" spans="1:7" hidden="1">
      <c r="A329" s="148" t="str">
        <f t="shared" si="5"/>
        <v>Application Architect-Senior-US-Technology</v>
      </c>
      <c r="B329" s="435" t="s">
        <v>244</v>
      </c>
      <c r="C329" s="435" t="s">
        <v>243</v>
      </c>
      <c r="D329" s="435" t="s">
        <v>526</v>
      </c>
      <c r="E329" s="435" t="s">
        <v>186</v>
      </c>
      <c r="F329" s="436">
        <v>195</v>
      </c>
      <c r="G329" s="148" t="s">
        <v>259</v>
      </c>
    </row>
    <row r="330" spans="1:7" hidden="1">
      <c r="A330" s="148" t="str">
        <f t="shared" si="5"/>
        <v>Application Architect-Lead-US-Technology</v>
      </c>
      <c r="B330" s="435" t="s">
        <v>244</v>
      </c>
      <c r="C330" s="435" t="s">
        <v>241</v>
      </c>
      <c r="D330" s="435" t="s">
        <v>528</v>
      </c>
      <c r="E330" s="435" t="s">
        <v>186</v>
      </c>
      <c r="F330" s="436">
        <v>207</v>
      </c>
      <c r="G330" s="148" t="s">
        <v>259</v>
      </c>
    </row>
    <row r="331" spans="1:7" hidden="1">
      <c r="A331" s="148" t="str">
        <f t="shared" si="5"/>
        <v>Application Architect-Principal-US-Technology</v>
      </c>
      <c r="B331" s="435" t="s">
        <v>244</v>
      </c>
      <c r="C331" s="435" t="s">
        <v>242</v>
      </c>
      <c r="D331" s="435" t="s">
        <v>530</v>
      </c>
      <c r="E331" s="435" t="s">
        <v>186</v>
      </c>
      <c r="F331" s="436">
        <v>224</v>
      </c>
      <c r="G331" s="148" t="s">
        <v>259</v>
      </c>
    </row>
    <row r="332" spans="1:7" hidden="1">
      <c r="A332" s="148" t="str">
        <f t="shared" si="5"/>
        <v>Application Developer-Junior-US-Technology</v>
      </c>
      <c r="B332" s="435" t="s">
        <v>245</v>
      </c>
      <c r="C332" s="435" t="s">
        <v>240</v>
      </c>
      <c r="D332" s="435" t="s">
        <v>521</v>
      </c>
      <c r="E332" s="435" t="s">
        <v>186</v>
      </c>
      <c r="F332" s="436">
        <v>109</v>
      </c>
      <c r="G332" s="148" t="s">
        <v>259</v>
      </c>
    </row>
    <row r="333" spans="1:7" hidden="1">
      <c r="A333" s="148" t="str">
        <f t="shared" si="5"/>
        <v>Application Developer-Intermediate-US-Technology</v>
      </c>
      <c r="B333" s="435" t="s">
        <v>245</v>
      </c>
      <c r="C333" s="435" t="s">
        <v>239</v>
      </c>
      <c r="D333" s="435" t="s">
        <v>524</v>
      </c>
      <c r="E333" s="435" t="s">
        <v>186</v>
      </c>
      <c r="F333" s="436">
        <v>124</v>
      </c>
      <c r="G333" s="148" t="s">
        <v>259</v>
      </c>
    </row>
    <row r="334" spans="1:7" hidden="1">
      <c r="A334" s="148" t="str">
        <f t="shared" si="5"/>
        <v>Application Developer-Senior-US-Technology</v>
      </c>
      <c r="B334" s="435" t="s">
        <v>245</v>
      </c>
      <c r="C334" s="435" t="s">
        <v>243</v>
      </c>
      <c r="D334" s="435" t="s">
        <v>526</v>
      </c>
      <c r="E334" s="435" t="s">
        <v>186</v>
      </c>
      <c r="F334" s="436">
        <v>138</v>
      </c>
      <c r="G334" s="148" t="s">
        <v>259</v>
      </c>
    </row>
    <row r="335" spans="1:7" hidden="1">
      <c r="A335" s="148" t="str">
        <f t="shared" si="5"/>
        <v>Application Developer-Lead-US-Technology</v>
      </c>
      <c r="B335" s="435" t="s">
        <v>245</v>
      </c>
      <c r="C335" s="435" t="s">
        <v>241</v>
      </c>
      <c r="D335" s="435" t="s">
        <v>528</v>
      </c>
      <c r="E335" s="435" t="s">
        <v>186</v>
      </c>
      <c r="F335" s="436">
        <v>153</v>
      </c>
      <c r="G335" s="148" t="s">
        <v>259</v>
      </c>
    </row>
    <row r="336" spans="1:7" hidden="1">
      <c r="A336" s="148" t="str">
        <f t="shared" si="5"/>
        <v>Application Developer-Principal-US-Technology</v>
      </c>
      <c r="B336" s="435" t="s">
        <v>245</v>
      </c>
      <c r="C336" s="435" t="s">
        <v>242</v>
      </c>
      <c r="D336" s="435" t="s">
        <v>530</v>
      </c>
      <c r="E336" s="435" t="s">
        <v>186</v>
      </c>
      <c r="F336" s="436">
        <v>172</v>
      </c>
      <c r="G336" s="148" t="s">
        <v>259</v>
      </c>
    </row>
    <row r="337" spans="1:7" hidden="1">
      <c r="A337" s="148" t="str">
        <f t="shared" si="5"/>
        <v>Artificial Intelligence Architect-Junior-US-Technology</v>
      </c>
      <c r="B337" s="435" t="s">
        <v>246</v>
      </c>
      <c r="C337" s="435" t="s">
        <v>240</v>
      </c>
      <c r="D337" s="435" t="s">
        <v>521</v>
      </c>
      <c r="E337" s="435" t="s">
        <v>186</v>
      </c>
      <c r="F337" s="436">
        <v>189</v>
      </c>
      <c r="G337" s="148" t="s">
        <v>259</v>
      </c>
    </row>
    <row r="338" spans="1:7" hidden="1">
      <c r="A338" s="148" t="str">
        <f t="shared" si="5"/>
        <v>Artificial Intelligence Architect-Intermediate-US-Technology</v>
      </c>
      <c r="B338" s="435" t="s">
        <v>246</v>
      </c>
      <c r="C338" s="435" t="s">
        <v>239</v>
      </c>
      <c r="D338" s="435" t="s">
        <v>524</v>
      </c>
      <c r="E338" s="435" t="s">
        <v>186</v>
      </c>
      <c r="F338" s="436">
        <v>201</v>
      </c>
      <c r="G338" s="148" t="s">
        <v>259</v>
      </c>
    </row>
    <row r="339" spans="1:7" hidden="1">
      <c r="A339" s="148" t="str">
        <f t="shared" si="5"/>
        <v>Artificial Intelligence Architect-Senior-US-Technology</v>
      </c>
      <c r="B339" s="435" t="s">
        <v>246</v>
      </c>
      <c r="C339" s="435" t="s">
        <v>243</v>
      </c>
      <c r="D339" s="435" t="s">
        <v>526</v>
      </c>
      <c r="E339" s="435" t="s">
        <v>186</v>
      </c>
      <c r="F339" s="436">
        <v>235</v>
      </c>
      <c r="G339" s="148" t="s">
        <v>259</v>
      </c>
    </row>
    <row r="340" spans="1:7" hidden="1">
      <c r="A340" s="148" t="str">
        <f t="shared" si="5"/>
        <v>Artificial Intelligence Architect-Lead-US-Technology</v>
      </c>
      <c r="B340" s="435" t="s">
        <v>246</v>
      </c>
      <c r="C340" s="435" t="s">
        <v>241</v>
      </c>
      <c r="D340" s="435" t="s">
        <v>528</v>
      </c>
      <c r="E340" s="435" t="s">
        <v>186</v>
      </c>
      <c r="F340" s="436">
        <v>264</v>
      </c>
      <c r="G340" s="148" t="s">
        <v>259</v>
      </c>
    </row>
    <row r="341" spans="1:7" hidden="1">
      <c r="A341" s="148" t="str">
        <f t="shared" si="5"/>
        <v>Artificial Intelligence Architect-Principal-US-Technology</v>
      </c>
      <c r="B341" s="435" t="s">
        <v>246</v>
      </c>
      <c r="C341" s="435" t="s">
        <v>242</v>
      </c>
      <c r="D341" s="435" t="s">
        <v>530</v>
      </c>
      <c r="E341" s="435" t="s">
        <v>186</v>
      </c>
      <c r="F341" s="436">
        <v>316</v>
      </c>
      <c r="G341" s="148" t="s">
        <v>259</v>
      </c>
    </row>
    <row r="342" spans="1:7" hidden="1">
      <c r="A342" s="148" t="str">
        <f t="shared" si="5"/>
        <v>Artificial Intelligence Developer-Junior-US-Technology</v>
      </c>
      <c r="B342" s="435" t="s">
        <v>247</v>
      </c>
      <c r="C342" s="435" t="s">
        <v>240</v>
      </c>
      <c r="D342" s="435" t="s">
        <v>521</v>
      </c>
      <c r="E342" s="435" t="s">
        <v>186</v>
      </c>
      <c r="F342" s="436">
        <v>126</v>
      </c>
      <c r="G342" s="148" t="s">
        <v>259</v>
      </c>
    </row>
    <row r="343" spans="1:7" hidden="1">
      <c r="A343" s="148" t="str">
        <f t="shared" si="5"/>
        <v>Artificial Intelligence Developer-Intermediate-US-Technology</v>
      </c>
      <c r="B343" s="435" t="s">
        <v>247</v>
      </c>
      <c r="C343" s="435" t="s">
        <v>239</v>
      </c>
      <c r="D343" s="435" t="s">
        <v>524</v>
      </c>
      <c r="E343" s="435" t="s">
        <v>186</v>
      </c>
      <c r="F343" s="436">
        <v>143</v>
      </c>
      <c r="G343" s="148" t="s">
        <v>259</v>
      </c>
    </row>
    <row r="344" spans="1:7" hidden="1">
      <c r="A344" s="148" t="str">
        <f t="shared" si="5"/>
        <v>Artificial Intelligence Developer-Senior-US-Technology</v>
      </c>
      <c r="B344" s="435" t="s">
        <v>247</v>
      </c>
      <c r="C344" s="435" t="s">
        <v>243</v>
      </c>
      <c r="D344" s="435" t="s">
        <v>526</v>
      </c>
      <c r="E344" s="435" t="s">
        <v>186</v>
      </c>
      <c r="F344" s="436">
        <v>172</v>
      </c>
      <c r="G344" s="148" t="s">
        <v>259</v>
      </c>
    </row>
    <row r="345" spans="1:7" hidden="1">
      <c r="A345" s="148" t="str">
        <f t="shared" si="5"/>
        <v>Artificial Intelligence Developer-Lead-US-Technology</v>
      </c>
      <c r="B345" s="435" t="s">
        <v>247</v>
      </c>
      <c r="C345" s="435" t="s">
        <v>241</v>
      </c>
      <c r="D345" s="435" t="s">
        <v>528</v>
      </c>
      <c r="E345" s="435" t="s">
        <v>186</v>
      </c>
      <c r="F345" s="436">
        <v>184</v>
      </c>
      <c r="G345" s="148" t="s">
        <v>259</v>
      </c>
    </row>
    <row r="346" spans="1:7" hidden="1">
      <c r="A346" s="148" t="str">
        <f t="shared" si="5"/>
        <v>Artificial Intelligence Developer-Principal-US-Technology</v>
      </c>
      <c r="B346" s="435" t="s">
        <v>247</v>
      </c>
      <c r="C346" s="435" t="s">
        <v>242</v>
      </c>
      <c r="D346" s="435" t="s">
        <v>530</v>
      </c>
      <c r="E346" s="435" t="s">
        <v>186</v>
      </c>
      <c r="F346" s="436">
        <v>195</v>
      </c>
      <c r="G346" s="148" t="s">
        <v>259</v>
      </c>
    </row>
    <row r="347" spans="1:7" hidden="1">
      <c r="A347" s="148" t="str">
        <f t="shared" si="5"/>
        <v>Business Analyst-Junior-US-Technology</v>
      </c>
      <c r="B347" s="435" t="s">
        <v>248</v>
      </c>
      <c r="C347" s="435" t="s">
        <v>240</v>
      </c>
      <c r="D347" s="435" t="s">
        <v>521</v>
      </c>
      <c r="E347" s="435" t="s">
        <v>186</v>
      </c>
      <c r="F347" s="436">
        <v>120</v>
      </c>
      <c r="G347" s="148" t="s">
        <v>259</v>
      </c>
    </row>
    <row r="348" spans="1:7" hidden="1">
      <c r="A348" s="148" t="str">
        <f t="shared" si="5"/>
        <v>Business Analyst-Intermediate-US-Technology</v>
      </c>
      <c r="B348" s="435" t="s">
        <v>248</v>
      </c>
      <c r="C348" s="435" t="s">
        <v>239</v>
      </c>
      <c r="D348" s="435" t="s">
        <v>524</v>
      </c>
      <c r="E348" s="435" t="s">
        <v>186</v>
      </c>
      <c r="F348" s="436">
        <v>132</v>
      </c>
      <c r="G348" s="148" t="s">
        <v>259</v>
      </c>
    </row>
    <row r="349" spans="1:7" hidden="1">
      <c r="A349" s="148" t="str">
        <f t="shared" si="5"/>
        <v>Business Analyst-Senior-US-Technology</v>
      </c>
      <c r="B349" s="435" t="s">
        <v>248</v>
      </c>
      <c r="C349" s="435" t="s">
        <v>243</v>
      </c>
      <c r="D349" s="435" t="s">
        <v>526</v>
      </c>
      <c r="E349" s="435" t="s">
        <v>186</v>
      </c>
      <c r="F349" s="436">
        <v>166</v>
      </c>
      <c r="G349" s="148" t="s">
        <v>259</v>
      </c>
    </row>
    <row r="350" spans="1:7" hidden="1">
      <c r="A350" s="148" t="str">
        <f t="shared" si="5"/>
        <v>Business Analyst-Lead-US-Technology</v>
      </c>
      <c r="B350" s="435" t="s">
        <v>248</v>
      </c>
      <c r="C350" s="435" t="s">
        <v>241</v>
      </c>
      <c r="D350" s="435" t="s">
        <v>528</v>
      </c>
      <c r="E350" s="435" t="s">
        <v>186</v>
      </c>
      <c r="F350" s="436">
        <v>184</v>
      </c>
      <c r="G350" s="148" t="s">
        <v>259</v>
      </c>
    </row>
    <row r="351" spans="1:7" hidden="1">
      <c r="A351" s="148" t="str">
        <f t="shared" si="5"/>
        <v>Business Analyst-Principal-US-Technology</v>
      </c>
      <c r="B351" s="435" t="s">
        <v>248</v>
      </c>
      <c r="C351" s="435" t="s">
        <v>242</v>
      </c>
      <c r="D351" s="435" t="s">
        <v>530</v>
      </c>
      <c r="E351" s="435" t="s">
        <v>186</v>
      </c>
      <c r="F351" s="436">
        <v>195</v>
      </c>
      <c r="G351" s="148" t="s">
        <v>259</v>
      </c>
    </row>
    <row r="352" spans="1:7" hidden="1">
      <c r="A352" s="148" t="str">
        <f t="shared" si="5"/>
        <v>Business Architect-Intermediate-US-Technology</v>
      </c>
      <c r="B352" s="435" t="s">
        <v>249</v>
      </c>
      <c r="C352" s="435" t="s">
        <v>239</v>
      </c>
      <c r="D352" s="435" t="s">
        <v>524</v>
      </c>
      <c r="E352" s="435" t="s">
        <v>186</v>
      </c>
      <c r="F352" s="436">
        <v>189</v>
      </c>
      <c r="G352" s="148" t="s">
        <v>259</v>
      </c>
    </row>
    <row r="353" spans="1:7" hidden="1">
      <c r="A353" s="148" t="str">
        <f t="shared" si="5"/>
        <v>Business Architect-Junior-US-Technology</v>
      </c>
      <c r="B353" s="435" t="s">
        <v>249</v>
      </c>
      <c r="C353" s="435" t="s">
        <v>240</v>
      </c>
      <c r="D353" s="435" t="s">
        <v>521</v>
      </c>
      <c r="E353" s="435" t="s">
        <v>186</v>
      </c>
      <c r="F353" s="436">
        <v>149</v>
      </c>
      <c r="G353" s="148" t="s">
        <v>259</v>
      </c>
    </row>
    <row r="354" spans="1:7" hidden="1">
      <c r="A354" s="148" t="str">
        <f t="shared" si="5"/>
        <v>Business Architect-Lead-US-Technology</v>
      </c>
      <c r="B354" s="435" t="s">
        <v>249</v>
      </c>
      <c r="C354" s="435" t="s">
        <v>241</v>
      </c>
      <c r="D354" s="435" t="s">
        <v>528</v>
      </c>
      <c r="E354" s="435" t="s">
        <v>186</v>
      </c>
      <c r="F354" s="436">
        <v>264</v>
      </c>
      <c r="G354" s="148" t="s">
        <v>259</v>
      </c>
    </row>
    <row r="355" spans="1:7" hidden="1">
      <c r="A355" s="148" t="str">
        <f t="shared" si="5"/>
        <v>Business Architect-Principal-US-Technology</v>
      </c>
      <c r="B355" s="435" t="s">
        <v>249</v>
      </c>
      <c r="C355" s="435" t="s">
        <v>242</v>
      </c>
      <c r="D355" s="435" t="s">
        <v>530</v>
      </c>
      <c r="E355" s="435" t="s">
        <v>186</v>
      </c>
      <c r="F355" s="436">
        <v>321</v>
      </c>
      <c r="G355" s="148" t="s">
        <v>259</v>
      </c>
    </row>
    <row r="356" spans="1:7" hidden="1">
      <c r="A356" s="148" t="str">
        <f t="shared" si="5"/>
        <v>Business Architect-Senior-US-Technology</v>
      </c>
      <c r="B356" s="435" t="s">
        <v>249</v>
      </c>
      <c r="C356" s="435" t="s">
        <v>243</v>
      </c>
      <c r="D356" s="435" t="s">
        <v>526</v>
      </c>
      <c r="E356" s="435" t="s">
        <v>186</v>
      </c>
      <c r="F356" s="436">
        <v>235</v>
      </c>
      <c r="G356" s="148" t="s">
        <v>259</v>
      </c>
    </row>
    <row r="357" spans="1:7" hidden="1">
      <c r="A357" s="148" t="str">
        <f t="shared" si="5"/>
        <v>Business Consultant-Intermediate-US-Technology</v>
      </c>
      <c r="B357" s="435" t="s">
        <v>562</v>
      </c>
      <c r="C357" s="435" t="s">
        <v>239</v>
      </c>
      <c r="D357" s="435" t="s">
        <v>524</v>
      </c>
      <c r="E357" s="435" t="s">
        <v>186</v>
      </c>
      <c r="F357" s="436">
        <v>212</v>
      </c>
      <c r="G357" s="148" t="s">
        <v>259</v>
      </c>
    </row>
    <row r="358" spans="1:7" hidden="1">
      <c r="A358" s="148" t="str">
        <f t="shared" si="5"/>
        <v>Business Consultant-Junior-US-Technology</v>
      </c>
      <c r="B358" s="435" t="s">
        <v>562</v>
      </c>
      <c r="C358" s="435" t="s">
        <v>240</v>
      </c>
      <c r="D358" s="435" t="s">
        <v>521</v>
      </c>
      <c r="E358" s="435" t="s">
        <v>186</v>
      </c>
      <c r="F358" s="436">
        <v>161</v>
      </c>
      <c r="G358" s="148" t="s">
        <v>259</v>
      </c>
    </row>
    <row r="359" spans="1:7" hidden="1">
      <c r="A359" s="148" t="str">
        <f t="shared" si="5"/>
        <v>Business Consultant-Lead-US-Technology</v>
      </c>
      <c r="B359" s="435" t="s">
        <v>562</v>
      </c>
      <c r="C359" s="435" t="s">
        <v>241</v>
      </c>
      <c r="D359" s="435" t="s">
        <v>528</v>
      </c>
      <c r="E359" s="435" t="s">
        <v>186</v>
      </c>
      <c r="F359" s="436">
        <v>281</v>
      </c>
      <c r="G359" s="148" t="s">
        <v>259</v>
      </c>
    </row>
    <row r="360" spans="1:7" hidden="1">
      <c r="A360" s="148" t="str">
        <f t="shared" si="5"/>
        <v>Business Consultant-Principal-US-Technology</v>
      </c>
      <c r="B360" s="435" t="s">
        <v>562</v>
      </c>
      <c r="C360" s="435" t="s">
        <v>242</v>
      </c>
      <c r="D360" s="435" t="s">
        <v>530</v>
      </c>
      <c r="E360" s="435" t="s">
        <v>186</v>
      </c>
      <c r="F360" s="436">
        <v>339</v>
      </c>
      <c r="G360" s="148" t="s">
        <v>259</v>
      </c>
    </row>
    <row r="361" spans="1:7" hidden="1">
      <c r="A361" s="148" t="str">
        <f t="shared" si="5"/>
        <v>Business Consultant-Senior-US-Technology</v>
      </c>
      <c r="B361" s="435" t="s">
        <v>562</v>
      </c>
      <c r="C361" s="435" t="s">
        <v>243</v>
      </c>
      <c r="D361" s="435" t="s">
        <v>526</v>
      </c>
      <c r="E361" s="435" t="s">
        <v>186</v>
      </c>
      <c r="F361" s="436">
        <v>241</v>
      </c>
      <c r="G361" s="148" t="s">
        <v>259</v>
      </c>
    </row>
    <row r="362" spans="1:7">
      <c r="A362" s="376" t="str">
        <f t="shared" si="5"/>
        <v>Human Capital-Manager-Mexico-Consulting</v>
      </c>
      <c r="B362" s="439" t="s">
        <v>492</v>
      </c>
      <c r="C362" s="439" t="s">
        <v>376</v>
      </c>
      <c r="D362" s="439" t="s">
        <v>528</v>
      </c>
      <c r="E362" s="439" t="s">
        <v>185</v>
      </c>
      <c r="F362" s="440">
        <v>142</v>
      </c>
      <c r="G362" s="376" t="s">
        <v>261</v>
      </c>
    </row>
    <row r="363" spans="1:7">
      <c r="A363" s="376" t="str">
        <f t="shared" si="5"/>
        <v>Human Capital-Senior Consultant-Mexico-Consulting</v>
      </c>
      <c r="B363" s="439" t="s">
        <v>492</v>
      </c>
      <c r="C363" s="439" t="s">
        <v>364</v>
      </c>
      <c r="D363" s="439" t="s">
        <v>526</v>
      </c>
      <c r="E363" s="439" t="s">
        <v>185</v>
      </c>
      <c r="F363" s="440">
        <v>83</v>
      </c>
      <c r="G363" s="376" t="s">
        <v>261</v>
      </c>
    </row>
    <row r="364" spans="1:7">
      <c r="A364" s="376" t="str">
        <f t="shared" si="5"/>
        <v>Human Capital-Consultant-Mexico-Consulting</v>
      </c>
      <c r="B364" s="439" t="s">
        <v>492</v>
      </c>
      <c r="C364" s="439" t="s">
        <v>368</v>
      </c>
      <c r="D364" s="439" t="s">
        <v>524</v>
      </c>
      <c r="E364" s="439" t="s">
        <v>185</v>
      </c>
      <c r="F364" s="440">
        <v>73</v>
      </c>
      <c r="G364" s="376" t="s">
        <v>261</v>
      </c>
    </row>
    <row r="365" spans="1:7">
      <c r="A365" s="148" t="str">
        <f t="shared" si="5"/>
        <v>Change Manager-Intermediate-US-Technology</v>
      </c>
      <c r="B365" s="435" t="s">
        <v>509</v>
      </c>
      <c r="C365" s="435" t="s">
        <v>239</v>
      </c>
      <c r="D365" s="435" t="s">
        <v>524</v>
      </c>
      <c r="E365" s="435" t="s">
        <v>186</v>
      </c>
      <c r="F365" s="436">
        <v>207</v>
      </c>
      <c r="G365" s="148" t="s">
        <v>259</v>
      </c>
    </row>
    <row r="366" spans="1:7">
      <c r="A366" s="148" t="str">
        <f t="shared" si="5"/>
        <v>Change Manager-Junior-US-Technology</v>
      </c>
      <c r="B366" s="435" t="s">
        <v>509</v>
      </c>
      <c r="C366" s="435" t="s">
        <v>240</v>
      </c>
      <c r="D366" s="435" t="s">
        <v>521</v>
      </c>
      <c r="E366" s="435" t="s">
        <v>186</v>
      </c>
      <c r="F366" s="436">
        <v>163</v>
      </c>
      <c r="G366" s="148" t="s">
        <v>259</v>
      </c>
    </row>
    <row r="367" spans="1:7" hidden="1">
      <c r="A367" s="148" t="str">
        <f t="shared" si="5"/>
        <v>Cloud Architect-Intermediate-US-Technology</v>
      </c>
      <c r="B367" s="435" t="s">
        <v>573</v>
      </c>
      <c r="C367" s="435" t="s">
        <v>239</v>
      </c>
      <c r="D367" s="435" t="s">
        <v>524</v>
      </c>
      <c r="E367" s="435" t="s">
        <v>186</v>
      </c>
      <c r="F367" s="436">
        <v>189</v>
      </c>
      <c r="G367" s="148" t="s">
        <v>259</v>
      </c>
    </row>
    <row r="368" spans="1:7" hidden="1">
      <c r="A368" s="148" t="str">
        <f t="shared" si="5"/>
        <v>Cloud Architect-Junior-US-Technology</v>
      </c>
      <c r="B368" s="435" t="s">
        <v>573</v>
      </c>
      <c r="C368" s="435" t="s">
        <v>240</v>
      </c>
      <c r="D368" s="435" t="s">
        <v>521</v>
      </c>
      <c r="E368" s="435" t="s">
        <v>186</v>
      </c>
      <c r="F368" s="436">
        <v>153</v>
      </c>
      <c r="G368" s="148" t="s">
        <v>259</v>
      </c>
    </row>
    <row r="369" spans="1:7" hidden="1">
      <c r="A369" s="148" t="str">
        <f t="shared" si="5"/>
        <v>Cloud Architect-Lead-US-Technology</v>
      </c>
      <c r="B369" s="435" t="s">
        <v>573</v>
      </c>
      <c r="C369" s="435" t="s">
        <v>241</v>
      </c>
      <c r="D369" s="435" t="s">
        <v>528</v>
      </c>
      <c r="E369" s="435" t="s">
        <v>186</v>
      </c>
      <c r="F369" s="436">
        <v>258</v>
      </c>
      <c r="G369" s="148" t="s">
        <v>259</v>
      </c>
    </row>
    <row r="370" spans="1:7" hidden="1">
      <c r="A370" s="148" t="str">
        <f t="shared" si="5"/>
        <v>Cloud Architect-Principal-US-Technology</v>
      </c>
      <c r="B370" s="435" t="s">
        <v>573</v>
      </c>
      <c r="C370" s="435" t="s">
        <v>242</v>
      </c>
      <c r="D370" s="435" t="s">
        <v>530</v>
      </c>
      <c r="E370" s="435" t="s">
        <v>186</v>
      </c>
      <c r="F370" s="436">
        <v>316</v>
      </c>
      <c r="G370" s="148" t="s">
        <v>259</v>
      </c>
    </row>
    <row r="371" spans="1:7" hidden="1">
      <c r="A371" s="148" t="str">
        <f t="shared" si="5"/>
        <v>Cloud Architect-Senior-US-Technology</v>
      </c>
      <c r="B371" s="435" t="s">
        <v>573</v>
      </c>
      <c r="C371" s="435" t="s">
        <v>243</v>
      </c>
      <c r="D371" s="435" t="s">
        <v>526</v>
      </c>
      <c r="E371" s="435" t="s">
        <v>186</v>
      </c>
      <c r="F371" s="436">
        <v>230</v>
      </c>
      <c r="G371" s="148" t="s">
        <v>259</v>
      </c>
    </row>
    <row r="372" spans="1:7" hidden="1">
      <c r="A372" s="148" t="str">
        <f t="shared" si="5"/>
        <v>Cloud Engineer-Intermediate-US-Technology</v>
      </c>
      <c r="B372" s="435" t="s">
        <v>579</v>
      </c>
      <c r="C372" s="435" t="s">
        <v>239</v>
      </c>
      <c r="D372" s="435" t="s">
        <v>524</v>
      </c>
      <c r="E372" s="435" t="s">
        <v>186</v>
      </c>
      <c r="F372" s="436">
        <v>126</v>
      </c>
      <c r="G372" s="148" t="s">
        <v>259</v>
      </c>
    </row>
    <row r="373" spans="1:7" hidden="1">
      <c r="A373" s="148" t="str">
        <f t="shared" si="5"/>
        <v>Cloud Engineer-Junior-US-Technology</v>
      </c>
      <c r="B373" s="435" t="s">
        <v>579</v>
      </c>
      <c r="C373" s="435" t="s">
        <v>240</v>
      </c>
      <c r="D373" s="435" t="s">
        <v>521</v>
      </c>
      <c r="E373" s="435" t="s">
        <v>186</v>
      </c>
      <c r="F373" s="436">
        <v>120</v>
      </c>
      <c r="G373" s="148" t="s">
        <v>259</v>
      </c>
    </row>
    <row r="374" spans="1:7" hidden="1">
      <c r="A374" s="148" t="str">
        <f t="shared" si="5"/>
        <v>Cloud Engineer-Lead-US-Technology</v>
      </c>
      <c r="B374" s="435" t="s">
        <v>579</v>
      </c>
      <c r="C374" s="435" t="s">
        <v>241</v>
      </c>
      <c r="D374" s="435" t="s">
        <v>528</v>
      </c>
      <c r="E374" s="435" t="s">
        <v>186</v>
      </c>
      <c r="F374" s="436">
        <v>166</v>
      </c>
      <c r="G374" s="148" t="s">
        <v>259</v>
      </c>
    </row>
    <row r="375" spans="1:7" hidden="1">
      <c r="A375" s="148" t="str">
        <f t="shared" si="5"/>
        <v>Cloud Engineer-Principal-US-Technology</v>
      </c>
      <c r="B375" s="435" t="s">
        <v>579</v>
      </c>
      <c r="C375" s="435" t="s">
        <v>242</v>
      </c>
      <c r="D375" s="435" t="s">
        <v>530</v>
      </c>
      <c r="E375" s="435" t="s">
        <v>186</v>
      </c>
      <c r="F375" s="436">
        <v>187</v>
      </c>
      <c r="G375" s="148" t="s">
        <v>259</v>
      </c>
    </row>
    <row r="376" spans="1:7" hidden="1">
      <c r="A376" s="148" t="str">
        <f t="shared" si="5"/>
        <v>Cloud Engineer-Senior-US-Technology</v>
      </c>
      <c r="B376" s="435" t="s">
        <v>579</v>
      </c>
      <c r="C376" s="435" t="s">
        <v>243</v>
      </c>
      <c r="D376" s="435" t="s">
        <v>526</v>
      </c>
      <c r="E376" s="435" t="s">
        <v>186</v>
      </c>
      <c r="F376" s="436">
        <v>157</v>
      </c>
      <c r="G376" s="148" t="s">
        <v>259</v>
      </c>
    </row>
    <row r="377" spans="1:7" hidden="1">
      <c r="A377" s="148" t="str">
        <f t="shared" si="5"/>
        <v>Container Engineer-Intermediate-US-Technology</v>
      </c>
      <c r="B377" s="435" t="s">
        <v>585</v>
      </c>
      <c r="C377" s="435" t="s">
        <v>239</v>
      </c>
      <c r="D377" s="435" t="s">
        <v>524</v>
      </c>
      <c r="E377" s="435" t="s">
        <v>186</v>
      </c>
      <c r="F377" s="436">
        <v>120</v>
      </c>
      <c r="G377" s="148" t="s">
        <v>259</v>
      </c>
    </row>
    <row r="378" spans="1:7" hidden="1">
      <c r="A378" s="148" t="str">
        <f t="shared" si="5"/>
        <v>Container Engineer-Junior-US-Technology</v>
      </c>
      <c r="B378" s="435" t="s">
        <v>585</v>
      </c>
      <c r="C378" s="435" t="s">
        <v>240</v>
      </c>
      <c r="D378" s="435" t="s">
        <v>521</v>
      </c>
      <c r="E378" s="435" t="s">
        <v>186</v>
      </c>
      <c r="F378" s="436">
        <v>108</v>
      </c>
      <c r="G378" s="148" t="s">
        <v>259</v>
      </c>
    </row>
    <row r="379" spans="1:7" hidden="1">
      <c r="A379" s="148" t="str">
        <f t="shared" si="5"/>
        <v>Container Engineer-Lead-US-Technology</v>
      </c>
      <c r="B379" s="435" t="s">
        <v>585</v>
      </c>
      <c r="C379" s="435" t="s">
        <v>241</v>
      </c>
      <c r="D379" s="435" t="s">
        <v>528</v>
      </c>
      <c r="E379" s="435" t="s">
        <v>186</v>
      </c>
      <c r="F379" s="436">
        <v>149</v>
      </c>
      <c r="G379" s="148" t="s">
        <v>259</v>
      </c>
    </row>
    <row r="380" spans="1:7" hidden="1">
      <c r="A380" s="148" t="str">
        <f t="shared" si="5"/>
        <v>Container Engineer-Principal-US-Technology</v>
      </c>
      <c r="B380" s="435" t="s">
        <v>585</v>
      </c>
      <c r="C380" s="435" t="s">
        <v>242</v>
      </c>
      <c r="D380" s="435" t="s">
        <v>530</v>
      </c>
      <c r="E380" s="435" t="s">
        <v>186</v>
      </c>
      <c r="F380" s="436">
        <v>189</v>
      </c>
      <c r="G380" s="148" t="s">
        <v>259</v>
      </c>
    </row>
    <row r="381" spans="1:7" hidden="1">
      <c r="A381" s="148" t="str">
        <f t="shared" si="5"/>
        <v>Container Engineer-Senior-US-Technology</v>
      </c>
      <c r="B381" s="435" t="s">
        <v>585</v>
      </c>
      <c r="C381" s="435" t="s">
        <v>243</v>
      </c>
      <c r="D381" s="435" t="s">
        <v>526</v>
      </c>
      <c r="E381" s="435" t="s">
        <v>186</v>
      </c>
      <c r="F381" s="436">
        <v>127</v>
      </c>
      <c r="G381" s="148" t="s">
        <v>259</v>
      </c>
    </row>
    <row r="382" spans="1:7" hidden="1">
      <c r="A382" s="148" t="str">
        <f t="shared" si="5"/>
        <v>Cyber Security -Analyst-US-Consulting</v>
      </c>
      <c r="B382" s="435" t="s">
        <v>477</v>
      </c>
      <c r="C382" s="435" t="s">
        <v>384</v>
      </c>
      <c r="D382" s="435" t="s">
        <v>591</v>
      </c>
      <c r="E382" s="435" t="s">
        <v>186</v>
      </c>
      <c r="F382" s="436">
        <v>230</v>
      </c>
      <c r="G382" s="148" t="s">
        <v>261</v>
      </c>
    </row>
    <row r="383" spans="1:7" hidden="1">
      <c r="A383" s="148" t="str">
        <f t="shared" si="5"/>
        <v>Cyber Security -Consultant-US-Consulting</v>
      </c>
      <c r="B383" s="435" t="s">
        <v>477</v>
      </c>
      <c r="C383" s="435" t="s">
        <v>368</v>
      </c>
      <c r="D383" s="435" t="s">
        <v>593</v>
      </c>
      <c r="E383" s="435" t="s">
        <v>186</v>
      </c>
      <c r="F383" s="436">
        <v>236</v>
      </c>
      <c r="G383" s="148" t="s">
        <v>261</v>
      </c>
    </row>
    <row r="384" spans="1:7" hidden="1">
      <c r="A384" s="148" t="str">
        <f t="shared" si="5"/>
        <v>Cyber Security -Manager-US-Consulting</v>
      </c>
      <c r="B384" s="435" t="s">
        <v>477</v>
      </c>
      <c r="C384" s="435" t="s">
        <v>376</v>
      </c>
      <c r="D384" s="435" t="s">
        <v>595</v>
      </c>
      <c r="E384" s="435" t="s">
        <v>186</v>
      </c>
      <c r="F384" s="436">
        <v>315</v>
      </c>
      <c r="G384" s="148" t="s">
        <v>261</v>
      </c>
    </row>
    <row r="385" spans="1:7">
      <c r="A385" s="148" t="str">
        <f t="shared" si="5"/>
        <v>Change Manager-Lead-US-Technology</v>
      </c>
      <c r="B385" s="435" t="s">
        <v>509</v>
      </c>
      <c r="C385" s="435" t="s">
        <v>241</v>
      </c>
      <c r="D385" s="435" t="s">
        <v>528</v>
      </c>
      <c r="E385" s="435" t="s">
        <v>186</v>
      </c>
      <c r="F385" s="436">
        <v>281</v>
      </c>
      <c r="G385" s="148" t="s">
        <v>259</v>
      </c>
    </row>
    <row r="386" spans="1:7" hidden="1">
      <c r="A386" s="148" t="str">
        <f t="shared" ref="A386:A449" si="6">_xlfn.CONCAT(B386,"-",C386,"-",E386,"-",G386)</f>
        <v>Cyber Security -Principal-US-Consulting</v>
      </c>
      <c r="B386" s="435" t="s">
        <v>477</v>
      </c>
      <c r="C386" s="435" t="s">
        <v>242</v>
      </c>
      <c r="D386" s="435" t="s">
        <v>599</v>
      </c>
      <c r="E386" s="435" t="s">
        <v>186</v>
      </c>
      <c r="F386" s="436">
        <v>437</v>
      </c>
      <c r="G386" s="148" t="s">
        <v>261</v>
      </c>
    </row>
    <row r="387" spans="1:7" hidden="1">
      <c r="A387" s="148" t="str">
        <f t="shared" si="6"/>
        <v>Cyber Security -Senior Consultant-US-Consulting</v>
      </c>
      <c r="B387" s="435" t="s">
        <v>477</v>
      </c>
      <c r="C387" s="435" t="s">
        <v>364</v>
      </c>
      <c r="D387" s="435" t="s">
        <v>601</v>
      </c>
      <c r="E387" s="435" t="s">
        <v>186</v>
      </c>
      <c r="F387" s="436">
        <v>264</v>
      </c>
      <c r="G387" s="148" t="s">
        <v>261</v>
      </c>
    </row>
    <row r="388" spans="1:7" hidden="1">
      <c r="A388" s="148" t="str">
        <f t="shared" si="6"/>
        <v>Cyber Security -Senior Manager-US-Consulting</v>
      </c>
      <c r="B388" s="435" t="s">
        <v>477</v>
      </c>
      <c r="C388" s="435" t="s">
        <v>361</v>
      </c>
      <c r="D388" s="435" t="s">
        <v>603</v>
      </c>
      <c r="E388" s="435" t="s">
        <v>186</v>
      </c>
      <c r="F388" s="436">
        <v>367</v>
      </c>
      <c r="G388" s="148" t="s">
        <v>261</v>
      </c>
    </row>
    <row r="389" spans="1:7" hidden="1">
      <c r="A389" s="148" t="str">
        <f t="shared" si="6"/>
        <v>Cybersecurity Analyst-Intermediate-US-Technology</v>
      </c>
      <c r="B389" s="435" t="s">
        <v>605</v>
      </c>
      <c r="C389" s="435" t="s">
        <v>239</v>
      </c>
      <c r="D389" s="435" t="s">
        <v>524</v>
      </c>
      <c r="E389" s="435" t="s">
        <v>186</v>
      </c>
      <c r="F389" s="436">
        <v>132</v>
      </c>
      <c r="G389" s="148" t="s">
        <v>259</v>
      </c>
    </row>
    <row r="390" spans="1:7" hidden="1">
      <c r="A390" s="148" t="str">
        <f t="shared" si="6"/>
        <v>Cybersecurity Analyst-Junior-US-Technology</v>
      </c>
      <c r="B390" s="435" t="s">
        <v>605</v>
      </c>
      <c r="C390" s="435" t="s">
        <v>240</v>
      </c>
      <c r="D390" s="435" t="s">
        <v>521</v>
      </c>
      <c r="E390" s="435" t="s">
        <v>186</v>
      </c>
      <c r="F390" s="436">
        <v>120</v>
      </c>
      <c r="G390" s="148" t="s">
        <v>259</v>
      </c>
    </row>
    <row r="391" spans="1:7" hidden="1">
      <c r="A391" s="148" t="str">
        <f t="shared" si="6"/>
        <v>Cybersecurity Analyst-Lead-US-Technology</v>
      </c>
      <c r="B391" s="435" t="s">
        <v>605</v>
      </c>
      <c r="C391" s="435" t="s">
        <v>241</v>
      </c>
      <c r="D391" s="435" t="s">
        <v>528</v>
      </c>
      <c r="E391" s="435" t="s">
        <v>186</v>
      </c>
      <c r="F391" s="436">
        <v>180</v>
      </c>
      <c r="G391" s="148" t="s">
        <v>259</v>
      </c>
    </row>
    <row r="392" spans="1:7" hidden="1">
      <c r="A392" s="148" t="str">
        <f t="shared" si="6"/>
        <v>Cybersecurity Analyst-Principal-US-Technology</v>
      </c>
      <c r="B392" s="435" t="s">
        <v>605</v>
      </c>
      <c r="C392" s="435" t="s">
        <v>242</v>
      </c>
      <c r="D392" s="435" t="s">
        <v>530</v>
      </c>
      <c r="E392" s="435" t="s">
        <v>186</v>
      </c>
      <c r="F392" s="436">
        <v>189</v>
      </c>
      <c r="G392" s="148" t="s">
        <v>259</v>
      </c>
    </row>
    <row r="393" spans="1:7" hidden="1">
      <c r="A393" s="148" t="str">
        <f t="shared" si="6"/>
        <v>Cybersecurity Analyst-Senior-US-Technology</v>
      </c>
      <c r="B393" s="435" t="s">
        <v>605</v>
      </c>
      <c r="C393" s="435" t="s">
        <v>243</v>
      </c>
      <c r="D393" s="435" t="s">
        <v>526</v>
      </c>
      <c r="E393" s="435" t="s">
        <v>186</v>
      </c>
      <c r="F393" s="436">
        <v>166</v>
      </c>
      <c r="G393" s="148" t="s">
        <v>259</v>
      </c>
    </row>
    <row r="394" spans="1:7" hidden="1">
      <c r="A394" s="148" t="str">
        <f t="shared" si="6"/>
        <v>Cybersecurity Assurance Analyst-Intermediate-US-Technology</v>
      </c>
      <c r="B394" s="435" t="s">
        <v>611</v>
      </c>
      <c r="C394" s="435" t="s">
        <v>239</v>
      </c>
      <c r="D394" s="435" t="s">
        <v>524</v>
      </c>
      <c r="E394" s="435" t="s">
        <v>186</v>
      </c>
      <c r="F394" s="436">
        <v>132</v>
      </c>
      <c r="G394" s="148" t="s">
        <v>259</v>
      </c>
    </row>
    <row r="395" spans="1:7" hidden="1">
      <c r="A395" s="148" t="str">
        <f t="shared" si="6"/>
        <v>Cybersecurity Assurance Analyst-Junior-US-Technology</v>
      </c>
      <c r="B395" s="435" t="s">
        <v>611</v>
      </c>
      <c r="C395" s="435" t="s">
        <v>240</v>
      </c>
      <c r="D395" s="435" t="s">
        <v>521</v>
      </c>
      <c r="E395" s="435" t="s">
        <v>186</v>
      </c>
      <c r="F395" s="436">
        <v>120</v>
      </c>
      <c r="G395" s="148" t="s">
        <v>259</v>
      </c>
    </row>
    <row r="396" spans="1:7" hidden="1">
      <c r="A396" s="148" t="str">
        <f t="shared" si="6"/>
        <v>Cybersecurity Assurance Analyst-Lead-US-Technology</v>
      </c>
      <c r="B396" s="435" t="s">
        <v>611</v>
      </c>
      <c r="C396" s="435" t="s">
        <v>241</v>
      </c>
      <c r="D396" s="435" t="s">
        <v>528</v>
      </c>
      <c r="E396" s="435" t="s">
        <v>186</v>
      </c>
      <c r="F396" s="436">
        <v>180</v>
      </c>
      <c r="G396" s="148" t="s">
        <v>259</v>
      </c>
    </row>
    <row r="397" spans="1:7" hidden="1">
      <c r="A397" s="148" t="str">
        <f t="shared" si="6"/>
        <v>Cybersecurity Assurance Analyst-Principal-US-Technology</v>
      </c>
      <c r="B397" s="435" t="s">
        <v>611</v>
      </c>
      <c r="C397" s="435" t="s">
        <v>242</v>
      </c>
      <c r="D397" s="435" t="s">
        <v>530</v>
      </c>
      <c r="E397" s="435" t="s">
        <v>186</v>
      </c>
      <c r="F397" s="436">
        <v>189</v>
      </c>
      <c r="G397" s="148" t="s">
        <v>259</v>
      </c>
    </row>
    <row r="398" spans="1:7" hidden="1">
      <c r="A398" s="148" t="str">
        <f t="shared" si="6"/>
        <v>Cybersecurity Assurance Analyst-Senior-US-Technology</v>
      </c>
      <c r="B398" s="435" t="s">
        <v>611</v>
      </c>
      <c r="C398" s="435" t="s">
        <v>243</v>
      </c>
      <c r="D398" s="435" t="s">
        <v>526</v>
      </c>
      <c r="E398" s="435" t="s">
        <v>186</v>
      </c>
      <c r="F398" s="436">
        <v>166</v>
      </c>
      <c r="G398" s="148" t="s">
        <v>259</v>
      </c>
    </row>
    <row r="399" spans="1:7" hidden="1">
      <c r="A399" s="148" t="str">
        <f t="shared" si="6"/>
        <v>Cybersecurity Consultant-Intermediate-US-Technology</v>
      </c>
      <c r="B399" s="435" t="s">
        <v>484</v>
      </c>
      <c r="C399" s="435" t="s">
        <v>239</v>
      </c>
      <c r="D399" s="435" t="s">
        <v>524</v>
      </c>
      <c r="E399" s="435" t="s">
        <v>186</v>
      </c>
      <c r="F399" s="436">
        <v>149</v>
      </c>
      <c r="G399" s="148" t="s">
        <v>259</v>
      </c>
    </row>
    <row r="400" spans="1:7" hidden="1">
      <c r="A400" s="148" t="str">
        <f t="shared" si="6"/>
        <v>Cybersecurity Consultant-Junior-US-Technology</v>
      </c>
      <c r="B400" s="435" t="s">
        <v>484</v>
      </c>
      <c r="C400" s="435" t="s">
        <v>240</v>
      </c>
      <c r="D400" s="435" t="s">
        <v>521</v>
      </c>
      <c r="E400" s="435" t="s">
        <v>186</v>
      </c>
      <c r="F400" s="436">
        <v>132</v>
      </c>
      <c r="G400" s="148" t="s">
        <v>259</v>
      </c>
    </row>
    <row r="401" spans="1:7" hidden="1">
      <c r="A401" s="148" t="str">
        <f t="shared" si="6"/>
        <v>Cybersecurity Consultant-Lead-US-Technology</v>
      </c>
      <c r="B401" s="435" t="s">
        <v>484</v>
      </c>
      <c r="C401" s="435" t="s">
        <v>241</v>
      </c>
      <c r="D401" s="435" t="s">
        <v>528</v>
      </c>
      <c r="E401" s="435" t="s">
        <v>186</v>
      </c>
      <c r="F401" s="436">
        <v>218</v>
      </c>
      <c r="G401" s="148" t="s">
        <v>259</v>
      </c>
    </row>
    <row r="402" spans="1:7" hidden="1">
      <c r="A402" s="148" t="str">
        <f t="shared" si="6"/>
        <v>Cybersecurity Consultant-Principal-US-Technology</v>
      </c>
      <c r="B402" s="435" t="s">
        <v>484</v>
      </c>
      <c r="C402" s="435" t="s">
        <v>242</v>
      </c>
      <c r="D402" s="435" t="s">
        <v>530</v>
      </c>
      <c r="E402" s="435" t="s">
        <v>186</v>
      </c>
      <c r="F402" s="436">
        <v>264</v>
      </c>
      <c r="G402" s="148" t="s">
        <v>259</v>
      </c>
    </row>
    <row r="403" spans="1:7" hidden="1">
      <c r="A403" s="148" t="str">
        <f t="shared" si="6"/>
        <v>Cybersecurity Consultant-Senior-US-Technology</v>
      </c>
      <c r="B403" s="435" t="s">
        <v>484</v>
      </c>
      <c r="C403" s="435" t="s">
        <v>243</v>
      </c>
      <c r="D403" s="435" t="s">
        <v>526</v>
      </c>
      <c r="E403" s="435" t="s">
        <v>186</v>
      </c>
      <c r="F403" s="436">
        <v>189</v>
      </c>
      <c r="G403" s="148" t="s">
        <v>259</v>
      </c>
    </row>
    <row r="404" spans="1:7" hidden="1">
      <c r="A404" s="148" t="str">
        <f t="shared" si="6"/>
        <v>Data Analyst-Intermediate-US-Technology</v>
      </c>
      <c r="B404" s="435" t="s">
        <v>622</v>
      </c>
      <c r="C404" s="435" t="s">
        <v>239</v>
      </c>
      <c r="D404" s="435" t="s">
        <v>524</v>
      </c>
      <c r="E404" s="435" t="s">
        <v>186</v>
      </c>
      <c r="F404" s="436">
        <v>126</v>
      </c>
      <c r="G404" s="148" t="s">
        <v>259</v>
      </c>
    </row>
    <row r="405" spans="1:7" hidden="1">
      <c r="A405" s="148" t="str">
        <f t="shared" si="6"/>
        <v>Data Analyst-Junior-US-Technology</v>
      </c>
      <c r="B405" s="435" t="s">
        <v>622</v>
      </c>
      <c r="C405" s="435" t="s">
        <v>240</v>
      </c>
      <c r="D405" s="435" t="s">
        <v>521</v>
      </c>
      <c r="E405" s="435" t="s">
        <v>186</v>
      </c>
      <c r="F405" s="436">
        <v>120</v>
      </c>
      <c r="G405" s="148" t="s">
        <v>259</v>
      </c>
    </row>
    <row r="406" spans="1:7" hidden="1">
      <c r="A406" s="148" t="str">
        <f t="shared" si="6"/>
        <v>Data Analyst-Lead-US-Technology</v>
      </c>
      <c r="B406" s="435" t="s">
        <v>622</v>
      </c>
      <c r="C406" s="435" t="s">
        <v>241</v>
      </c>
      <c r="D406" s="435" t="s">
        <v>528</v>
      </c>
      <c r="E406" s="435" t="s">
        <v>186</v>
      </c>
      <c r="F406" s="436">
        <v>172</v>
      </c>
      <c r="G406" s="148" t="s">
        <v>259</v>
      </c>
    </row>
    <row r="407" spans="1:7" hidden="1">
      <c r="A407" s="148" t="str">
        <f t="shared" si="6"/>
        <v>Data Analyst-Principal-US-Technology</v>
      </c>
      <c r="B407" s="435" t="s">
        <v>622</v>
      </c>
      <c r="C407" s="435" t="s">
        <v>242</v>
      </c>
      <c r="D407" s="435" t="s">
        <v>530</v>
      </c>
      <c r="E407" s="435" t="s">
        <v>186</v>
      </c>
      <c r="F407" s="436">
        <v>189</v>
      </c>
      <c r="G407" s="148" t="s">
        <v>259</v>
      </c>
    </row>
    <row r="408" spans="1:7" hidden="1">
      <c r="A408" s="148" t="str">
        <f t="shared" si="6"/>
        <v>Data Analyst-Senior-US-Technology</v>
      </c>
      <c r="B408" s="435" t="s">
        <v>622</v>
      </c>
      <c r="C408" s="435" t="s">
        <v>243</v>
      </c>
      <c r="D408" s="435" t="s">
        <v>526</v>
      </c>
      <c r="E408" s="435" t="s">
        <v>186</v>
      </c>
      <c r="F408" s="436">
        <v>161</v>
      </c>
      <c r="G408" s="148" t="s">
        <v>259</v>
      </c>
    </row>
    <row r="409" spans="1:7" hidden="1">
      <c r="A409" s="148" t="str">
        <f t="shared" si="6"/>
        <v>Data Architect-Intermediate-US-Technology</v>
      </c>
      <c r="B409" s="435" t="s">
        <v>628</v>
      </c>
      <c r="C409" s="435" t="s">
        <v>239</v>
      </c>
      <c r="D409" s="435" t="s">
        <v>524</v>
      </c>
      <c r="E409" s="435" t="s">
        <v>186</v>
      </c>
      <c r="F409" s="436">
        <v>184</v>
      </c>
      <c r="G409" s="148" t="s">
        <v>259</v>
      </c>
    </row>
    <row r="410" spans="1:7" hidden="1">
      <c r="A410" s="148" t="str">
        <f t="shared" si="6"/>
        <v>Data Architect-Junior-US-Technology</v>
      </c>
      <c r="B410" s="435" t="s">
        <v>628</v>
      </c>
      <c r="C410" s="435" t="s">
        <v>240</v>
      </c>
      <c r="D410" s="435" t="s">
        <v>521</v>
      </c>
      <c r="E410" s="435" t="s">
        <v>186</v>
      </c>
      <c r="F410" s="436">
        <v>166</v>
      </c>
      <c r="G410" s="148" t="s">
        <v>259</v>
      </c>
    </row>
    <row r="411" spans="1:7" hidden="1">
      <c r="A411" s="148" t="str">
        <f t="shared" si="6"/>
        <v>Data Architect-Lead-US-Technology</v>
      </c>
      <c r="B411" s="435" t="s">
        <v>628</v>
      </c>
      <c r="C411" s="435" t="s">
        <v>241</v>
      </c>
      <c r="D411" s="435" t="s">
        <v>528</v>
      </c>
      <c r="E411" s="435" t="s">
        <v>186</v>
      </c>
      <c r="F411" s="436">
        <v>201</v>
      </c>
      <c r="G411" s="148" t="s">
        <v>259</v>
      </c>
    </row>
    <row r="412" spans="1:7" hidden="1">
      <c r="A412" s="148" t="str">
        <f t="shared" si="6"/>
        <v>Data Architect-Principal-US-Technology</v>
      </c>
      <c r="B412" s="435" t="s">
        <v>628</v>
      </c>
      <c r="C412" s="435" t="s">
        <v>242</v>
      </c>
      <c r="D412" s="435" t="s">
        <v>530</v>
      </c>
      <c r="E412" s="435" t="s">
        <v>186</v>
      </c>
      <c r="F412" s="436">
        <v>223</v>
      </c>
      <c r="G412" s="148" t="s">
        <v>259</v>
      </c>
    </row>
    <row r="413" spans="1:7" hidden="1">
      <c r="A413" s="148" t="str">
        <f t="shared" si="6"/>
        <v>Data Architect-Senior-US-Technology</v>
      </c>
      <c r="B413" s="435" t="s">
        <v>628</v>
      </c>
      <c r="C413" s="435" t="s">
        <v>243</v>
      </c>
      <c r="D413" s="435" t="s">
        <v>526</v>
      </c>
      <c r="E413" s="435" t="s">
        <v>186</v>
      </c>
      <c r="F413" s="436">
        <v>192</v>
      </c>
      <c r="G413" s="148" t="s">
        <v>259</v>
      </c>
    </row>
    <row r="414" spans="1:7" hidden="1">
      <c r="A414" s="148" t="str">
        <f t="shared" si="6"/>
        <v>Data Engineer-Intermediate-US-Technology</v>
      </c>
      <c r="B414" s="435" t="s">
        <v>634</v>
      </c>
      <c r="C414" s="435" t="s">
        <v>239</v>
      </c>
      <c r="D414" s="435" t="s">
        <v>524</v>
      </c>
      <c r="E414" s="435" t="s">
        <v>186</v>
      </c>
      <c r="F414" s="436">
        <v>124</v>
      </c>
      <c r="G414" s="148" t="s">
        <v>259</v>
      </c>
    </row>
    <row r="415" spans="1:7" hidden="1">
      <c r="A415" s="148" t="str">
        <f t="shared" si="6"/>
        <v>Data Engineer-Junior-US-Technology</v>
      </c>
      <c r="B415" s="435" t="s">
        <v>634</v>
      </c>
      <c r="C415" s="435" t="s">
        <v>240</v>
      </c>
      <c r="D415" s="435" t="s">
        <v>521</v>
      </c>
      <c r="E415" s="435" t="s">
        <v>186</v>
      </c>
      <c r="F415" s="436">
        <v>108</v>
      </c>
      <c r="G415" s="148" t="s">
        <v>259</v>
      </c>
    </row>
    <row r="416" spans="1:7" hidden="1">
      <c r="A416" s="148" t="str">
        <f t="shared" si="6"/>
        <v>Data Engineer-Lead-US-Technology</v>
      </c>
      <c r="B416" s="435" t="s">
        <v>634</v>
      </c>
      <c r="C416" s="435" t="s">
        <v>241</v>
      </c>
      <c r="D416" s="435" t="s">
        <v>528</v>
      </c>
      <c r="E416" s="435" t="s">
        <v>186</v>
      </c>
      <c r="F416" s="436">
        <v>157</v>
      </c>
      <c r="G416" s="148" t="s">
        <v>259</v>
      </c>
    </row>
    <row r="417" spans="1:7" hidden="1">
      <c r="A417" s="148" t="str">
        <f t="shared" si="6"/>
        <v>Data Engineer-Principal-US-Technology</v>
      </c>
      <c r="B417" s="435" t="s">
        <v>634</v>
      </c>
      <c r="C417" s="435" t="s">
        <v>242</v>
      </c>
      <c r="D417" s="435" t="s">
        <v>530</v>
      </c>
      <c r="E417" s="435" t="s">
        <v>186</v>
      </c>
      <c r="F417" s="436">
        <v>166</v>
      </c>
      <c r="G417" s="148" t="s">
        <v>259</v>
      </c>
    </row>
    <row r="418" spans="1:7" hidden="1">
      <c r="A418" s="148" t="str">
        <f t="shared" si="6"/>
        <v>Data Engineer-Senior-US-Technology</v>
      </c>
      <c r="B418" s="435" t="s">
        <v>634</v>
      </c>
      <c r="C418" s="435" t="s">
        <v>243</v>
      </c>
      <c r="D418" s="435" t="s">
        <v>526</v>
      </c>
      <c r="E418" s="435" t="s">
        <v>186</v>
      </c>
      <c r="F418" s="436">
        <v>148</v>
      </c>
      <c r="G418" s="148" t="s">
        <v>259</v>
      </c>
    </row>
    <row r="419" spans="1:7" hidden="1">
      <c r="A419" s="148" t="str">
        <f t="shared" si="6"/>
        <v>Data Integration Architect-Intermediate-US-Technology</v>
      </c>
      <c r="B419" s="435" t="s">
        <v>640</v>
      </c>
      <c r="C419" s="435" t="s">
        <v>239</v>
      </c>
      <c r="D419" s="435" t="s">
        <v>524</v>
      </c>
      <c r="E419" s="435" t="s">
        <v>186</v>
      </c>
      <c r="F419" s="436">
        <v>172</v>
      </c>
      <c r="G419" s="148" t="s">
        <v>259</v>
      </c>
    </row>
    <row r="420" spans="1:7" hidden="1">
      <c r="A420" s="148" t="str">
        <f t="shared" si="6"/>
        <v>Data Integration Architect-Junior-US-Technology</v>
      </c>
      <c r="B420" s="435" t="s">
        <v>640</v>
      </c>
      <c r="C420" s="435" t="s">
        <v>240</v>
      </c>
      <c r="D420" s="435" t="s">
        <v>521</v>
      </c>
      <c r="E420" s="435" t="s">
        <v>186</v>
      </c>
      <c r="F420" s="436">
        <v>166</v>
      </c>
      <c r="G420" s="148" t="s">
        <v>259</v>
      </c>
    </row>
    <row r="421" spans="1:7" hidden="1">
      <c r="A421" s="148" t="str">
        <f t="shared" si="6"/>
        <v>Data Integration Architect-Lead-US-Technology</v>
      </c>
      <c r="B421" s="435" t="s">
        <v>640</v>
      </c>
      <c r="C421" s="435" t="s">
        <v>241</v>
      </c>
      <c r="D421" s="435" t="s">
        <v>528</v>
      </c>
      <c r="E421" s="435" t="s">
        <v>186</v>
      </c>
      <c r="F421" s="436">
        <v>207</v>
      </c>
      <c r="G421" s="148" t="s">
        <v>259</v>
      </c>
    </row>
    <row r="422" spans="1:7" hidden="1">
      <c r="A422" s="148" t="str">
        <f t="shared" si="6"/>
        <v>Data Integration Architect-Principal-US-Technology</v>
      </c>
      <c r="B422" s="435" t="s">
        <v>640</v>
      </c>
      <c r="C422" s="435" t="s">
        <v>242</v>
      </c>
      <c r="D422" s="435" t="s">
        <v>530</v>
      </c>
      <c r="E422" s="435" t="s">
        <v>186</v>
      </c>
      <c r="F422" s="436">
        <v>230</v>
      </c>
      <c r="G422" s="148" t="s">
        <v>259</v>
      </c>
    </row>
    <row r="423" spans="1:7" hidden="1">
      <c r="A423" s="148" t="str">
        <f t="shared" si="6"/>
        <v>Data Integration Architect-Senior-US-Technology</v>
      </c>
      <c r="B423" s="435" t="s">
        <v>640</v>
      </c>
      <c r="C423" s="435" t="s">
        <v>243</v>
      </c>
      <c r="D423" s="435" t="s">
        <v>526</v>
      </c>
      <c r="E423" s="435" t="s">
        <v>186</v>
      </c>
      <c r="F423" s="436">
        <v>195</v>
      </c>
      <c r="G423" s="148" t="s">
        <v>259</v>
      </c>
    </row>
    <row r="424" spans="1:7" hidden="1">
      <c r="A424" s="148" t="str">
        <f t="shared" si="6"/>
        <v>Data Science Developer-Intermediate-US-Technology</v>
      </c>
      <c r="B424" s="435" t="s">
        <v>646</v>
      </c>
      <c r="C424" s="435" t="s">
        <v>239</v>
      </c>
      <c r="D424" s="435" t="s">
        <v>524</v>
      </c>
      <c r="E424" s="435" t="s">
        <v>186</v>
      </c>
      <c r="F424" s="436">
        <v>147</v>
      </c>
      <c r="G424" s="148" t="s">
        <v>259</v>
      </c>
    </row>
    <row r="425" spans="1:7" hidden="1">
      <c r="A425" s="148" t="str">
        <f t="shared" si="6"/>
        <v>Data Science Developer-Junior-US-Technology</v>
      </c>
      <c r="B425" s="435" t="s">
        <v>646</v>
      </c>
      <c r="C425" s="435" t="s">
        <v>240</v>
      </c>
      <c r="D425" s="435" t="s">
        <v>521</v>
      </c>
      <c r="E425" s="435" t="s">
        <v>186</v>
      </c>
      <c r="F425" s="436">
        <v>124</v>
      </c>
      <c r="G425" s="148" t="s">
        <v>259</v>
      </c>
    </row>
    <row r="426" spans="1:7" hidden="1">
      <c r="A426" s="148" t="str">
        <f t="shared" si="6"/>
        <v>Data Science Developer-Lead-US-Technology</v>
      </c>
      <c r="B426" s="435" t="s">
        <v>646</v>
      </c>
      <c r="C426" s="435" t="s">
        <v>241</v>
      </c>
      <c r="D426" s="435" t="s">
        <v>528</v>
      </c>
      <c r="E426" s="435" t="s">
        <v>186</v>
      </c>
      <c r="F426" s="436">
        <v>177</v>
      </c>
      <c r="G426" s="148" t="s">
        <v>259</v>
      </c>
    </row>
    <row r="427" spans="1:7" hidden="1">
      <c r="A427" s="148" t="str">
        <f t="shared" si="6"/>
        <v>Data Science Developer-Principal-US-Technology</v>
      </c>
      <c r="B427" s="435" t="s">
        <v>646</v>
      </c>
      <c r="C427" s="435" t="s">
        <v>242</v>
      </c>
      <c r="D427" s="435" t="s">
        <v>530</v>
      </c>
      <c r="E427" s="435" t="s">
        <v>186</v>
      </c>
      <c r="F427" s="436">
        <v>189</v>
      </c>
      <c r="G427" s="148" t="s">
        <v>259</v>
      </c>
    </row>
    <row r="428" spans="1:7" hidden="1">
      <c r="A428" s="148" t="str">
        <f t="shared" si="6"/>
        <v>Data Science Developer-Senior-US-Technology</v>
      </c>
      <c r="B428" s="435" t="s">
        <v>646</v>
      </c>
      <c r="C428" s="435" t="s">
        <v>243</v>
      </c>
      <c r="D428" s="435" t="s">
        <v>526</v>
      </c>
      <c r="E428" s="435" t="s">
        <v>186</v>
      </c>
      <c r="F428" s="436">
        <v>170</v>
      </c>
      <c r="G428" s="148" t="s">
        <v>259</v>
      </c>
    </row>
    <row r="429" spans="1:7" hidden="1">
      <c r="A429" s="148" t="str">
        <f t="shared" si="6"/>
        <v>Data Visualization Engineer-Intermediate-US-Technology</v>
      </c>
      <c r="B429" s="435" t="s">
        <v>652</v>
      </c>
      <c r="C429" s="435" t="s">
        <v>239</v>
      </c>
      <c r="D429" s="435" t="s">
        <v>524</v>
      </c>
      <c r="E429" s="435" t="s">
        <v>186</v>
      </c>
      <c r="F429" s="436">
        <v>126</v>
      </c>
      <c r="G429" s="148" t="s">
        <v>259</v>
      </c>
    </row>
    <row r="430" spans="1:7" hidden="1">
      <c r="A430" s="148" t="str">
        <f t="shared" si="6"/>
        <v>Data Visualization Engineer-Junior-US-Technology</v>
      </c>
      <c r="B430" s="435" t="s">
        <v>652</v>
      </c>
      <c r="C430" s="435" t="s">
        <v>240</v>
      </c>
      <c r="D430" s="435" t="s">
        <v>521</v>
      </c>
      <c r="E430" s="435" t="s">
        <v>186</v>
      </c>
      <c r="F430" s="436">
        <v>122</v>
      </c>
      <c r="G430" s="148" t="s">
        <v>259</v>
      </c>
    </row>
    <row r="431" spans="1:7" hidden="1">
      <c r="A431" s="148" t="str">
        <f t="shared" si="6"/>
        <v>Data Visualization Engineer-Lead-US-Technology</v>
      </c>
      <c r="B431" s="435" t="s">
        <v>652</v>
      </c>
      <c r="C431" s="435" t="s">
        <v>241</v>
      </c>
      <c r="D431" s="435" t="s">
        <v>528</v>
      </c>
      <c r="E431" s="435" t="s">
        <v>186</v>
      </c>
      <c r="F431" s="436">
        <v>170</v>
      </c>
      <c r="G431" s="148" t="s">
        <v>259</v>
      </c>
    </row>
    <row r="432" spans="1:7" hidden="1">
      <c r="A432" s="148" t="str">
        <f t="shared" si="6"/>
        <v>Data Visualization Engineer-Principal-US-Technology</v>
      </c>
      <c r="B432" s="435" t="s">
        <v>652</v>
      </c>
      <c r="C432" s="435" t="s">
        <v>242</v>
      </c>
      <c r="D432" s="435" t="s">
        <v>530</v>
      </c>
      <c r="E432" s="435" t="s">
        <v>186</v>
      </c>
      <c r="F432" s="436">
        <v>187</v>
      </c>
      <c r="G432" s="148" t="s">
        <v>259</v>
      </c>
    </row>
    <row r="433" spans="1:7" hidden="1">
      <c r="A433" s="148" t="str">
        <f t="shared" si="6"/>
        <v>Data Visualization Engineer-Senior-US-Technology</v>
      </c>
      <c r="B433" s="435" t="s">
        <v>652</v>
      </c>
      <c r="C433" s="435" t="s">
        <v>243</v>
      </c>
      <c r="D433" s="435" t="s">
        <v>526</v>
      </c>
      <c r="E433" s="435" t="s">
        <v>186</v>
      </c>
      <c r="F433" s="436">
        <v>155</v>
      </c>
      <c r="G433" s="148" t="s">
        <v>259</v>
      </c>
    </row>
    <row r="434" spans="1:7" hidden="1">
      <c r="A434" s="148" t="str">
        <f t="shared" si="6"/>
        <v>Data Warehouse / Business Intelligence Engineer-Intermediate-US-Technology</v>
      </c>
      <c r="B434" s="435" t="s">
        <v>658</v>
      </c>
      <c r="C434" s="435" t="s">
        <v>239</v>
      </c>
      <c r="D434" s="435" t="s">
        <v>524</v>
      </c>
      <c r="E434" s="435" t="s">
        <v>186</v>
      </c>
      <c r="F434" s="436">
        <v>120</v>
      </c>
      <c r="G434" s="148" t="s">
        <v>259</v>
      </c>
    </row>
    <row r="435" spans="1:7" hidden="1">
      <c r="A435" s="148" t="str">
        <f t="shared" si="6"/>
        <v>Data Warehouse / Business Intelligence Engineer-Junior-US-Technology</v>
      </c>
      <c r="B435" s="435" t="s">
        <v>658</v>
      </c>
      <c r="C435" s="435" t="s">
        <v>240</v>
      </c>
      <c r="D435" s="435" t="s">
        <v>521</v>
      </c>
      <c r="E435" s="435" t="s">
        <v>186</v>
      </c>
      <c r="F435" s="436">
        <v>108</v>
      </c>
      <c r="G435" s="148" t="s">
        <v>259</v>
      </c>
    </row>
    <row r="436" spans="1:7" hidden="1">
      <c r="A436" s="148" t="str">
        <f t="shared" si="6"/>
        <v>Data Warehouse / Business Intelligence Engineer-Lead-US-Technology</v>
      </c>
      <c r="B436" s="435" t="s">
        <v>658</v>
      </c>
      <c r="C436" s="435" t="s">
        <v>241</v>
      </c>
      <c r="D436" s="435" t="s">
        <v>528</v>
      </c>
      <c r="E436" s="435" t="s">
        <v>186</v>
      </c>
      <c r="F436" s="436">
        <v>146</v>
      </c>
      <c r="G436" s="148" t="s">
        <v>259</v>
      </c>
    </row>
    <row r="437" spans="1:7" hidden="1">
      <c r="A437" s="148" t="str">
        <f t="shared" si="6"/>
        <v>Data Warehouse / Business Intelligence Engineer-Principal-US-Technology</v>
      </c>
      <c r="B437" s="435" t="s">
        <v>658</v>
      </c>
      <c r="C437" s="435" t="s">
        <v>242</v>
      </c>
      <c r="D437" s="435" t="s">
        <v>530</v>
      </c>
      <c r="E437" s="435" t="s">
        <v>186</v>
      </c>
      <c r="F437" s="436">
        <v>158</v>
      </c>
      <c r="G437" s="148" t="s">
        <v>259</v>
      </c>
    </row>
    <row r="438" spans="1:7" hidden="1">
      <c r="A438" s="148" t="str">
        <f t="shared" si="6"/>
        <v>Data Warehouse / Business Intelligence Engineer-Senior-US-Technology</v>
      </c>
      <c r="B438" s="435" t="s">
        <v>658</v>
      </c>
      <c r="C438" s="435" t="s">
        <v>243</v>
      </c>
      <c r="D438" s="435" t="s">
        <v>526</v>
      </c>
      <c r="E438" s="435" t="s">
        <v>186</v>
      </c>
      <c r="F438" s="436">
        <v>142</v>
      </c>
      <c r="G438" s="148" t="s">
        <v>259</v>
      </c>
    </row>
    <row r="439" spans="1:7" hidden="1">
      <c r="A439" s="148" t="str">
        <f t="shared" si="6"/>
        <v>Database Administrator-Intermediate-US-Technology</v>
      </c>
      <c r="B439" s="435" t="s">
        <v>664</v>
      </c>
      <c r="C439" s="435" t="s">
        <v>239</v>
      </c>
      <c r="D439" s="435" t="s">
        <v>524</v>
      </c>
      <c r="E439" s="435" t="s">
        <v>186</v>
      </c>
      <c r="F439" s="436">
        <v>121</v>
      </c>
      <c r="G439" s="148" t="s">
        <v>259</v>
      </c>
    </row>
    <row r="440" spans="1:7" hidden="1">
      <c r="A440" s="148" t="str">
        <f t="shared" si="6"/>
        <v>Database Administrator-Junior-US-Technology</v>
      </c>
      <c r="B440" s="435" t="s">
        <v>664</v>
      </c>
      <c r="C440" s="435" t="s">
        <v>240</v>
      </c>
      <c r="D440" s="435" t="s">
        <v>521</v>
      </c>
      <c r="E440" s="435" t="s">
        <v>186</v>
      </c>
      <c r="F440" s="436">
        <v>106</v>
      </c>
      <c r="G440" s="148" t="s">
        <v>259</v>
      </c>
    </row>
    <row r="441" spans="1:7" hidden="1">
      <c r="A441" s="148" t="str">
        <f t="shared" si="6"/>
        <v>Database Administrator-Lead-US-Technology</v>
      </c>
      <c r="B441" s="435" t="s">
        <v>664</v>
      </c>
      <c r="C441" s="435" t="s">
        <v>241</v>
      </c>
      <c r="D441" s="435" t="s">
        <v>528</v>
      </c>
      <c r="E441" s="435" t="s">
        <v>186</v>
      </c>
      <c r="F441" s="436">
        <v>145</v>
      </c>
      <c r="G441" s="148" t="s">
        <v>259</v>
      </c>
    </row>
    <row r="442" spans="1:7" hidden="1">
      <c r="A442" s="148" t="str">
        <f t="shared" si="6"/>
        <v>Database Administrator-Principal-US-Technology</v>
      </c>
      <c r="B442" s="435" t="s">
        <v>664</v>
      </c>
      <c r="C442" s="435" t="s">
        <v>242</v>
      </c>
      <c r="D442" s="435" t="s">
        <v>530</v>
      </c>
      <c r="E442" s="435" t="s">
        <v>186</v>
      </c>
      <c r="F442" s="436">
        <v>167</v>
      </c>
      <c r="G442" s="148" t="s">
        <v>259</v>
      </c>
    </row>
    <row r="443" spans="1:7" hidden="1">
      <c r="A443" s="148" t="str">
        <f t="shared" si="6"/>
        <v>Database Administrator-Senior-US-Technology</v>
      </c>
      <c r="B443" s="435" t="s">
        <v>664</v>
      </c>
      <c r="C443" s="435" t="s">
        <v>243</v>
      </c>
      <c r="D443" s="435" t="s">
        <v>526</v>
      </c>
      <c r="E443" s="435" t="s">
        <v>186</v>
      </c>
      <c r="F443" s="436">
        <v>133</v>
      </c>
      <c r="G443" s="148" t="s">
        <v>259</v>
      </c>
    </row>
    <row r="444" spans="1:7" hidden="1">
      <c r="A444" s="148" t="str">
        <f t="shared" si="6"/>
        <v>Deal Advisory / M&amp;A-Analyst-US-Consulting</v>
      </c>
      <c r="B444" s="435" t="s">
        <v>670</v>
      </c>
      <c r="C444" s="435" t="s">
        <v>384</v>
      </c>
      <c r="D444" s="435" t="s">
        <v>591</v>
      </c>
      <c r="E444" s="435" t="s">
        <v>186</v>
      </c>
      <c r="F444" s="436">
        <v>273</v>
      </c>
      <c r="G444" s="148" t="s">
        <v>261</v>
      </c>
    </row>
    <row r="445" spans="1:7" hidden="1">
      <c r="A445" s="148" t="str">
        <f t="shared" si="6"/>
        <v>Deal Advisory / M&amp;A-Consultant-US-Consulting</v>
      </c>
      <c r="B445" s="435" t="s">
        <v>670</v>
      </c>
      <c r="C445" s="435" t="s">
        <v>368</v>
      </c>
      <c r="D445" s="435" t="s">
        <v>593</v>
      </c>
      <c r="E445" s="435" t="s">
        <v>186</v>
      </c>
      <c r="F445" s="436">
        <v>273</v>
      </c>
      <c r="G445" s="148" t="s">
        <v>261</v>
      </c>
    </row>
    <row r="446" spans="1:7" hidden="1">
      <c r="A446" s="148" t="str">
        <f t="shared" si="6"/>
        <v>Deal Advisory / M&amp;A-Manager-US-Consulting</v>
      </c>
      <c r="B446" s="435" t="s">
        <v>670</v>
      </c>
      <c r="C446" s="435" t="s">
        <v>376</v>
      </c>
      <c r="D446" s="435" t="s">
        <v>595</v>
      </c>
      <c r="E446" s="435" t="s">
        <v>186</v>
      </c>
      <c r="F446" s="436">
        <v>541</v>
      </c>
      <c r="G446" s="148" t="s">
        <v>261</v>
      </c>
    </row>
    <row r="447" spans="1:7" hidden="1">
      <c r="A447" s="148" t="str">
        <f t="shared" si="6"/>
        <v>Strategy-Managing Director-India-Consulting</v>
      </c>
      <c r="B447" s="435" t="s">
        <v>813</v>
      </c>
      <c r="C447" s="435" t="s">
        <v>357</v>
      </c>
      <c r="D447" s="435" t="s">
        <v>597</v>
      </c>
      <c r="E447" s="435" t="s">
        <v>184</v>
      </c>
      <c r="F447" s="436">
        <v>391</v>
      </c>
      <c r="G447" s="148" t="s">
        <v>261</v>
      </c>
    </row>
    <row r="448" spans="1:7" hidden="1">
      <c r="A448" s="148" t="str">
        <f t="shared" si="6"/>
        <v>Deal Advisory / M&amp;A-Principal-US-Consulting</v>
      </c>
      <c r="B448" s="435" t="s">
        <v>670</v>
      </c>
      <c r="C448" s="435" t="s">
        <v>242</v>
      </c>
      <c r="D448" s="435" t="s">
        <v>599</v>
      </c>
      <c r="E448" s="435" t="s">
        <v>186</v>
      </c>
      <c r="F448" s="436">
        <v>730</v>
      </c>
      <c r="G448" s="148" t="s">
        <v>261</v>
      </c>
    </row>
    <row r="449" spans="1:7" hidden="1">
      <c r="A449" s="148" t="str">
        <f t="shared" si="6"/>
        <v>Deal Advisory / M&amp;A-Senior Consultant-US-Consulting</v>
      </c>
      <c r="B449" s="435" t="s">
        <v>670</v>
      </c>
      <c r="C449" s="435" t="s">
        <v>364</v>
      </c>
      <c r="D449" s="435" t="s">
        <v>601</v>
      </c>
      <c r="E449" s="435" t="s">
        <v>186</v>
      </c>
      <c r="F449" s="436">
        <v>404</v>
      </c>
      <c r="G449" s="148" t="s">
        <v>261</v>
      </c>
    </row>
    <row r="450" spans="1:7" hidden="1">
      <c r="A450" s="148" t="str">
        <f t="shared" ref="A450:A513" si="7">_xlfn.CONCAT(B450,"-",C450,"-",E450,"-",G450)</f>
        <v>Deal Advisory / M&amp;A-Senior Manager-US-Consulting</v>
      </c>
      <c r="B450" s="435" t="s">
        <v>670</v>
      </c>
      <c r="C450" s="435" t="s">
        <v>361</v>
      </c>
      <c r="D450" s="435" t="s">
        <v>603</v>
      </c>
      <c r="E450" s="435" t="s">
        <v>186</v>
      </c>
      <c r="F450" s="436">
        <v>675</v>
      </c>
      <c r="G450" s="148" t="s">
        <v>261</v>
      </c>
    </row>
    <row r="451" spans="1:7" hidden="1">
      <c r="A451" s="148" t="str">
        <f t="shared" si="7"/>
        <v>Delivery Manager-Intermediate-US-Technology</v>
      </c>
      <c r="B451" s="435" t="s">
        <v>678</v>
      </c>
      <c r="C451" s="435" t="s">
        <v>239</v>
      </c>
      <c r="D451" s="435" t="s">
        <v>524</v>
      </c>
      <c r="E451" s="435" t="s">
        <v>186</v>
      </c>
      <c r="F451" s="436">
        <v>166</v>
      </c>
      <c r="G451" s="148" t="s">
        <v>259</v>
      </c>
    </row>
    <row r="452" spans="1:7" hidden="1">
      <c r="A452" s="148" t="str">
        <f t="shared" si="7"/>
        <v>Delivery Manager-Junior-US-Technology</v>
      </c>
      <c r="B452" s="435" t="s">
        <v>678</v>
      </c>
      <c r="C452" s="435" t="s">
        <v>240</v>
      </c>
      <c r="D452" s="435" t="s">
        <v>521</v>
      </c>
      <c r="E452" s="435" t="s">
        <v>186</v>
      </c>
      <c r="F452" s="436">
        <v>150</v>
      </c>
      <c r="G452" s="148" t="s">
        <v>259</v>
      </c>
    </row>
    <row r="453" spans="1:7" hidden="1">
      <c r="A453" s="148" t="str">
        <f t="shared" si="7"/>
        <v>Delivery Manager-Lead-US-Technology</v>
      </c>
      <c r="B453" s="435" t="s">
        <v>678</v>
      </c>
      <c r="C453" s="435" t="s">
        <v>241</v>
      </c>
      <c r="D453" s="435" t="s">
        <v>528</v>
      </c>
      <c r="E453" s="435" t="s">
        <v>186</v>
      </c>
      <c r="F453" s="436">
        <v>189</v>
      </c>
      <c r="G453" s="148" t="s">
        <v>259</v>
      </c>
    </row>
    <row r="454" spans="1:7" hidden="1">
      <c r="A454" s="148" t="str">
        <f t="shared" si="7"/>
        <v>Delivery Manager-Principal-US-Technology</v>
      </c>
      <c r="B454" s="435" t="s">
        <v>678</v>
      </c>
      <c r="C454" s="435" t="s">
        <v>242</v>
      </c>
      <c r="D454" s="435" t="s">
        <v>530</v>
      </c>
      <c r="E454" s="435" t="s">
        <v>186</v>
      </c>
      <c r="F454" s="436">
        <v>201</v>
      </c>
      <c r="G454" s="148" t="s">
        <v>259</v>
      </c>
    </row>
    <row r="455" spans="1:7" hidden="1">
      <c r="A455" s="148" t="str">
        <f t="shared" si="7"/>
        <v>Delivery Manager-Senior-US-Technology</v>
      </c>
      <c r="B455" s="435" t="s">
        <v>678</v>
      </c>
      <c r="C455" s="435" t="s">
        <v>243</v>
      </c>
      <c r="D455" s="435" t="s">
        <v>526</v>
      </c>
      <c r="E455" s="435" t="s">
        <v>186</v>
      </c>
      <c r="F455" s="436">
        <v>178</v>
      </c>
      <c r="G455" s="148" t="s">
        <v>259</v>
      </c>
    </row>
    <row r="456" spans="1:7" hidden="1">
      <c r="A456" s="148" t="str">
        <f t="shared" si="7"/>
        <v>Desktop Engineer-Intermediate-US-Technology</v>
      </c>
      <c r="B456" s="435" t="s">
        <v>684</v>
      </c>
      <c r="C456" s="435" t="s">
        <v>239</v>
      </c>
      <c r="D456" s="435" t="s">
        <v>524</v>
      </c>
      <c r="E456" s="435" t="s">
        <v>186</v>
      </c>
      <c r="F456" s="436">
        <v>109</v>
      </c>
      <c r="G456" s="148" t="s">
        <v>259</v>
      </c>
    </row>
    <row r="457" spans="1:7" hidden="1">
      <c r="A457" s="148" t="str">
        <f t="shared" si="7"/>
        <v>Desktop Engineer-Junior-US-Technology</v>
      </c>
      <c r="B457" s="435" t="s">
        <v>684</v>
      </c>
      <c r="C457" s="435" t="s">
        <v>240</v>
      </c>
      <c r="D457" s="435" t="s">
        <v>521</v>
      </c>
      <c r="E457" s="435" t="s">
        <v>186</v>
      </c>
      <c r="F457" s="436">
        <v>86</v>
      </c>
      <c r="G457" s="148" t="s">
        <v>259</v>
      </c>
    </row>
    <row r="458" spans="1:7" hidden="1">
      <c r="A458" s="148" t="str">
        <f t="shared" si="7"/>
        <v>Desktop Engineer-Lead-US-Technology</v>
      </c>
      <c r="B458" s="435" t="s">
        <v>684</v>
      </c>
      <c r="C458" s="435" t="s">
        <v>241</v>
      </c>
      <c r="D458" s="435" t="s">
        <v>528</v>
      </c>
      <c r="E458" s="435" t="s">
        <v>186</v>
      </c>
      <c r="F458" s="436">
        <v>132</v>
      </c>
      <c r="G458" s="148" t="s">
        <v>259</v>
      </c>
    </row>
    <row r="459" spans="1:7" hidden="1">
      <c r="A459" s="148" t="str">
        <f t="shared" si="7"/>
        <v>Desktop Engineer-Principal-US-Technology</v>
      </c>
      <c r="B459" s="435" t="s">
        <v>684</v>
      </c>
      <c r="C459" s="435" t="s">
        <v>242</v>
      </c>
      <c r="D459" s="435" t="s">
        <v>530</v>
      </c>
      <c r="E459" s="435" t="s">
        <v>186</v>
      </c>
      <c r="F459" s="436">
        <v>166</v>
      </c>
      <c r="G459" s="148" t="s">
        <v>259</v>
      </c>
    </row>
    <row r="460" spans="1:7" hidden="1">
      <c r="A460" s="148" t="str">
        <f t="shared" si="7"/>
        <v>Desktop Engineer-Senior-US-Technology</v>
      </c>
      <c r="B460" s="435" t="s">
        <v>684</v>
      </c>
      <c r="C460" s="435" t="s">
        <v>243</v>
      </c>
      <c r="D460" s="435" t="s">
        <v>526</v>
      </c>
      <c r="E460" s="435" t="s">
        <v>186</v>
      </c>
      <c r="F460" s="436">
        <v>120</v>
      </c>
      <c r="G460" s="148" t="s">
        <v>259</v>
      </c>
    </row>
    <row r="461" spans="1:7" hidden="1">
      <c r="A461" s="148" t="str">
        <f t="shared" si="7"/>
        <v>Developer/Coder-Intermediate-US-Technology</v>
      </c>
      <c r="B461" s="435" t="s">
        <v>690</v>
      </c>
      <c r="C461" s="435" t="s">
        <v>239</v>
      </c>
      <c r="D461" s="435" t="s">
        <v>524</v>
      </c>
      <c r="E461" s="435" t="s">
        <v>186</v>
      </c>
      <c r="F461" s="436">
        <v>124</v>
      </c>
      <c r="G461" s="148" t="s">
        <v>259</v>
      </c>
    </row>
    <row r="462" spans="1:7" hidden="1">
      <c r="A462" s="148" t="str">
        <f t="shared" si="7"/>
        <v>Developer/Coder-Junior-US-Technology</v>
      </c>
      <c r="B462" s="435" t="s">
        <v>690</v>
      </c>
      <c r="C462" s="435" t="s">
        <v>240</v>
      </c>
      <c r="D462" s="435" t="s">
        <v>521</v>
      </c>
      <c r="E462" s="435" t="s">
        <v>186</v>
      </c>
      <c r="F462" s="436">
        <v>108</v>
      </c>
      <c r="G462" s="148" t="s">
        <v>259</v>
      </c>
    </row>
    <row r="463" spans="1:7" hidden="1">
      <c r="A463" s="148" t="str">
        <f t="shared" si="7"/>
        <v>Developer/Coder-Lead-US-Technology</v>
      </c>
      <c r="B463" s="435" t="s">
        <v>690</v>
      </c>
      <c r="C463" s="435" t="s">
        <v>241</v>
      </c>
      <c r="D463" s="435" t="s">
        <v>528</v>
      </c>
      <c r="E463" s="435" t="s">
        <v>186</v>
      </c>
      <c r="F463" s="436">
        <v>153</v>
      </c>
      <c r="G463" s="148" t="s">
        <v>259</v>
      </c>
    </row>
    <row r="464" spans="1:7" hidden="1">
      <c r="A464" s="148" t="str">
        <f t="shared" si="7"/>
        <v>Developer/Coder-Principal-US-Technology</v>
      </c>
      <c r="B464" s="435" t="s">
        <v>690</v>
      </c>
      <c r="C464" s="435" t="s">
        <v>242</v>
      </c>
      <c r="D464" s="435" t="s">
        <v>530</v>
      </c>
      <c r="E464" s="435" t="s">
        <v>186</v>
      </c>
      <c r="F464" s="436">
        <v>166</v>
      </c>
      <c r="G464" s="148" t="s">
        <v>259</v>
      </c>
    </row>
    <row r="465" spans="1:7" hidden="1">
      <c r="A465" s="148" t="str">
        <f t="shared" si="7"/>
        <v>Developer/Coder-Senior-US-Technology</v>
      </c>
      <c r="B465" s="435" t="s">
        <v>690</v>
      </c>
      <c r="C465" s="435" t="s">
        <v>243</v>
      </c>
      <c r="D465" s="435" t="s">
        <v>526</v>
      </c>
      <c r="E465" s="435" t="s">
        <v>186</v>
      </c>
      <c r="F465" s="436">
        <v>132</v>
      </c>
      <c r="G465" s="148" t="s">
        <v>259</v>
      </c>
    </row>
    <row r="466" spans="1:7" hidden="1">
      <c r="A466" s="148" t="str">
        <f t="shared" si="7"/>
        <v>DevOps Engineer-Intermediate-US-Technology</v>
      </c>
      <c r="B466" s="435" t="s">
        <v>696</v>
      </c>
      <c r="C466" s="435" t="s">
        <v>239</v>
      </c>
      <c r="D466" s="435" t="s">
        <v>524</v>
      </c>
      <c r="E466" s="435" t="s">
        <v>186</v>
      </c>
      <c r="F466" s="436">
        <v>128</v>
      </c>
      <c r="G466" s="148" t="s">
        <v>259</v>
      </c>
    </row>
    <row r="467" spans="1:7" hidden="1">
      <c r="A467" s="148" t="str">
        <f t="shared" si="7"/>
        <v>DevOps Engineer-Junior-US-Technology</v>
      </c>
      <c r="B467" s="435" t="s">
        <v>696</v>
      </c>
      <c r="C467" s="435" t="s">
        <v>240</v>
      </c>
      <c r="D467" s="435" t="s">
        <v>521</v>
      </c>
      <c r="E467" s="435" t="s">
        <v>186</v>
      </c>
      <c r="F467" s="436">
        <v>108</v>
      </c>
      <c r="G467" s="148" t="s">
        <v>259</v>
      </c>
    </row>
    <row r="468" spans="1:7" hidden="1">
      <c r="A468" s="148" t="str">
        <f t="shared" si="7"/>
        <v>DevOps Engineer-Lead-US-Technology</v>
      </c>
      <c r="B468" s="435" t="s">
        <v>696</v>
      </c>
      <c r="C468" s="435" t="s">
        <v>241</v>
      </c>
      <c r="D468" s="435" t="s">
        <v>528</v>
      </c>
      <c r="E468" s="435" t="s">
        <v>186</v>
      </c>
      <c r="F468" s="436">
        <v>176</v>
      </c>
      <c r="G468" s="148" t="s">
        <v>259</v>
      </c>
    </row>
    <row r="469" spans="1:7" hidden="1">
      <c r="A469" s="148" t="str">
        <f t="shared" si="7"/>
        <v>DevOps Engineer-Principal-US-Technology</v>
      </c>
      <c r="B469" s="435" t="s">
        <v>696</v>
      </c>
      <c r="C469" s="435" t="s">
        <v>242</v>
      </c>
      <c r="D469" s="435" t="s">
        <v>530</v>
      </c>
      <c r="E469" s="435" t="s">
        <v>186</v>
      </c>
      <c r="F469" s="436">
        <v>195</v>
      </c>
      <c r="G469" s="148" t="s">
        <v>259</v>
      </c>
    </row>
    <row r="470" spans="1:7" hidden="1">
      <c r="A470" s="148" t="str">
        <f t="shared" si="7"/>
        <v>DevOps Engineer-Senior-US-Technology</v>
      </c>
      <c r="B470" s="435" t="s">
        <v>696</v>
      </c>
      <c r="C470" s="435" t="s">
        <v>243</v>
      </c>
      <c r="D470" s="435" t="s">
        <v>526</v>
      </c>
      <c r="E470" s="435" t="s">
        <v>186</v>
      </c>
      <c r="F470" s="436">
        <v>151</v>
      </c>
      <c r="G470" s="148" t="s">
        <v>259</v>
      </c>
    </row>
    <row r="471" spans="1:7" hidden="1">
      <c r="A471" s="148" t="str">
        <f t="shared" si="7"/>
        <v>Enterprise Architect-Intermediate-US-Technology</v>
      </c>
      <c r="B471" s="435" t="s">
        <v>702</v>
      </c>
      <c r="C471" s="435" t="s">
        <v>239</v>
      </c>
      <c r="D471" s="435" t="s">
        <v>524</v>
      </c>
      <c r="E471" s="435" t="s">
        <v>186</v>
      </c>
      <c r="F471" s="436">
        <v>189</v>
      </c>
      <c r="G471" s="148" t="s">
        <v>259</v>
      </c>
    </row>
    <row r="472" spans="1:7" hidden="1">
      <c r="A472" s="148" t="str">
        <f t="shared" si="7"/>
        <v>Enterprise Architect-Junior-US-Technology</v>
      </c>
      <c r="B472" s="435" t="s">
        <v>702</v>
      </c>
      <c r="C472" s="435" t="s">
        <v>240</v>
      </c>
      <c r="D472" s="435" t="s">
        <v>521</v>
      </c>
      <c r="E472" s="435" t="s">
        <v>186</v>
      </c>
      <c r="F472" s="436">
        <v>153</v>
      </c>
      <c r="G472" s="148" t="s">
        <v>259</v>
      </c>
    </row>
    <row r="473" spans="1:7" hidden="1">
      <c r="A473" s="148" t="str">
        <f t="shared" si="7"/>
        <v>Enterprise Architect-Lead-US-Technology</v>
      </c>
      <c r="B473" s="435" t="s">
        <v>702</v>
      </c>
      <c r="C473" s="435" t="s">
        <v>241</v>
      </c>
      <c r="D473" s="435" t="s">
        <v>528</v>
      </c>
      <c r="E473" s="435" t="s">
        <v>186</v>
      </c>
      <c r="F473" s="436">
        <v>258</v>
      </c>
      <c r="G473" s="148" t="s">
        <v>259</v>
      </c>
    </row>
    <row r="474" spans="1:7" hidden="1">
      <c r="A474" s="148" t="str">
        <f t="shared" si="7"/>
        <v>Enterprise Architect-Principal-US-Technology</v>
      </c>
      <c r="B474" s="435" t="s">
        <v>702</v>
      </c>
      <c r="C474" s="435" t="s">
        <v>242</v>
      </c>
      <c r="D474" s="435" t="s">
        <v>530</v>
      </c>
      <c r="E474" s="435" t="s">
        <v>186</v>
      </c>
      <c r="F474" s="436">
        <v>316</v>
      </c>
      <c r="G474" s="148" t="s">
        <v>259</v>
      </c>
    </row>
    <row r="475" spans="1:7" hidden="1">
      <c r="A475" s="148" t="str">
        <f t="shared" si="7"/>
        <v>Enterprise Architect-Senior-US-Technology</v>
      </c>
      <c r="B475" s="435" t="s">
        <v>702</v>
      </c>
      <c r="C475" s="435" t="s">
        <v>243</v>
      </c>
      <c r="D475" s="435" t="s">
        <v>526</v>
      </c>
      <c r="E475" s="435" t="s">
        <v>186</v>
      </c>
      <c r="F475" s="436">
        <v>227</v>
      </c>
      <c r="G475" s="148" t="s">
        <v>259</v>
      </c>
    </row>
    <row r="476" spans="1:7" hidden="1">
      <c r="A476" s="148" t="str">
        <f t="shared" si="7"/>
        <v>Functional Consultant-Intermediate-US-Technology</v>
      </c>
      <c r="B476" s="435" t="s">
        <v>708</v>
      </c>
      <c r="C476" s="435" t="s">
        <v>239</v>
      </c>
      <c r="D476" s="435" t="s">
        <v>524</v>
      </c>
      <c r="E476" s="435" t="s">
        <v>186</v>
      </c>
      <c r="F476" s="436">
        <v>164</v>
      </c>
      <c r="G476" s="148" t="s">
        <v>259</v>
      </c>
    </row>
    <row r="477" spans="1:7" hidden="1">
      <c r="A477" s="148" t="str">
        <f t="shared" si="7"/>
        <v>Functional Consultant-Junior-US-Technology</v>
      </c>
      <c r="B477" s="435" t="s">
        <v>708</v>
      </c>
      <c r="C477" s="435" t="s">
        <v>240</v>
      </c>
      <c r="D477" s="435" t="s">
        <v>521</v>
      </c>
      <c r="E477" s="435" t="s">
        <v>186</v>
      </c>
      <c r="F477" s="436">
        <v>143</v>
      </c>
      <c r="G477" s="148" t="s">
        <v>259</v>
      </c>
    </row>
    <row r="478" spans="1:7" hidden="1">
      <c r="A478" s="148" t="str">
        <f t="shared" si="7"/>
        <v>Functional Consultant-Lead-US-Technology</v>
      </c>
      <c r="B478" s="435" t="s">
        <v>708</v>
      </c>
      <c r="C478" s="435" t="s">
        <v>241</v>
      </c>
      <c r="D478" s="435" t="s">
        <v>528</v>
      </c>
      <c r="E478" s="435" t="s">
        <v>186</v>
      </c>
      <c r="F478" s="436">
        <v>235</v>
      </c>
      <c r="G478" s="148" t="s">
        <v>259</v>
      </c>
    </row>
    <row r="479" spans="1:7" hidden="1">
      <c r="A479" s="148" t="str">
        <f t="shared" si="7"/>
        <v>Functional Consultant-Principal-US-Technology</v>
      </c>
      <c r="B479" s="435" t="s">
        <v>708</v>
      </c>
      <c r="C479" s="435" t="s">
        <v>242</v>
      </c>
      <c r="D479" s="435" t="s">
        <v>530</v>
      </c>
      <c r="E479" s="435" t="s">
        <v>186</v>
      </c>
      <c r="F479" s="436">
        <v>258</v>
      </c>
      <c r="G479" s="148" t="s">
        <v>259</v>
      </c>
    </row>
    <row r="480" spans="1:7" hidden="1">
      <c r="A480" s="148" t="str">
        <f t="shared" si="7"/>
        <v>Functional Consultant-Senior-US-Technology</v>
      </c>
      <c r="B480" s="435" t="s">
        <v>708</v>
      </c>
      <c r="C480" s="435" t="s">
        <v>243</v>
      </c>
      <c r="D480" s="435" t="s">
        <v>526</v>
      </c>
      <c r="E480" s="435" t="s">
        <v>186</v>
      </c>
      <c r="F480" s="436">
        <v>204</v>
      </c>
      <c r="G480" s="148" t="s">
        <v>259</v>
      </c>
    </row>
    <row r="481" spans="1:7">
      <c r="A481" s="148" t="str">
        <f t="shared" si="7"/>
        <v>Change Manager-Principal-US-Technology</v>
      </c>
      <c r="B481" s="435" t="s">
        <v>509</v>
      </c>
      <c r="C481" s="435" t="s">
        <v>242</v>
      </c>
      <c r="D481" s="435" t="s">
        <v>530</v>
      </c>
      <c r="E481" s="435" t="s">
        <v>186</v>
      </c>
      <c r="F481" s="436">
        <v>316</v>
      </c>
      <c r="G481" s="148" t="s">
        <v>259</v>
      </c>
    </row>
    <row r="482" spans="1:7">
      <c r="A482" s="148" t="str">
        <f t="shared" si="7"/>
        <v>Change Manager-Senior-US-Technology</v>
      </c>
      <c r="B482" s="435" t="s">
        <v>509</v>
      </c>
      <c r="C482" s="435" t="s">
        <v>243</v>
      </c>
      <c r="D482" s="435" t="s">
        <v>526</v>
      </c>
      <c r="E482" s="435" t="s">
        <v>186</v>
      </c>
      <c r="F482" s="436">
        <v>235</v>
      </c>
      <c r="G482" s="148" t="s">
        <v>259</v>
      </c>
    </row>
    <row r="483" spans="1:7">
      <c r="A483" s="148" t="str">
        <f t="shared" si="7"/>
        <v>Human Capital-Managing Director-US-Consulting</v>
      </c>
      <c r="B483" s="435" t="s">
        <v>492</v>
      </c>
      <c r="C483" s="435" t="s">
        <v>357</v>
      </c>
      <c r="D483" s="435" t="s">
        <v>597</v>
      </c>
      <c r="E483" s="435" t="s">
        <v>186</v>
      </c>
      <c r="F483" s="436">
        <v>488</v>
      </c>
      <c r="G483" s="148" t="s">
        <v>261</v>
      </c>
    </row>
    <row r="484" spans="1:7" hidden="1">
      <c r="A484" s="148" t="str">
        <f t="shared" si="7"/>
        <v>Strategy-Managing Director-US-Consulting</v>
      </c>
      <c r="B484" s="435" t="s">
        <v>813</v>
      </c>
      <c r="C484" s="435" t="s">
        <v>357</v>
      </c>
      <c r="D484" s="435" t="s">
        <v>597</v>
      </c>
      <c r="E484" s="435" t="s">
        <v>186</v>
      </c>
      <c r="F484" s="436">
        <v>750</v>
      </c>
      <c r="G484" s="148" t="s">
        <v>261</v>
      </c>
    </row>
    <row r="485" spans="1:7">
      <c r="A485" s="148" t="str">
        <f t="shared" si="7"/>
        <v>Human Capital-Analyst-US-Consulting</v>
      </c>
      <c r="B485" s="435" t="s">
        <v>492</v>
      </c>
      <c r="C485" s="435" t="s">
        <v>384</v>
      </c>
      <c r="D485" s="435" t="s">
        <v>591</v>
      </c>
      <c r="E485" s="435" t="s">
        <v>186</v>
      </c>
      <c r="F485" s="436">
        <v>248</v>
      </c>
      <c r="G485" s="148" t="s">
        <v>261</v>
      </c>
    </row>
    <row r="486" spans="1:7">
      <c r="A486" s="148" t="str">
        <f t="shared" si="7"/>
        <v>Human Capital-Consultant-US-Consulting</v>
      </c>
      <c r="B486" s="435" t="s">
        <v>492</v>
      </c>
      <c r="C486" s="435" t="s">
        <v>368</v>
      </c>
      <c r="D486" s="435" t="s">
        <v>593</v>
      </c>
      <c r="E486" s="435" t="s">
        <v>186</v>
      </c>
      <c r="F486" s="436">
        <v>268</v>
      </c>
      <c r="G486" s="148" t="s">
        <v>261</v>
      </c>
    </row>
    <row r="487" spans="1:7">
      <c r="A487" s="148" t="str">
        <f t="shared" si="7"/>
        <v>Human Capital-Manager-US-Consulting</v>
      </c>
      <c r="B487" s="435" t="s">
        <v>492</v>
      </c>
      <c r="C487" s="435" t="s">
        <v>376</v>
      </c>
      <c r="D487" s="435" t="s">
        <v>595</v>
      </c>
      <c r="E487" s="435" t="s">
        <v>186</v>
      </c>
      <c r="F487" s="436">
        <v>377</v>
      </c>
      <c r="G487" s="148" t="s">
        <v>261</v>
      </c>
    </row>
    <row r="488" spans="1:7" hidden="1">
      <c r="A488" s="148" t="str">
        <f t="shared" si="7"/>
        <v>Infrastructure Consultant-Intermediate-US-Technology</v>
      </c>
      <c r="B488" s="435" t="s">
        <v>721</v>
      </c>
      <c r="C488" s="435" t="s">
        <v>239</v>
      </c>
      <c r="D488" s="435" t="s">
        <v>524</v>
      </c>
      <c r="E488" s="435" t="s">
        <v>186</v>
      </c>
      <c r="F488" s="436">
        <v>143</v>
      </c>
      <c r="G488" s="148" t="s">
        <v>259</v>
      </c>
    </row>
    <row r="489" spans="1:7" hidden="1">
      <c r="A489" s="148" t="str">
        <f t="shared" si="7"/>
        <v>Infrastructure Consultant-Junior-US-Technology</v>
      </c>
      <c r="B489" s="435" t="s">
        <v>721</v>
      </c>
      <c r="C489" s="435" t="s">
        <v>240</v>
      </c>
      <c r="D489" s="435" t="s">
        <v>521</v>
      </c>
      <c r="E489" s="435" t="s">
        <v>186</v>
      </c>
      <c r="F489" s="436">
        <v>132</v>
      </c>
      <c r="G489" s="148" t="s">
        <v>259</v>
      </c>
    </row>
    <row r="490" spans="1:7" hidden="1">
      <c r="A490" s="148" t="str">
        <f t="shared" si="7"/>
        <v>Infrastructure Consultant-Lead-US-Technology</v>
      </c>
      <c r="B490" s="435" t="s">
        <v>721</v>
      </c>
      <c r="C490" s="435" t="s">
        <v>241</v>
      </c>
      <c r="D490" s="435" t="s">
        <v>528</v>
      </c>
      <c r="E490" s="435" t="s">
        <v>186</v>
      </c>
      <c r="F490" s="436">
        <v>217</v>
      </c>
      <c r="G490" s="148" t="s">
        <v>259</v>
      </c>
    </row>
    <row r="491" spans="1:7" hidden="1">
      <c r="A491" s="148" t="str">
        <f t="shared" si="7"/>
        <v>Infrastructure Consultant-Principal-US-Technology</v>
      </c>
      <c r="B491" s="435" t="s">
        <v>721</v>
      </c>
      <c r="C491" s="435" t="s">
        <v>242</v>
      </c>
      <c r="D491" s="435" t="s">
        <v>530</v>
      </c>
      <c r="E491" s="435" t="s">
        <v>186</v>
      </c>
      <c r="F491" s="436">
        <v>258</v>
      </c>
      <c r="G491" s="148" t="s">
        <v>259</v>
      </c>
    </row>
    <row r="492" spans="1:7" hidden="1">
      <c r="A492" s="148" t="str">
        <f t="shared" si="7"/>
        <v>Infrastructure Consultant-Senior-US-Technology</v>
      </c>
      <c r="B492" s="435" t="s">
        <v>721</v>
      </c>
      <c r="C492" s="435" t="s">
        <v>243</v>
      </c>
      <c r="D492" s="435" t="s">
        <v>526</v>
      </c>
      <c r="E492" s="435" t="s">
        <v>186</v>
      </c>
      <c r="F492" s="436">
        <v>189</v>
      </c>
      <c r="G492" s="148" t="s">
        <v>259</v>
      </c>
    </row>
    <row r="493" spans="1:7" hidden="1">
      <c r="A493" s="148" t="str">
        <f t="shared" si="7"/>
        <v>Infrastructure Project Manager-Intermediate-US-Technology</v>
      </c>
      <c r="B493" s="435" t="s">
        <v>727</v>
      </c>
      <c r="C493" s="435" t="s">
        <v>239</v>
      </c>
      <c r="D493" s="435" t="s">
        <v>524</v>
      </c>
      <c r="E493" s="435" t="s">
        <v>186</v>
      </c>
      <c r="F493" s="436">
        <v>143</v>
      </c>
      <c r="G493" s="148" t="s">
        <v>259</v>
      </c>
    </row>
    <row r="494" spans="1:7" hidden="1">
      <c r="A494" s="148" t="str">
        <f t="shared" si="7"/>
        <v>Infrastructure Project Manager-Junior-US-Technology</v>
      </c>
      <c r="B494" s="435" t="s">
        <v>727</v>
      </c>
      <c r="C494" s="435" t="s">
        <v>240</v>
      </c>
      <c r="D494" s="435" t="s">
        <v>521</v>
      </c>
      <c r="E494" s="435" t="s">
        <v>186</v>
      </c>
      <c r="F494" s="436">
        <v>120</v>
      </c>
      <c r="G494" s="148" t="s">
        <v>259</v>
      </c>
    </row>
    <row r="495" spans="1:7" hidden="1">
      <c r="A495" s="148" t="str">
        <f t="shared" si="7"/>
        <v>Infrastructure Project Manager-Lead-US-Technology</v>
      </c>
      <c r="B495" s="435" t="s">
        <v>727</v>
      </c>
      <c r="C495" s="435" t="s">
        <v>241</v>
      </c>
      <c r="D495" s="435" t="s">
        <v>528</v>
      </c>
      <c r="E495" s="435" t="s">
        <v>186</v>
      </c>
      <c r="F495" s="436">
        <v>173</v>
      </c>
      <c r="G495" s="148" t="s">
        <v>259</v>
      </c>
    </row>
    <row r="496" spans="1:7" hidden="1">
      <c r="A496" s="148" t="str">
        <f t="shared" si="7"/>
        <v>Infrastructure Project Manager-Principal-US-Technology</v>
      </c>
      <c r="B496" s="435" t="s">
        <v>727</v>
      </c>
      <c r="C496" s="435" t="s">
        <v>242</v>
      </c>
      <c r="D496" s="435" t="s">
        <v>530</v>
      </c>
      <c r="E496" s="435" t="s">
        <v>186</v>
      </c>
      <c r="F496" s="436">
        <v>189</v>
      </c>
      <c r="G496" s="148" t="s">
        <v>259</v>
      </c>
    </row>
    <row r="497" spans="1:7" hidden="1">
      <c r="A497" s="148" t="str">
        <f t="shared" si="7"/>
        <v>Infrastructure Project Manager-Senior-US-Technology</v>
      </c>
      <c r="B497" s="435" t="s">
        <v>727</v>
      </c>
      <c r="C497" s="435" t="s">
        <v>243</v>
      </c>
      <c r="D497" s="435" t="s">
        <v>526</v>
      </c>
      <c r="E497" s="435" t="s">
        <v>186</v>
      </c>
      <c r="F497" s="436">
        <v>166</v>
      </c>
      <c r="G497" s="148" t="s">
        <v>259</v>
      </c>
    </row>
    <row r="498" spans="1:7" hidden="1">
      <c r="A498" s="148" t="str">
        <f t="shared" si="7"/>
        <v>Integration Engineer-Intermediate-US-Technology</v>
      </c>
      <c r="B498" s="435" t="s">
        <v>733</v>
      </c>
      <c r="C498" s="435" t="s">
        <v>239</v>
      </c>
      <c r="D498" s="435" t="s">
        <v>524</v>
      </c>
      <c r="E498" s="435" t="s">
        <v>186</v>
      </c>
      <c r="F498" s="436">
        <v>120</v>
      </c>
      <c r="G498" s="148" t="s">
        <v>259</v>
      </c>
    </row>
    <row r="499" spans="1:7" hidden="1">
      <c r="A499" s="148" t="str">
        <f t="shared" si="7"/>
        <v>Integration Engineer-Junior-US-Technology</v>
      </c>
      <c r="B499" s="435" t="s">
        <v>733</v>
      </c>
      <c r="C499" s="435" t="s">
        <v>240</v>
      </c>
      <c r="D499" s="435" t="s">
        <v>521</v>
      </c>
      <c r="E499" s="435" t="s">
        <v>186</v>
      </c>
      <c r="F499" s="436">
        <v>108</v>
      </c>
      <c r="G499" s="148" t="s">
        <v>259</v>
      </c>
    </row>
    <row r="500" spans="1:7" hidden="1">
      <c r="A500" s="148" t="str">
        <f t="shared" si="7"/>
        <v>Integration Engineer-Lead-US-Technology</v>
      </c>
      <c r="B500" s="435" t="s">
        <v>733</v>
      </c>
      <c r="C500" s="435" t="s">
        <v>241</v>
      </c>
      <c r="D500" s="435" t="s">
        <v>528</v>
      </c>
      <c r="E500" s="435" t="s">
        <v>186</v>
      </c>
      <c r="F500" s="436">
        <v>148</v>
      </c>
      <c r="G500" s="148" t="s">
        <v>259</v>
      </c>
    </row>
    <row r="501" spans="1:7" hidden="1">
      <c r="A501" s="148" t="str">
        <f t="shared" si="7"/>
        <v>Integration Engineer-Principal-US-Technology</v>
      </c>
      <c r="B501" s="435" t="s">
        <v>733</v>
      </c>
      <c r="C501" s="435" t="s">
        <v>242</v>
      </c>
      <c r="D501" s="435" t="s">
        <v>530</v>
      </c>
      <c r="E501" s="435" t="s">
        <v>186</v>
      </c>
      <c r="F501" s="436">
        <v>166</v>
      </c>
      <c r="G501" s="148" t="s">
        <v>259</v>
      </c>
    </row>
    <row r="502" spans="1:7" hidden="1">
      <c r="A502" s="148" t="str">
        <f t="shared" si="7"/>
        <v>Integration Engineer-Senior-US-Technology</v>
      </c>
      <c r="B502" s="435" t="s">
        <v>733</v>
      </c>
      <c r="C502" s="435" t="s">
        <v>243</v>
      </c>
      <c r="D502" s="435" t="s">
        <v>526</v>
      </c>
      <c r="E502" s="435" t="s">
        <v>186</v>
      </c>
      <c r="F502" s="436">
        <v>140</v>
      </c>
      <c r="G502" s="148" t="s">
        <v>259</v>
      </c>
    </row>
    <row r="503" spans="1:7" hidden="1">
      <c r="A503" s="148" t="str">
        <f t="shared" si="7"/>
        <v>Integration Lead-Intermediate-US-Technology</v>
      </c>
      <c r="B503" s="435" t="s">
        <v>739</v>
      </c>
      <c r="C503" s="435" t="s">
        <v>239</v>
      </c>
      <c r="D503" s="435" t="s">
        <v>524</v>
      </c>
      <c r="E503" s="435" t="s">
        <v>186</v>
      </c>
      <c r="F503" s="436">
        <v>148</v>
      </c>
      <c r="G503" s="148" t="s">
        <v>259</v>
      </c>
    </row>
    <row r="504" spans="1:7" hidden="1">
      <c r="A504" s="148" t="str">
        <f t="shared" si="7"/>
        <v>Integration Lead-Junior-US-Technology</v>
      </c>
      <c r="B504" s="435" t="s">
        <v>739</v>
      </c>
      <c r="C504" s="435" t="s">
        <v>240</v>
      </c>
      <c r="D504" s="435" t="s">
        <v>521</v>
      </c>
      <c r="E504" s="435" t="s">
        <v>186</v>
      </c>
      <c r="F504" s="436">
        <v>139</v>
      </c>
      <c r="G504" s="148" t="s">
        <v>259</v>
      </c>
    </row>
    <row r="505" spans="1:7" hidden="1">
      <c r="A505" s="148" t="str">
        <f t="shared" si="7"/>
        <v>Integration Lead-Lead-US-Technology</v>
      </c>
      <c r="B505" s="435" t="s">
        <v>739</v>
      </c>
      <c r="C505" s="435" t="s">
        <v>241</v>
      </c>
      <c r="D505" s="435" t="s">
        <v>528</v>
      </c>
      <c r="E505" s="435" t="s">
        <v>186</v>
      </c>
      <c r="F505" s="436">
        <v>171</v>
      </c>
      <c r="G505" s="148" t="s">
        <v>259</v>
      </c>
    </row>
    <row r="506" spans="1:7" hidden="1">
      <c r="A506" s="148" t="str">
        <f t="shared" si="7"/>
        <v>Integration Lead-Principal-US-Technology</v>
      </c>
      <c r="B506" s="435" t="s">
        <v>739</v>
      </c>
      <c r="C506" s="435" t="s">
        <v>242</v>
      </c>
      <c r="D506" s="435" t="s">
        <v>530</v>
      </c>
      <c r="E506" s="435" t="s">
        <v>186</v>
      </c>
      <c r="F506" s="436">
        <v>187</v>
      </c>
      <c r="G506" s="148" t="s">
        <v>259</v>
      </c>
    </row>
    <row r="507" spans="1:7" hidden="1">
      <c r="A507" s="148" t="str">
        <f t="shared" si="7"/>
        <v>Integration Lead-Senior-US-Technology</v>
      </c>
      <c r="B507" s="435" t="s">
        <v>739</v>
      </c>
      <c r="C507" s="435" t="s">
        <v>243</v>
      </c>
      <c r="D507" s="435" t="s">
        <v>526</v>
      </c>
      <c r="E507" s="435" t="s">
        <v>186</v>
      </c>
      <c r="F507" s="436">
        <v>154</v>
      </c>
      <c r="G507" s="148" t="s">
        <v>259</v>
      </c>
    </row>
    <row r="508" spans="1:7" hidden="1">
      <c r="A508" s="148" t="str">
        <f t="shared" si="7"/>
        <v>Kubernetes Engineer-Intermediate-US-Technology</v>
      </c>
      <c r="B508" s="435" t="s">
        <v>745</v>
      </c>
      <c r="C508" s="435" t="s">
        <v>239</v>
      </c>
      <c r="D508" s="435" t="s">
        <v>524</v>
      </c>
      <c r="E508" s="435" t="s">
        <v>186</v>
      </c>
      <c r="F508" s="436">
        <v>117</v>
      </c>
      <c r="G508" s="148" t="s">
        <v>259</v>
      </c>
    </row>
    <row r="509" spans="1:7" hidden="1">
      <c r="A509" s="148" t="str">
        <f t="shared" si="7"/>
        <v>Kubernetes Engineer-Junior-US-Technology</v>
      </c>
      <c r="B509" s="435" t="s">
        <v>745</v>
      </c>
      <c r="C509" s="435" t="s">
        <v>240</v>
      </c>
      <c r="D509" s="435" t="s">
        <v>521</v>
      </c>
      <c r="E509" s="435" t="s">
        <v>186</v>
      </c>
      <c r="F509" s="436">
        <v>106</v>
      </c>
      <c r="G509" s="148" t="s">
        <v>259</v>
      </c>
    </row>
    <row r="510" spans="1:7" hidden="1">
      <c r="A510" s="148" t="str">
        <f t="shared" si="7"/>
        <v>Kubernetes Engineer-Lead-US-Technology</v>
      </c>
      <c r="B510" s="435" t="s">
        <v>745</v>
      </c>
      <c r="C510" s="435" t="s">
        <v>241</v>
      </c>
      <c r="D510" s="435" t="s">
        <v>528</v>
      </c>
      <c r="E510" s="435" t="s">
        <v>186</v>
      </c>
      <c r="F510" s="436">
        <v>166</v>
      </c>
      <c r="G510" s="148" t="s">
        <v>259</v>
      </c>
    </row>
    <row r="511" spans="1:7" hidden="1">
      <c r="A511" s="148" t="str">
        <f t="shared" si="7"/>
        <v>Kubernetes Engineer-Principal-US-Technology</v>
      </c>
      <c r="B511" s="435" t="s">
        <v>745</v>
      </c>
      <c r="C511" s="435" t="s">
        <v>242</v>
      </c>
      <c r="D511" s="435" t="s">
        <v>530</v>
      </c>
      <c r="E511" s="435" t="s">
        <v>186</v>
      </c>
      <c r="F511" s="436">
        <v>187</v>
      </c>
      <c r="G511" s="148" t="s">
        <v>259</v>
      </c>
    </row>
    <row r="512" spans="1:7" hidden="1">
      <c r="A512" s="148" t="str">
        <f t="shared" si="7"/>
        <v>Kubernetes Engineer-Senior-US-Technology</v>
      </c>
      <c r="B512" s="435" t="s">
        <v>745</v>
      </c>
      <c r="C512" s="435" t="s">
        <v>243</v>
      </c>
      <c r="D512" s="435" t="s">
        <v>526</v>
      </c>
      <c r="E512" s="435" t="s">
        <v>186</v>
      </c>
      <c r="F512" s="436">
        <v>140</v>
      </c>
      <c r="G512" s="148" t="s">
        <v>259</v>
      </c>
    </row>
    <row r="513" spans="1:7" hidden="1">
      <c r="A513" s="148" t="str">
        <f t="shared" si="7"/>
        <v>Network Architect-Intermediate-US-Technology</v>
      </c>
      <c r="B513" s="435" t="s">
        <v>751</v>
      </c>
      <c r="C513" s="435" t="s">
        <v>239</v>
      </c>
      <c r="D513" s="435" t="s">
        <v>524</v>
      </c>
      <c r="E513" s="435" t="s">
        <v>186</v>
      </c>
      <c r="F513" s="436">
        <v>149</v>
      </c>
      <c r="G513" s="148" t="s">
        <v>259</v>
      </c>
    </row>
    <row r="514" spans="1:7" hidden="1">
      <c r="A514" s="148" t="str">
        <f t="shared" ref="A514:A577" si="8">_xlfn.CONCAT(B514,"-",C514,"-",E514,"-",G514)</f>
        <v>Network Architect-Junior-US-Technology</v>
      </c>
      <c r="B514" s="435" t="s">
        <v>751</v>
      </c>
      <c r="C514" s="435" t="s">
        <v>240</v>
      </c>
      <c r="D514" s="435" t="s">
        <v>521</v>
      </c>
      <c r="E514" s="435" t="s">
        <v>186</v>
      </c>
      <c r="F514" s="436">
        <v>127</v>
      </c>
      <c r="G514" s="148" t="s">
        <v>259</v>
      </c>
    </row>
    <row r="515" spans="1:7" hidden="1">
      <c r="A515" s="148" t="str">
        <f t="shared" si="8"/>
        <v>Network Architect-Lead-US-Technology</v>
      </c>
      <c r="B515" s="435" t="s">
        <v>751</v>
      </c>
      <c r="C515" s="435" t="s">
        <v>241</v>
      </c>
      <c r="D515" s="435" t="s">
        <v>528</v>
      </c>
      <c r="E515" s="435" t="s">
        <v>186</v>
      </c>
      <c r="F515" s="436">
        <v>227</v>
      </c>
      <c r="G515" s="148" t="s">
        <v>259</v>
      </c>
    </row>
    <row r="516" spans="1:7" hidden="1">
      <c r="A516" s="148" t="str">
        <f t="shared" si="8"/>
        <v>Network Architect-Principal-US-Technology</v>
      </c>
      <c r="B516" s="435" t="s">
        <v>751</v>
      </c>
      <c r="C516" s="435" t="s">
        <v>242</v>
      </c>
      <c r="D516" s="435" t="s">
        <v>530</v>
      </c>
      <c r="E516" s="435" t="s">
        <v>186</v>
      </c>
      <c r="F516" s="436">
        <v>258</v>
      </c>
      <c r="G516" s="148" t="s">
        <v>259</v>
      </c>
    </row>
    <row r="517" spans="1:7" hidden="1">
      <c r="A517" s="148" t="str">
        <f t="shared" si="8"/>
        <v>Network Architect-Senior-US-Technology</v>
      </c>
      <c r="B517" s="435" t="s">
        <v>751</v>
      </c>
      <c r="C517" s="435" t="s">
        <v>243</v>
      </c>
      <c r="D517" s="435" t="s">
        <v>526</v>
      </c>
      <c r="E517" s="435" t="s">
        <v>186</v>
      </c>
      <c r="F517" s="436">
        <v>203</v>
      </c>
      <c r="G517" s="148" t="s">
        <v>259</v>
      </c>
    </row>
    <row r="518" spans="1:7" hidden="1">
      <c r="A518" s="148" t="str">
        <f t="shared" si="8"/>
        <v>Network Engineer-Intermediate-US-Technology</v>
      </c>
      <c r="B518" s="435" t="s">
        <v>757</v>
      </c>
      <c r="C518" s="435" t="s">
        <v>239</v>
      </c>
      <c r="D518" s="435" t="s">
        <v>524</v>
      </c>
      <c r="E518" s="435" t="s">
        <v>186</v>
      </c>
      <c r="F518" s="436">
        <v>120</v>
      </c>
      <c r="G518" s="148" t="s">
        <v>259</v>
      </c>
    </row>
    <row r="519" spans="1:7" hidden="1">
      <c r="A519" s="148" t="str">
        <f t="shared" si="8"/>
        <v>Network Engineer-Junior-US-Technology</v>
      </c>
      <c r="B519" s="435" t="s">
        <v>757</v>
      </c>
      <c r="C519" s="435" t="s">
        <v>240</v>
      </c>
      <c r="D519" s="435" t="s">
        <v>521</v>
      </c>
      <c r="E519" s="435" t="s">
        <v>186</v>
      </c>
      <c r="F519" s="436">
        <v>115</v>
      </c>
      <c r="G519" s="148" t="s">
        <v>259</v>
      </c>
    </row>
    <row r="520" spans="1:7" hidden="1">
      <c r="A520" s="148" t="str">
        <f t="shared" si="8"/>
        <v>Network Engineer-Lead-US-Technology</v>
      </c>
      <c r="B520" s="435" t="s">
        <v>757</v>
      </c>
      <c r="C520" s="435" t="s">
        <v>241</v>
      </c>
      <c r="D520" s="435" t="s">
        <v>528</v>
      </c>
      <c r="E520" s="435" t="s">
        <v>186</v>
      </c>
      <c r="F520" s="436">
        <v>138</v>
      </c>
      <c r="G520" s="148" t="s">
        <v>259</v>
      </c>
    </row>
    <row r="521" spans="1:7" hidden="1">
      <c r="A521" s="148" t="str">
        <f t="shared" si="8"/>
        <v>Network Engineer-Principal-US-Technology</v>
      </c>
      <c r="B521" s="435" t="s">
        <v>757</v>
      </c>
      <c r="C521" s="435" t="s">
        <v>242</v>
      </c>
      <c r="D521" s="435" t="s">
        <v>530</v>
      </c>
      <c r="E521" s="435" t="s">
        <v>186</v>
      </c>
      <c r="F521" s="436">
        <v>178</v>
      </c>
      <c r="G521" s="148" t="s">
        <v>259</v>
      </c>
    </row>
    <row r="522" spans="1:7" hidden="1">
      <c r="A522" s="148" t="str">
        <f t="shared" si="8"/>
        <v>Network Engineer-Senior-US-Technology</v>
      </c>
      <c r="B522" s="435" t="s">
        <v>757</v>
      </c>
      <c r="C522" s="435" t="s">
        <v>243</v>
      </c>
      <c r="D522" s="435" t="s">
        <v>526</v>
      </c>
      <c r="E522" s="435" t="s">
        <v>186</v>
      </c>
      <c r="F522" s="436">
        <v>124</v>
      </c>
      <c r="G522" s="148" t="s">
        <v>259</v>
      </c>
    </row>
    <row r="523" spans="1:7" hidden="1">
      <c r="A523" s="148" t="str">
        <f t="shared" si="8"/>
        <v>Program Director/ Industry Lead-Intermediate-US-Technology</v>
      </c>
      <c r="B523" s="435" t="s">
        <v>763</v>
      </c>
      <c r="C523" s="435" t="s">
        <v>239</v>
      </c>
      <c r="D523" s="435" t="s">
        <v>524</v>
      </c>
      <c r="E523" s="435" t="s">
        <v>186</v>
      </c>
      <c r="F523" s="436">
        <v>224</v>
      </c>
      <c r="G523" s="148" t="s">
        <v>259</v>
      </c>
    </row>
    <row r="524" spans="1:7" hidden="1">
      <c r="A524" s="148" t="str">
        <f t="shared" si="8"/>
        <v>Program Director/ Industry Lead-Junior-US-Technology</v>
      </c>
      <c r="B524" s="435" t="s">
        <v>763</v>
      </c>
      <c r="C524" s="435" t="s">
        <v>240</v>
      </c>
      <c r="D524" s="435" t="s">
        <v>521</v>
      </c>
      <c r="E524" s="435" t="s">
        <v>186</v>
      </c>
      <c r="F524" s="436">
        <v>163</v>
      </c>
      <c r="G524" s="148" t="s">
        <v>259</v>
      </c>
    </row>
    <row r="525" spans="1:7" hidden="1">
      <c r="A525" s="148" t="str">
        <f t="shared" si="8"/>
        <v>Program Director/ Industry Lead-Lead-US-Technology</v>
      </c>
      <c r="B525" s="435" t="s">
        <v>763</v>
      </c>
      <c r="C525" s="435" t="s">
        <v>241</v>
      </c>
      <c r="D525" s="435" t="s">
        <v>528</v>
      </c>
      <c r="E525" s="435" t="s">
        <v>186</v>
      </c>
      <c r="F525" s="436">
        <v>316</v>
      </c>
      <c r="G525" s="148" t="s">
        <v>259</v>
      </c>
    </row>
    <row r="526" spans="1:7" hidden="1">
      <c r="A526" s="148" t="str">
        <f t="shared" si="8"/>
        <v>Program Director/ Industry Lead-Principal-US-Technology</v>
      </c>
      <c r="B526" s="435" t="s">
        <v>763</v>
      </c>
      <c r="C526" s="435" t="s">
        <v>242</v>
      </c>
      <c r="D526" s="435" t="s">
        <v>530</v>
      </c>
      <c r="E526" s="435" t="s">
        <v>186</v>
      </c>
      <c r="F526" s="436">
        <v>344</v>
      </c>
      <c r="G526" s="148" t="s">
        <v>259</v>
      </c>
    </row>
    <row r="527" spans="1:7" hidden="1">
      <c r="A527" s="148" t="str">
        <f t="shared" si="8"/>
        <v>Program Director/ Industry Lead-Senior-US-Technology</v>
      </c>
      <c r="B527" s="435" t="s">
        <v>763</v>
      </c>
      <c r="C527" s="435" t="s">
        <v>243</v>
      </c>
      <c r="D527" s="435" t="s">
        <v>526</v>
      </c>
      <c r="E527" s="435" t="s">
        <v>186</v>
      </c>
      <c r="F527" s="436">
        <v>287</v>
      </c>
      <c r="G527" s="148" t="s">
        <v>259</v>
      </c>
    </row>
    <row r="528" spans="1:7" hidden="1">
      <c r="A528" s="148" t="str">
        <f t="shared" si="8"/>
        <v>Program Manager-Intermediate-US-Technology</v>
      </c>
      <c r="B528" s="435" t="s">
        <v>358</v>
      </c>
      <c r="C528" s="435" t="s">
        <v>239</v>
      </c>
      <c r="D528" s="435" t="s">
        <v>524</v>
      </c>
      <c r="E528" s="435" t="s">
        <v>186</v>
      </c>
      <c r="F528" s="436">
        <v>218</v>
      </c>
      <c r="G528" s="148" t="s">
        <v>259</v>
      </c>
    </row>
    <row r="529" spans="1:7" hidden="1">
      <c r="A529" s="148" t="str">
        <f t="shared" si="8"/>
        <v>Program Manager-Junior-US-Technology</v>
      </c>
      <c r="B529" s="435" t="s">
        <v>358</v>
      </c>
      <c r="C529" s="435" t="s">
        <v>240</v>
      </c>
      <c r="D529" s="435" t="s">
        <v>521</v>
      </c>
      <c r="E529" s="435" t="s">
        <v>186</v>
      </c>
      <c r="F529" s="436">
        <v>163</v>
      </c>
      <c r="G529" s="148" t="s">
        <v>259</v>
      </c>
    </row>
    <row r="530" spans="1:7" hidden="1">
      <c r="A530" s="148" t="str">
        <f t="shared" si="8"/>
        <v>Program Manager-Lead-US-Technology</v>
      </c>
      <c r="B530" s="435" t="s">
        <v>358</v>
      </c>
      <c r="C530" s="435" t="s">
        <v>241</v>
      </c>
      <c r="D530" s="435" t="s">
        <v>528</v>
      </c>
      <c r="E530" s="435" t="s">
        <v>186</v>
      </c>
      <c r="F530" s="436">
        <v>281</v>
      </c>
      <c r="G530" s="148" t="s">
        <v>259</v>
      </c>
    </row>
    <row r="531" spans="1:7" hidden="1">
      <c r="A531" s="148" t="str">
        <f t="shared" si="8"/>
        <v>Program Manager-Principal-US-Technology</v>
      </c>
      <c r="B531" s="435" t="s">
        <v>358</v>
      </c>
      <c r="C531" s="435" t="s">
        <v>242</v>
      </c>
      <c r="D531" s="435" t="s">
        <v>530</v>
      </c>
      <c r="E531" s="435" t="s">
        <v>186</v>
      </c>
      <c r="F531" s="436">
        <v>304</v>
      </c>
      <c r="G531" s="148" t="s">
        <v>259</v>
      </c>
    </row>
    <row r="532" spans="1:7" hidden="1">
      <c r="A532" s="148" t="str">
        <f t="shared" si="8"/>
        <v>Program Manager-Senior-US-Technology</v>
      </c>
      <c r="B532" s="435" t="s">
        <v>358</v>
      </c>
      <c r="C532" s="435" t="s">
        <v>243</v>
      </c>
      <c r="D532" s="435" t="s">
        <v>526</v>
      </c>
      <c r="E532" s="435" t="s">
        <v>186</v>
      </c>
      <c r="F532" s="436">
        <v>247</v>
      </c>
      <c r="G532" s="148" t="s">
        <v>259</v>
      </c>
    </row>
    <row r="533" spans="1:7" hidden="1">
      <c r="A533" s="148" t="str">
        <f t="shared" si="8"/>
        <v>Project Manager-Intermediate-US-Technology</v>
      </c>
      <c r="B533" s="435" t="s">
        <v>774</v>
      </c>
      <c r="C533" s="435" t="s">
        <v>239</v>
      </c>
      <c r="D533" s="435" t="s">
        <v>524</v>
      </c>
      <c r="E533" s="435" t="s">
        <v>186</v>
      </c>
      <c r="F533" s="436">
        <v>143</v>
      </c>
      <c r="G533" s="148" t="s">
        <v>259</v>
      </c>
    </row>
    <row r="534" spans="1:7" hidden="1">
      <c r="A534" s="148" t="str">
        <f t="shared" si="8"/>
        <v>Project Manager-Junior-US-Technology</v>
      </c>
      <c r="B534" s="435" t="s">
        <v>774</v>
      </c>
      <c r="C534" s="435" t="s">
        <v>240</v>
      </c>
      <c r="D534" s="435" t="s">
        <v>521</v>
      </c>
      <c r="E534" s="435" t="s">
        <v>186</v>
      </c>
      <c r="F534" s="436">
        <v>120</v>
      </c>
      <c r="G534" s="148" t="s">
        <v>259</v>
      </c>
    </row>
    <row r="535" spans="1:7" hidden="1">
      <c r="A535" s="148" t="str">
        <f t="shared" si="8"/>
        <v>Project Manager-Lead-US-Technology</v>
      </c>
      <c r="B535" s="435" t="s">
        <v>774</v>
      </c>
      <c r="C535" s="435" t="s">
        <v>241</v>
      </c>
      <c r="D535" s="435" t="s">
        <v>528</v>
      </c>
      <c r="E535" s="435" t="s">
        <v>186</v>
      </c>
      <c r="F535" s="436">
        <v>173</v>
      </c>
      <c r="G535" s="148" t="s">
        <v>259</v>
      </c>
    </row>
    <row r="536" spans="1:7" hidden="1">
      <c r="A536" s="148" t="str">
        <f t="shared" si="8"/>
        <v>Project Manager-Principal-US-Technology</v>
      </c>
      <c r="B536" s="435" t="s">
        <v>774</v>
      </c>
      <c r="C536" s="435" t="s">
        <v>242</v>
      </c>
      <c r="D536" s="435" t="s">
        <v>530</v>
      </c>
      <c r="E536" s="435" t="s">
        <v>186</v>
      </c>
      <c r="F536" s="436">
        <v>192</v>
      </c>
      <c r="G536" s="148" t="s">
        <v>259</v>
      </c>
    </row>
    <row r="537" spans="1:7" hidden="1">
      <c r="A537" s="148" t="str">
        <f t="shared" si="8"/>
        <v>Project Manager-Senior-US-Technology</v>
      </c>
      <c r="B537" s="435" t="s">
        <v>774</v>
      </c>
      <c r="C537" s="435" t="s">
        <v>243</v>
      </c>
      <c r="D537" s="435" t="s">
        <v>526</v>
      </c>
      <c r="E537" s="435" t="s">
        <v>186</v>
      </c>
      <c r="F537" s="436">
        <v>166</v>
      </c>
      <c r="G537" s="148" t="s">
        <v>259</v>
      </c>
    </row>
    <row r="538" spans="1:7" hidden="1">
      <c r="A538" s="148" t="str">
        <f t="shared" si="8"/>
        <v>Scrum Master-Intermediate-US-Technology</v>
      </c>
      <c r="B538" s="435" t="s">
        <v>780</v>
      </c>
      <c r="C538" s="435" t="s">
        <v>239</v>
      </c>
      <c r="D538" s="435" t="s">
        <v>524</v>
      </c>
      <c r="E538" s="435" t="s">
        <v>186</v>
      </c>
      <c r="F538" s="436">
        <v>143</v>
      </c>
      <c r="G538" s="148" t="s">
        <v>259</v>
      </c>
    </row>
    <row r="539" spans="1:7" hidden="1">
      <c r="A539" s="148" t="str">
        <f t="shared" si="8"/>
        <v>Scrum Master-Junior-US-Technology</v>
      </c>
      <c r="B539" s="148" t="s">
        <v>780</v>
      </c>
      <c r="C539" s="148" t="s">
        <v>240</v>
      </c>
      <c r="D539" s="148" t="s">
        <v>521</v>
      </c>
      <c r="E539" s="435" t="s">
        <v>186</v>
      </c>
      <c r="F539" s="436">
        <v>120</v>
      </c>
      <c r="G539" s="148" t="s">
        <v>259</v>
      </c>
    </row>
    <row r="540" spans="1:7" hidden="1">
      <c r="A540" s="148" t="str">
        <f t="shared" si="8"/>
        <v>Scrum Master-Lead-US-Technology</v>
      </c>
      <c r="B540" s="148" t="s">
        <v>780</v>
      </c>
      <c r="C540" s="148" t="s">
        <v>241</v>
      </c>
      <c r="D540" s="148" t="s">
        <v>528</v>
      </c>
      <c r="E540" s="435" t="s">
        <v>186</v>
      </c>
      <c r="F540" s="436">
        <v>181</v>
      </c>
      <c r="G540" s="148" t="s">
        <v>259</v>
      </c>
    </row>
    <row r="541" spans="1:7" hidden="1">
      <c r="A541" s="148" t="str">
        <f t="shared" si="8"/>
        <v>Scrum Master-Principal-US-Technology</v>
      </c>
      <c r="B541" s="148" t="s">
        <v>780</v>
      </c>
      <c r="C541" s="148" t="s">
        <v>242</v>
      </c>
      <c r="D541" s="148" t="s">
        <v>530</v>
      </c>
      <c r="E541" s="435" t="s">
        <v>186</v>
      </c>
      <c r="F541" s="436">
        <v>201</v>
      </c>
      <c r="G541" s="148" t="s">
        <v>259</v>
      </c>
    </row>
    <row r="542" spans="1:7" hidden="1">
      <c r="A542" s="148" t="str">
        <f t="shared" si="8"/>
        <v>Scrum Master-Senior-US-Technology</v>
      </c>
      <c r="B542" s="148" t="s">
        <v>780</v>
      </c>
      <c r="C542" s="148" t="s">
        <v>243</v>
      </c>
      <c r="D542" s="148" t="s">
        <v>526</v>
      </c>
      <c r="E542" s="435" t="s">
        <v>186</v>
      </c>
      <c r="F542" s="436">
        <v>166</v>
      </c>
      <c r="G542" s="148" t="s">
        <v>259</v>
      </c>
    </row>
    <row r="543" spans="1:7" hidden="1">
      <c r="A543" s="148" t="str">
        <f t="shared" si="8"/>
        <v>Security Architect-Intermediate-US-Technology</v>
      </c>
      <c r="B543" s="148" t="s">
        <v>786</v>
      </c>
      <c r="C543" s="148" t="s">
        <v>239</v>
      </c>
      <c r="D543" s="148" t="s">
        <v>524</v>
      </c>
      <c r="E543" s="435" t="s">
        <v>186</v>
      </c>
      <c r="F543" s="436">
        <v>195</v>
      </c>
      <c r="G543" s="148" t="s">
        <v>259</v>
      </c>
    </row>
    <row r="544" spans="1:7" hidden="1">
      <c r="A544" s="148" t="str">
        <f t="shared" si="8"/>
        <v>Security Architect-Junior-US-Technology</v>
      </c>
      <c r="B544" s="148" t="s">
        <v>786</v>
      </c>
      <c r="C544" s="148" t="s">
        <v>240</v>
      </c>
      <c r="D544" s="148" t="s">
        <v>521</v>
      </c>
      <c r="E544" s="435" t="s">
        <v>186</v>
      </c>
      <c r="F544" s="436">
        <v>189</v>
      </c>
      <c r="G544" s="148" t="s">
        <v>259</v>
      </c>
    </row>
    <row r="545" spans="1:7" hidden="1">
      <c r="A545" s="148" t="str">
        <f t="shared" si="8"/>
        <v>Security Architect-Lead-US-Technology</v>
      </c>
      <c r="B545" s="148" t="s">
        <v>786</v>
      </c>
      <c r="C545" s="148" t="s">
        <v>241</v>
      </c>
      <c r="D545" s="148" t="s">
        <v>528</v>
      </c>
      <c r="E545" s="435" t="s">
        <v>186</v>
      </c>
      <c r="F545" s="436">
        <v>258</v>
      </c>
      <c r="G545" s="148" t="s">
        <v>259</v>
      </c>
    </row>
    <row r="546" spans="1:7" hidden="1">
      <c r="A546" s="148" t="str">
        <f t="shared" si="8"/>
        <v>Security Architect-Principal-US-Technology</v>
      </c>
      <c r="B546" s="148" t="s">
        <v>786</v>
      </c>
      <c r="C546" s="148" t="s">
        <v>242</v>
      </c>
      <c r="D546" s="148" t="s">
        <v>530</v>
      </c>
      <c r="E546" s="435" t="s">
        <v>186</v>
      </c>
      <c r="F546" s="436">
        <v>316</v>
      </c>
      <c r="G546" s="148" t="s">
        <v>259</v>
      </c>
    </row>
    <row r="547" spans="1:7" hidden="1">
      <c r="A547" s="148" t="str">
        <f t="shared" si="8"/>
        <v>Security Architect-Senior-US-Technology</v>
      </c>
      <c r="B547" s="148" t="s">
        <v>786</v>
      </c>
      <c r="C547" s="148" t="s">
        <v>243</v>
      </c>
      <c r="D547" s="148" t="s">
        <v>526</v>
      </c>
      <c r="E547" s="435" t="s">
        <v>186</v>
      </c>
      <c r="F547" s="436">
        <v>227</v>
      </c>
      <c r="G547" s="148" t="s">
        <v>259</v>
      </c>
    </row>
    <row r="548" spans="1:7" hidden="1">
      <c r="A548" s="148" t="str">
        <f t="shared" si="8"/>
        <v>Security Engineer-Intermediate-US-Technology</v>
      </c>
      <c r="B548" s="435" t="s">
        <v>792</v>
      </c>
      <c r="C548" s="435" t="s">
        <v>239</v>
      </c>
      <c r="D548" s="435" t="s">
        <v>524</v>
      </c>
      <c r="E548" s="435" t="s">
        <v>186</v>
      </c>
      <c r="F548" s="436">
        <v>122</v>
      </c>
      <c r="G548" s="148" t="s">
        <v>259</v>
      </c>
    </row>
    <row r="549" spans="1:7" hidden="1">
      <c r="A549" s="148" t="str">
        <f t="shared" si="8"/>
        <v>Security Engineer-Junior-US-Technology</v>
      </c>
      <c r="B549" s="435" t="s">
        <v>792</v>
      </c>
      <c r="C549" s="435" t="s">
        <v>240</v>
      </c>
      <c r="D549" s="435" t="s">
        <v>521</v>
      </c>
      <c r="E549" s="435" t="s">
        <v>186</v>
      </c>
      <c r="F549" s="436">
        <v>118</v>
      </c>
      <c r="G549" s="148" t="s">
        <v>259</v>
      </c>
    </row>
    <row r="550" spans="1:7" hidden="1">
      <c r="A550" s="148" t="str">
        <f t="shared" si="8"/>
        <v>Security Engineer-Lead-US-Technology</v>
      </c>
      <c r="B550" s="435" t="s">
        <v>792</v>
      </c>
      <c r="C550" s="435" t="s">
        <v>241</v>
      </c>
      <c r="D550" s="435" t="s">
        <v>528</v>
      </c>
      <c r="E550" s="435" t="s">
        <v>186</v>
      </c>
      <c r="F550" s="436">
        <v>164</v>
      </c>
      <c r="G550" s="148" t="s">
        <v>259</v>
      </c>
    </row>
    <row r="551" spans="1:7" hidden="1">
      <c r="A551" s="148" t="str">
        <f t="shared" si="8"/>
        <v>Security Engineer-Principal-US-Technology</v>
      </c>
      <c r="B551" s="435" t="s">
        <v>792</v>
      </c>
      <c r="C551" s="435" t="s">
        <v>242</v>
      </c>
      <c r="D551" s="435" t="s">
        <v>530</v>
      </c>
      <c r="E551" s="435" t="s">
        <v>186</v>
      </c>
      <c r="F551" s="436">
        <v>187</v>
      </c>
      <c r="G551" s="148" t="s">
        <v>259</v>
      </c>
    </row>
    <row r="552" spans="1:7" hidden="1">
      <c r="A552" s="148" t="str">
        <f t="shared" si="8"/>
        <v>Security Engineer-Senior-US-Technology</v>
      </c>
      <c r="B552" s="435" t="s">
        <v>792</v>
      </c>
      <c r="C552" s="435" t="s">
        <v>243</v>
      </c>
      <c r="D552" s="435" t="s">
        <v>526</v>
      </c>
      <c r="E552" s="435" t="s">
        <v>186</v>
      </c>
      <c r="F552" s="436">
        <v>157</v>
      </c>
      <c r="G552" s="148" t="s">
        <v>259</v>
      </c>
    </row>
    <row r="553" spans="1:7" hidden="1">
      <c r="A553" s="148" t="str">
        <f t="shared" si="8"/>
        <v>ServiceNow Architect-Intermediate-US-Technology</v>
      </c>
      <c r="B553" s="435" t="s">
        <v>253</v>
      </c>
      <c r="C553" s="435" t="s">
        <v>239</v>
      </c>
      <c r="D553" s="435" t="s">
        <v>524</v>
      </c>
      <c r="E553" s="435" t="s">
        <v>186</v>
      </c>
      <c r="F553" s="436">
        <v>172</v>
      </c>
      <c r="G553" s="148" t="s">
        <v>259</v>
      </c>
    </row>
    <row r="554" spans="1:7" hidden="1">
      <c r="A554" s="148" t="str">
        <f t="shared" si="8"/>
        <v>ServiceNow Architect-Junior-US-Technology</v>
      </c>
      <c r="B554" s="435" t="s">
        <v>253</v>
      </c>
      <c r="C554" s="435" t="s">
        <v>240</v>
      </c>
      <c r="D554" s="435" t="s">
        <v>521</v>
      </c>
      <c r="E554" s="435" t="s">
        <v>186</v>
      </c>
      <c r="F554" s="436">
        <v>153</v>
      </c>
      <c r="G554" s="148" t="s">
        <v>259</v>
      </c>
    </row>
    <row r="555" spans="1:7" hidden="1">
      <c r="A555" s="148" t="str">
        <f t="shared" si="8"/>
        <v>ServiceNow Architect-Lead-US-Technology</v>
      </c>
      <c r="B555" s="435" t="s">
        <v>253</v>
      </c>
      <c r="C555" s="435" t="s">
        <v>241</v>
      </c>
      <c r="D555" s="435" t="s">
        <v>528</v>
      </c>
      <c r="E555" s="435" t="s">
        <v>186</v>
      </c>
      <c r="F555" s="436">
        <v>201</v>
      </c>
      <c r="G555" s="148" t="s">
        <v>259</v>
      </c>
    </row>
    <row r="556" spans="1:7" hidden="1">
      <c r="A556" s="148" t="str">
        <f t="shared" si="8"/>
        <v>ServiceNow Architect-Principal-US-Technology</v>
      </c>
      <c r="B556" s="435" t="s">
        <v>253</v>
      </c>
      <c r="C556" s="435" t="s">
        <v>242</v>
      </c>
      <c r="D556" s="435" t="s">
        <v>530</v>
      </c>
      <c r="E556" s="435" t="s">
        <v>186</v>
      </c>
      <c r="F556" s="436">
        <v>223</v>
      </c>
      <c r="G556" s="148" t="s">
        <v>259</v>
      </c>
    </row>
    <row r="557" spans="1:7" hidden="1">
      <c r="A557" s="148" t="str">
        <f t="shared" si="8"/>
        <v>ServiceNow Architect-Senior-US-Technology</v>
      </c>
      <c r="B557" s="435" t="s">
        <v>253</v>
      </c>
      <c r="C557" s="435" t="s">
        <v>243</v>
      </c>
      <c r="D557" s="435" t="s">
        <v>526</v>
      </c>
      <c r="E557" s="435" t="s">
        <v>186</v>
      </c>
      <c r="F557" s="436">
        <v>192</v>
      </c>
      <c r="G557" s="148" t="s">
        <v>259</v>
      </c>
    </row>
    <row r="558" spans="1:7" hidden="1">
      <c r="A558" s="148" t="str">
        <f t="shared" si="8"/>
        <v>Software Engineer-Intermediate-US-Technology</v>
      </c>
      <c r="B558" s="435" t="s">
        <v>802</v>
      </c>
      <c r="C558" s="435" t="s">
        <v>239</v>
      </c>
      <c r="D558" s="435" t="s">
        <v>524</v>
      </c>
      <c r="E558" s="435" t="s">
        <v>186</v>
      </c>
      <c r="F558" s="436">
        <v>124</v>
      </c>
      <c r="G558" s="148" t="s">
        <v>259</v>
      </c>
    </row>
    <row r="559" spans="1:7" hidden="1">
      <c r="A559" s="148" t="str">
        <f t="shared" si="8"/>
        <v>Software Engineer-Junior-US-Technology</v>
      </c>
      <c r="B559" s="435" t="s">
        <v>802</v>
      </c>
      <c r="C559" s="435" t="s">
        <v>240</v>
      </c>
      <c r="D559" s="435" t="s">
        <v>521</v>
      </c>
      <c r="E559" s="435" t="s">
        <v>186</v>
      </c>
      <c r="F559" s="436">
        <v>108</v>
      </c>
      <c r="G559" s="148" t="s">
        <v>259</v>
      </c>
    </row>
    <row r="560" spans="1:7" hidden="1">
      <c r="A560" s="148" t="str">
        <f t="shared" si="8"/>
        <v>Software Engineer-Lead-US-Technology</v>
      </c>
      <c r="B560" s="435" t="s">
        <v>802</v>
      </c>
      <c r="C560" s="435" t="s">
        <v>241</v>
      </c>
      <c r="D560" s="435" t="s">
        <v>528</v>
      </c>
      <c r="E560" s="435" t="s">
        <v>186</v>
      </c>
      <c r="F560" s="436">
        <v>153</v>
      </c>
      <c r="G560" s="148" t="s">
        <v>259</v>
      </c>
    </row>
    <row r="561" spans="1:7" hidden="1">
      <c r="A561" s="148" t="str">
        <f t="shared" si="8"/>
        <v>Software Engineer-Principal-US-Technology</v>
      </c>
      <c r="B561" s="435" t="s">
        <v>802</v>
      </c>
      <c r="C561" s="435" t="s">
        <v>242</v>
      </c>
      <c r="D561" s="435" t="s">
        <v>530</v>
      </c>
      <c r="E561" s="435" t="s">
        <v>186</v>
      </c>
      <c r="F561" s="436">
        <v>166</v>
      </c>
      <c r="G561" s="148" t="s">
        <v>259</v>
      </c>
    </row>
    <row r="562" spans="1:7" hidden="1">
      <c r="A562" s="148" t="str">
        <f t="shared" si="8"/>
        <v>Software Engineer-Senior-US-Technology</v>
      </c>
      <c r="B562" s="435" t="s">
        <v>802</v>
      </c>
      <c r="C562" s="435" t="s">
        <v>243</v>
      </c>
      <c r="D562" s="435" t="s">
        <v>526</v>
      </c>
      <c r="E562" s="435" t="s">
        <v>186</v>
      </c>
      <c r="F562" s="436">
        <v>142</v>
      </c>
      <c r="G562" s="148" t="s">
        <v>259</v>
      </c>
    </row>
    <row r="563" spans="1:7" hidden="1">
      <c r="A563" s="148" t="str">
        <f t="shared" si="8"/>
        <v>Solution Architect-Intermediate-US-Technology</v>
      </c>
      <c r="B563" s="435" t="s">
        <v>369</v>
      </c>
      <c r="C563" s="435" t="s">
        <v>239</v>
      </c>
      <c r="D563" s="435" t="s">
        <v>524</v>
      </c>
      <c r="E563" s="435" t="s">
        <v>186</v>
      </c>
      <c r="F563" s="436">
        <v>189</v>
      </c>
      <c r="G563" s="148" t="s">
        <v>259</v>
      </c>
    </row>
    <row r="564" spans="1:7" hidden="1">
      <c r="A564" s="148" t="str">
        <f t="shared" si="8"/>
        <v>Solution Architect-Junior-US-Technology</v>
      </c>
      <c r="B564" s="435" t="s">
        <v>369</v>
      </c>
      <c r="C564" s="435" t="s">
        <v>240</v>
      </c>
      <c r="D564" s="435" t="s">
        <v>521</v>
      </c>
      <c r="E564" s="435" t="s">
        <v>186</v>
      </c>
      <c r="F564" s="436">
        <v>153</v>
      </c>
      <c r="G564" s="148" t="s">
        <v>259</v>
      </c>
    </row>
    <row r="565" spans="1:7" hidden="1">
      <c r="A565" s="148" t="str">
        <f t="shared" si="8"/>
        <v>Solution Architect-Lead-US-Technology</v>
      </c>
      <c r="B565" s="435" t="s">
        <v>369</v>
      </c>
      <c r="C565" s="435" t="s">
        <v>241</v>
      </c>
      <c r="D565" s="435" t="s">
        <v>528</v>
      </c>
      <c r="E565" s="435" t="s">
        <v>186</v>
      </c>
      <c r="F565" s="436">
        <v>258</v>
      </c>
      <c r="G565" s="148" t="s">
        <v>259</v>
      </c>
    </row>
    <row r="566" spans="1:7" hidden="1">
      <c r="A566" s="148" t="str">
        <f t="shared" si="8"/>
        <v>Solution Architect-Principal-US-Technology</v>
      </c>
      <c r="B566" s="435" t="s">
        <v>369</v>
      </c>
      <c r="C566" s="435" t="s">
        <v>242</v>
      </c>
      <c r="D566" s="435" t="s">
        <v>530</v>
      </c>
      <c r="E566" s="435" t="s">
        <v>186</v>
      </c>
      <c r="F566" s="436">
        <v>316</v>
      </c>
      <c r="G566" s="148" t="s">
        <v>259</v>
      </c>
    </row>
    <row r="567" spans="1:7" hidden="1">
      <c r="A567" s="148" t="str">
        <f t="shared" si="8"/>
        <v>Solution Architect-Senior-US-Technology</v>
      </c>
      <c r="B567" s="435" t="s">
        <v>369</v>
      </c>
      <c r="C567" s="435" t="s">
        <v>243</v>
      </c>
      <c r="D567" s="435" t="s">
        <v>526</v>
      </c>
      <c r="E567" s="435" t="s">
        <v>186</v>
      </c>
      <c r="F567" s="436">
        <v>227</v>
      </c>
      <c r="G567" s="148" t="s">
        <v>259</v>
      </c>
    </row>
    <row r="568" spans="1:7" hidden="1">
      <c r="A568" s="148" t="str">
        <f t="shared" si="8"/>
        <v>Strategy-Analyst-US-Consulting</v>
      </c>
      <c r="B568" s="435" t="s">
        <v>813</v>
      </c>
      <c r="C568" s="435" t="s">
        <v>384</v>
      </c>
      <c r="D568" s="435" t="s">
        <v>591</v>
      </c>
      <c r="E568" s="435" t="s">
        <v>186</v>
      </c>
      <c r="F568" s="436">
        <v>351</v>
      </c>
      <c r="G568" s="148" t="s">
        <v>261</v>
      </c>
    </row>
    <row r="569" spans="1:7" hidden="1">
      <c r="A569" s="148" t="str">
        <f t="shared" si="8"/>
        <v>Strategy-Consultant-US-Consulting</v>
      </c>
      <c r="B569" s="435" t="s">
        <v>813</v>
      </c>
      <c r="C569" s="435" t="s">
        <v>368</v>
      </c>
      <c r="D569" s="435" t="s">
        <v>593</v>
      </c>
      <c r="E569" s="435" t="s">
        <v>186</v>
      </c>
      <c r="F569" s="436">
        <v>388</v>
      </c>
      <c r="G569" s="148" t="s">
        <v>261</v>
      </c>
    </row>
    <row r="570" spans="1:7" hidden="1">
      <c r="A570" s="148" t="str">
        <f t="shared" si="8"/>
        <v>Strategy-Manager-US-Consulting</v>
      </c>
      <c r="B570" s="435" t="s">
        <v>813</v>
      </c>
      <c r="C570" s="435" t="s">
        <v>376</v>
      </c>
      <c r="D570" s="435" t="s">
        <v>595</v>
      </c>
      <c r="E570" s="435" t="s">
        <v>186</v>
      </c>
      <c r="F570" s="436">
        <v>568</v>
      </c>
      <c r="G570" s="148" t="s">
        <v>261</v>
      </c>
    </row>
    <row r="571" spans="1:7" hidden="1">
      <c r="A571" s="148" t="str">
        <f t="shared" si="8"/>
        <v>Technology-Managing Director-India-Consulting</v>
      </c>
      <c r="B571" s="435" t="s">
        <v>259</v>
      </c>
      <c r="C571" s="435" t="s">
        <v>357</v>
      </c>
      <c r="D571" s="435" t="s">
        <v>597</v>
      </c>
      <c r="E571" s="435" t="s">
        <v>184</v>
      </c>
      <c r="F571" s="436">
        <v>180</v>
      </c>
      <c r="G571" s="148" t="s">
        <v>261</v>
      </c>
    </row>
    <row r="572" spans="1:7" hidden="1">
      <c r="A572" s="148" t="str">
        <f t="shared" si="8"/>
        <v>Strategy-Principal-US-Consulting</v>
      </c>
      <c r="B572" s="435" t="s">
        <v>813</v>
      </c>
      <c r="C572" s="435" t="s">
        <v>242</v>
      </c>
      <c r="D572" s="435" t="s">
        <v>599</v>
      </c>
      <c r="E572" s="435" t="s">
        <v>186</v>
      </c>
      <c r="F572" s="436">
        <v>750</v>
      </c>
      <c r="G572" s="148" t="s">
        <v>261</v>
      </c>
    </row>
    <row r="573" spans="1:7" hidden="1">
      <c r="A573" s="148" t="str">
        <f t="shared" si="8"/>
        <v>Strategy-Senior Consultant-US-Consulting</v>
      </c>
      <c r="B573" s="435" t="s">
        <v>813</v>
      </c>
      <c r="C573" s="435" t="s">
        <v>364</v>
      </c>
      <c r="D573" s="435" t="s">
        <v>601</v>
      </c>
      <c r="E573" s="435" t="s">
        <v>186</v>
      </c>
      <c r="F573" s="436">
        <v>471</v>
      </c>
      <c r="G573" s="148" t="s">
        <v>261</v>
      </c>
    </row>
    <row r="574" spans="1:7" hidden="1">
      <c r="A574" s="148" t="str">
        <f t="shared" si="8"/>
        <v>Strategy-Senior Manager-US-Consulting</v>
      </c>
      <c r="B574" s="435" t="s">
        <v>813</v>
      </c>
      <c r="C574" s="435" t="s">
        <v>361</v>
      </c>
      <c r="D574" s="435" t="s">
        <v>603</v>
      </c>
      <c r="E574" s="435" t="s">
        <v>186</v>
      </c>
      <c r="F574" s="436">
        <v>647</v>
      </c>
      <c r="G574" s="148" t="s">
        <v>261</v>
      </c>
    </row>
    <row r="575" spans="1:7" hidden="1">
      <c r="A575" s="148" t="str">
        <f t="shared" si="8"/>
        <v>System Administrator-Intermediate-US-Technology</v>
      </c>
      <c r="B575" s="435" t="s">
        <v>821</v>
      </c>
      <c r="C575" s="435" t="s">
        <v>239</v>
      </c>
      <c r="D575" s="435" t="s">
        <v>524</v>
      </c>
      <c r="E575" s="435" t="s">
        <v>186</v>
      </c>
      <c r="F575" s="436">
        <v>114</v>
      </c>
      <c r="G575" s="148" t="s">
        <v>259</v>
      </c>
    </row>
    <row r="576" spans="1:7" hidden="1">
      <c r="A576" s="148" t="str">
        <f t="shared" si="8"/>
        <v>System Administrator-Junior-US-Technology</v>
      </c>
      <c r="B576" s="435" t="s">
        <v>821</v>
      </c>
      <c r="C576" s="435" t="s">
        <v>240</v>
      </c>
      <c r="D576" s="435" t="s">
        <v>521</v>
      </c>
      <c r="E576" s="435" t="s">
        <v>186</v>
      </c>
      <c r="F576" s="436">
        <v>104</v>
      </c>
      <c r="G576" s="148" t="s">
        <v>259</v>
      </c>
    </row>
    <row r="577" spans="1:7" hidden="1">
      <c r="A577" s="148" t="str">
        <f t="shared" si="8"/>
        <v>System Administrator-Lead-US-Technology</v>
      </c>
      <c r="B577" s="435" t="s">
        <v>821</v>
      </c>
      <c r="C577" s="435" t="s">
        <v>241</v>
      </c>
      <c r="D577" s="435" t="s">
        <v>528</v>
      </c>
      <c r="E577" s="435" t="s">
        <v>186</v>
      </c>
      <c r="F577" s="436">
        <v>142</v>
      </c>
      <c r="G577" s="148" t="s">
        <v>259</v>
      </c>
    </row>
    <row r="578" spans="1:7" hidden="1">
      <c r="A578" s="148" t="str">
        <f t="shared" ref="A578:A641" si="9">_xlfn.CONCAT(B578,"-",C578,"-",E578,"-",G578)</f>
        <v>System Administrator-Principal-US-Technology</v>
      </c>
      <c r="B578" s="435" t="s">
        <v>821</v>
      </c>
      <c r="C578" s="435" t="s">
        <v>242</v>
      </c>
      <c r="D578" s="435" t="s">
        <v>530</v>
      </c>
      <c r="E578" s="435" t="s">
        <v>186</v>
      </c>
      <c r="F578" s="436">
        <v>151</v>
      </c>
      <c r="G578" s="148" t="s">
        <v>259</v>
      </c>
    </row>
    <row r="579" spans="1:7" hidden="1">
      <c r="A579" s="148" t="str">
        <f t="shared" si="9"/>
        <v>System Administrator-Senior-US-Technology</v>
      </c>
      <c r="B579" s="435" t="s">
        <v>821</v>
      </c>
      <c r="C579" s="435" t="s">
        <v>243</v>
      </c>
      <c r="D579" s="435" t="s">
        <v>526</v>
      </c>
      <c r="E579" s="435" t="s">
        <v>186</v>
      </c>
      <c r="F579" s="436">
        <v>125</v>
      </c>
      <c r="G579" s="148" t="s">
        <v>259</v>
      </c>
    </row>
    <row r="580" spans="1:7" hidden="1">
      <c r="A580" s="148" t="str">
        <f t="shared" si="9"/>
        <v>Systems Engineer-Intermediate-US-Technology</v>
      </c>
      <c r="B580" s="435" t="s">
        <v>827</v>
      </c>
      <c r="C580" s="435" t="s">
        <v>239</v>
      </c>
      <c r="D580" s="435" t="s">
        <v>524</v>
      </c>
      <c r="E580" s="435" t="s">
        <v>186</v>
      </c>
      <c r="F580" s="436">
        <v>124</v>
      </c>
      <c r="G580" s="148" t="s">
        <v>259</v>
      </c>
    </row>
    <row r="581" spans="1:7" hidden="1">
      <c r="A581" s="148" t="str">
        <f t="shared" si="9"/>
        <v>Systems Engineer-Junior-US-Technology</v>
      </c>
      <c r="B581" s="435" t="s">
        <v>827</v>
      </c>
      <c r="C581" s="435" t="s">
        <v>240</v>
      </c>
      <c r="D581" s="435" t="s">
        <v>521</v>
      </c>
      <c r="E581" s="435" t="s">
        <v>186</v>
      </c>
      <c r="F581" s="436">
        <v>115</v>
      </c>
      <c r="G581" s="148" t="s">
        <v>259</v>
      </c>
    </row>
    <row r="582" spans="1:7" hidden="1">
      <c r="A582" s="148" t="str">
        <f t="shared" si="9"/>
        <v>Systems Engineer-Lead-US-Technology</v>
      </c>
      <c r="B582" s="435" t="s">
        <v>827</v>
      </c>
      <c r="C582" s="435" t="s">
        <v>241</v>
      </c>
      <c r="D582" s="435" t="s">
        <v>528</v>
      </c>
      <c r="E582" s="435" t="s">
        <v>186</v>
      </c>
      <c r="F582" s="436">
        <v>157</v>
      </c>
      <c r="G582" s="148" t="s">
        <v>259</v>
      </c>
    </row>
    <row r="583" spans="1:7" hidden="1">
      <c r="A583" s="148" t="str">
        <f t="shared" si="9"/>
        <v>Systems Engineer-Principal-US-Technology</v>
      </c>
      <c r="B583" s="435" t="s">
        <v>827</v>
      </c>
      <c r="C583" s="435" t="s">
        <v>242</v>
      </c>
      <c r="D583" s="435" t="s">
        <v>530</v>
      </c>
      <c r="E583" s="435" t="s">
        <v>186</v>
      </c>
      <c r="F583" s="436">
        <v>166</v>
      </c>
      <c r="G583" s="148" t="s">
        <v>259</v>
      </c>
    </row>
    <row r="584" spans="1:7" hidden="1">
      <c r="A584" s="148" t="str">
        <f t="shared" si="9"/>
        <v>Systems Engineer-Senior-US-Technology</v>
      </c>
      <c r="B584" s="435" t="s">
        <v>827</v>
      </c>
      <c r="C584" s="435" t="s">
        <v>243</v>
      </c>
      <c r="D584" s="435" t="s">
        <v>526</v>
      </c>
      <c r="E584" s="435" t="s">
        <v>186</v>
      </c>
      <c r="F584" s="436">
        <v>148</v>
      </c>
      <c r="G584" s="148" t="s">
        <v>259</v>
      </c>
    </row>
    <row r="585" spans="1:7" hidden="1">
      <c r="A585" s="148" t="str">
        <f t="shared" si="9"/>
        <v>Systems Implementation Consultant-Intermediate-US-Technology</v>
      </c>
      <c r="B585" s="435" t="s">
        <v>833</v>
      </c>
      <c r="C585" s="435" t="s">
        <v>239</v>
      </c>
      <c r="D585" s="435" t="s">
        <v>524</v>
      </c>
      <c r="E585" s="435" t="s">
        <v>186</v>
      </c>
      <c r="F585" s="436">
        <v>143</v>
      </c>
      <c r="G585" s="148" t="s">
        <v>259</v>
      </c>
    </row>
    <row r="586" spans="1:7" hidden="1">
      <c r="A586" s="148" t="str">
        <f t="shared" si="9"/>
        <v>Systems Implementation Consultant-Junior-US-Technology</v>
      </c>
      <c r="B586" s="435" t="s">
        <v>833</v>
      </c>
      <c r="C586" s="435" t="s">
        <v>240</v>
      </c>
      <c r="D586" s="435" t="s">
        <v>521</v>
      </c>
      <c r="E586" s="435" t="s">
        <v>186</v>
      </c>
      <c r="F586" s="436">
        <v>132</v>
      </c>
      <c r="G586" s="148" t="s">
        <v>259</v>
      </c>
    </row>
    <row r="587" spans="1:7" hidden="1">
      <c r="A587" s="148" t="str">
        <f t="shared" si="9"/>
        <v>Systems Implementation Consultant-Lead-US-Technology</v>
      </c>
      <c r="B587" s="435" t="s">
        <v>833</v>
      </c>
      <c r="C587" s="435" t="s">
        <v>241</v>
      </c>
      <c r="D587" s="435" t="s">
        <v>528</v>
      </c>
      <c r="E587" s="435" t="s">
        <v>186</v>
      </c>
      <c r="F587" s="436">
        <v>217</v>
      </c>
      <c r="G587" s="148" t="s">
        <v>259</v>
      </c>
    </row>
    <row r="588" spans="1:7" hidden="1">
      <c r="A588" s="148" t="str">
        <f t="shared" si="9"/>
        <v>Systems Implementation Consultant-Principal-US-Technology</v>
      </c>
      <c r="B588" s="435" t="s">
        <v>833</v>
      </c>
      <c r="C588" s="435" t="s">
        <v>242</v>
      </c>
      <c r="D588" s="435" t="s">
        <v>530</v>
      </c>
      <c r="E588" s="435" t="s">
        <v>186</v>
      </c>
      <c r="F588" s="436">
        <v>258</v>
      </c>
      <c r="G588" s="148" t="s">
        <v>259</v>
      </c>
    </row>
    <row r="589" spans="1:7" hidden="1">
      <c r="A589" s="148" t="str">
        <f t="shared" si="9"/>
        <v>Systems Implementation Consultant-Senior-US-Technology</v>
      </c>
      <c r="B589" s="435" t="s">
        <v>833</v>
      </c>
      <c r="C589" s="435" t="s">
        <v>243</v>
      </c>
      <c r="D589" s="435" t="s">
        <v>526</v>
      </c>
      <c r="E589" s="435" t="s">
        <v>186</v>
      </c>
      <c r="F589" s="436">
        <v>189</v>
      </c>
      <c r="G589" s="148" t="s">
        <v>259</v>
      </c>
    </row>
    <row r="590" spans="1:7" hidden="1">
      <c r="A590" s="148" t="str">
        <f t="shared" si="9"/>
        <v>Tech Consultant-Intermediate-US-Technology</v>
      </c>
      <c r="B590" s="435" t="s">
        <v>451</v>
      </c>
      <c r="C590" s="435" t="s">
        <v>239</v>
      </c>
      <c r="D590" s="435" t="s">
        <v>524</v>
      </c>
      <c r="E590" s="435" t="s">
        <v>186</v>
      </c>
      <c r="F590" s="436">
        <v>132</v>
      </c>
      <c r="G590" s="148" t="s">
        <v>259</v>
      </c>
    </row>
    <row r="591" spans="1:7" hidden="1">
      <c r="A591" s="148" t="str">
        <f t="shared" si="9"/>
        <v>Tech Consultant-Junior-US-Technology</v>
      </c>
      <c r="B591" s="435" t="s">
        <v>451</v>
      </c>
      <c r="C591" s="435" t="s">
        <v>240</v>
      </c>
      <c r="D591" s="435" t="s">
        <v>521</v>
      </c>
      <c r="E591" s="435" t="s">
        <v>186</v>
      </c>
      <c r="F591" s="436">
        <v>120</v>
      </c>
      <c r="G591" s="148" t="s">
        <v>259</v>
      </c>
    </row>
    <row r="592" spans="1:7" hidden="1">
      <c r="A592" s="148" t="str">
        <f t="shared" si="9"/>
        <v>Tech Consultant-Lead-US-Technology</v>
      </c>
      <c r="B592" s="435" t="s">
        <v>451</v>
      </c>
      <c r="C592" s="435" t="s">
        <v>241</v>
      </c>
      <c r="D592" s="435" t="s">
        <v>528</v>
      </c>
      <c r="E592" s="435" t="s">
        <v>186</v>
      </c>
      <c r="F592" s="436">
        <v>180</v>
      </c>
      <c r="G592" s="148" t="s">
        <v>259</v>
      </c>
    </row>
    <row r="593" spans="1:7" hidden="1">
      <c r="A593" s="148" t="str">
        <f t="shared" si="9"/>
        <v>Tech Consultant-Principal-US-Technology</v>
      </c>
      <c r="B593" s="435" t="s">
        <v>451</v>
      </c>
      <c r="C593" s="435" t="s">
        <v>242</v>
      </c>
      <c r="D593" s="435" t="s">
        <v>530</v>
      </c>
      <c r="E593" s="435" t="s">
        <v>186</v>
      </c>
      <c r="F593" s="436">
        <v>189</v>
      </c>
      <c r="G593" s="148" t="s">
        <v>259</v>
      </c>
    </row>
    <row r="594" spans="1:7" hidden="1">
      <c r="A594" s="148" t="str">
        <f t="shared" si="9"/>
        <v>Tech Consultant-Senior-US-Technology</v>
      </c>
      <c r="B594" s="435" t="s">
        <v>451</v>
      </c>
      <c r="C594" s="435" t="s">
        <v>243</v>
      </c>
      <c r="D594" s="435" t="s">
        <v>526</v>
      </c>
      <c r="E594" s="435" t="s">
        <v>186</v>
      </c>
      <c r="F594" s="436">
        <v>166</v>
      </c>
      <c r="G594" s="148" t="s">
        <v>259</v>
      </c>
    </row>
    <row r="595" spans="1:7" hidden="1">
      <c r="A595" s="148" t="str">
        <f t="shared" si="9"/>
        <v>Technical Analyst-Intermediate-US-Technology</v>
      </c>
      <c r="B595" s="435" t="s">
        <v>844</v>
      </c>
      <c r="C595" s="435" t="s">
        <v>239</v>
      </c>
      <c r="D595" s="435" t="s">
        <v>524</v>
      </c>
      <c r="E595" s="435" t="s">
        <v>186</v>
      </c>
      <c r="F595" s="436">
        <v>117</v>
      </c>
      <c r="G595" s="148" t="s">
        <v>259</v>
      </c>
    </row>
    <row r="596" spans="1:7" hidden="1">
      <c r="A596" s="148" t="str">
        <f t="shared" si="9"/>
        <v>Technical Analyst-Junior-US-Technology</v>
      </c>
      <c r="B596" s="435" t="s">
        <v>844</v>
      </c>
      <c r="C596" s="435" t="s">
        <v>240</v>
      </c>
      <c r="D596" s="435" t="s">
        <v>521</v>
      </c>
      <c r="E596" s="435" t="s">
        <v>186</v>
      </c>
      <c r="F596" s="436">
        <v>106</v>
      </c>
      <c r="G596" s="148" t="s">
        <v>259</v>
      </c>
    </row>
    <row r="597" spans="1:7" hidden="1">
      <c r="A597" s="148" t="str">
        <f t="shared" si="9"/>
        <v>Technical Analyst-Lead-US-Technology</v>
      </c>
      <c r="B597" s="435" t="s">
        <v>844</v>
      </c>
      <c r="C597" s="435" t="s">
        <v>241</v>
      </c>
      <c r="D597" s="435" t="s">
        <v>528</v>
      </c>
      <c r="E597" s="435" t="s">
        <v>186</v>
      </c>
      <c r="F597" s="436">
        <v>164</v>
      </c>
      <c r="G597" s="148" t="s">
        <v>259</v>
      </c>
    </row>
    <row r="598" spans="1:7" hidden="1">
      <c r="A598" s="148" t="str">
        <f t="shared" si="9"/>
        <v>Technical Analyst-Principal-US-Technology</v>
      </c>
      <c r="B598" s="435" t="s">
        <v>844</v>
      </c>
      <c r="C598" s="435" t="s">
        <v>242</v>
      </c>
      <c r="D598" s="435" t="s">
        <v>530</v>
      </c>
      <c r="E598" s="435" t="s">
        <v>186</v>
      </c>
      <c r="F598" s="436">
        <v>177</v>
      </c>
      <c r="G598" s="148" t="s">
        <v>259</v>
      </c>
    </row>
    <row r="599" spans="1:7" hidden="1">
      <c r="A599" s="148" t="str">
        <f t="shared" si="9"/>
        <v>Technical Analyst-Senior-US-Technology</v>
      </c>
      <c r="B599" s="435" t="s">
        <v>844</v>
      </c>
      <c r="C599" s="435" t="s">
        <v>243</v>
      </c>
      <c r="D599" s="435" t="s">
        <v>526</v>
      </c>
      <c r="E599" s="435" t="s">
        <v>186</v>
      </c>
      <c r="F599" s="436">
        <v>148</v>
      </c>
      <c r="G599" s="148" t="s">
        <v>259</v>
      </c>
    </row>
    <row r="600" spans="1:7" hidden="1">
      <c r="A600" s="148" t="str">
        <f t="shared" si="9"/>
        <v>Technical Architect-Intermediate-US-Technology</v>
      </c>
      <c r="B600" s="435" t="s">
        <v>850</v>
      </c>
      <c r="C600" s="435" t="s">
        <v>239</v>
      </c>
      <c r="D600" s="435" t="s">
        <v>524</v>
      </c>
      <c r="E600" s="435" t="s">
        <v>186</v>
      </c>
      <c r="F600" s="436">
        <v>145</v>
      </c>
      <c r="G600" s="148" t="s">
        <v>259</v>
      </c>
    </row>
    <row r="601" spans="1:7" hidden="1">
      <c r="A601" s="148" t="str">
        <f t="shared" si="9"/>
        <v>Technical Architect-Junior-US-Technology</v>
      </c>
      <c r="B601" s="435" t="s">
        <v>850</v>
      </c>
      <c r="C601" s="435" t="s">
        <v>240</v>
      </c>
      <c r="D601" s="435" t="s">
        <v>521</v>
      </c>
      <c r="E601" s="435" t="s">
        <v>186</v>
      </c>
      <c r="F601" s="436">
        <v>125</v>
      </c>
      <c r="G601" s="148" t="s">
        <v>259</v>
      </c>
    </row>
    <row r="602" spans="1:7" hidden="1">
      <c r="A602" s="148" t="str">
        <f t="shared" si="9"/>
        <v>Technical Architect-Lead-US-Technology</v>
      </c>
      <c r="B602" s="435" t="s">
        <v>850</v>
      </c>
      <c r="C602" s="435" t="s">
        <v>241</v>
      </c>
      <c r="D602" s="435" t="s">
        <v>528</v>
      </c>
      <c r="E602" s="435" t="s">
        <v>186</v>
      </c>
      <c r="F602" s="436">
        <v>201</v>
      </c>
      <c r="G602" s="148" t="s">
        <v>259</v>
      </c>
    </row>
    <row r="603" spans="1:7" hidden="1">
      <c r="A603" s="148" t="str">
        <f t="shared" si="9"/>
        <v>Technical Architect-Principal-US-Technology</v>
      </c>
      <c r="B603" s="435" t="s">
        <v>850</v>
      </c>
      <c r="C603" s="435" t="s">
        <v>242</v>
      </c>
      <c r="D603" s="435" t="s">
        <v>530</v>
      </c>
      <c r="E603" s="435" t="s">
        <v>186</v>
      </c>
      <c r="F603" s="436">
        <v>223</v>
      </c>
      <c r="G603" s="148" t="s">
        <v>259</v>
      </c>
    </row>
    <row r="604" spans="1:7" hidden="1">
      <c r="A604" s="148" t="str">
        <f t="shared" si="9"/>
        <v>Technical Architect-Senior-US-Technology</v>
      </c>
      <c r="B604" s="435" t="s">
        <v>850</v>
      </c>
      <c r="C604" s="435" t="s">
        <v>243</v>
      </c>
      <c r="D604" s="435" t="s">
        <v>526</v>
      </c>
      <c r="E604" s="435" t="s">
        <v>186</v>
      </c>
      <c r="F604" s="436">
        <v>166</v>
      </c>
      <c r="G604" s="148" t="s">
        <v>259</v>
      </c>
    </row>
    <row r="605" spans="1:7" hidden="1">
      <c r="A605" s="148" t="str">
        <f t="shared" si="9"/>
        <v>Technical Consultant-Intermediate-US-Technology</v>
      </c>
      <c r="B605" s="435" t="s">
        <v>856</v>
      </c>
      <c r="C605" s="435" t="s">
        <v>239</v>
      </c>
      <c r="D605" s="435" t="s">
        <v>524</v>
      </c>
      <c r="E605" s="435" t="s">
        <v>186</v>
      </c>
      <c r="F605" s="436">
        <v>120</v>
      </c>
      <c r="G605" s="148" t="s">
        <v>259</v>
      </c>
    </row>
    <row r="606" spans="1:7" hidden="1">
      <c r="A606" s="148" t="str">
        <f t="shared" si="9"/>
        <v>Technical Consultant-Junior-US-Technology</v>
      </c>
      <c r="B606" s="435" t="s">
        <v>856</v>
      </c>
      <c r="C606" s="435" t="s">
        <v>240</v>
      </c>
      <c r="D606" s="435" t="s">
        <v>521</v>
      </c>
      <c r="E606" s="435" t="s">
        <v>186</v>
      </c>
      <c r="F606" s="436">
        <v>115</v>
      </c>
      <c r="G606" s="148" t="s">
        <v>259</v>
      </c>
    </row>
    <row r="607" spans="1:7" hidden="1">
      <c r="A607" s="148" t="str">
        <f t="shared" si="9"/>
        <v>Technical Consultant-Lead-US-Technology</v>
      </c>
      <c r="B607" s="435" t="s">
        <v>856</v>
      </c>
      <c r="C607" s="435" t="s">
        <v>241</v>
      </c>
      <c r="D607" s="435" t="s">
        <v>528</v>
      </c>
      <c r="E607" s="435" t="s">
        <v>186</v>
      </c>
      <c r="F607" s="436">
        <v>174</v>
      </c>
      <c r="G607" s="148" t="s">
        <v>259</v>
      </c>
    </row>
    <row r="608" spans="1:7" hidden="1">
      <c r="A608" s="148" t="str">
        <f t="shared" si="9"/>
        <v>Technical Consultant-Principal-US-Technology</v>
      </c>
      <c r="B608" s="435" t="s">
        <v>856</v>
      </c>
      <c r="C608" s="435" t="s">
        <v>242</v>
      </c>
      <c r="D608" s="435" t="s">
        <v>530</v>
      </c>
      <c r="E608" s="435" t="s">
        <v>186</v>
      </c>
      <c r="F608" s="436">
        <v>189</v>
      </c>
      <c r="G608" s="148" t="s">
        <v>259</v>
      </c>
    </row>
    <row r="609" spans="1:7" hidden="1">
      <c r="A609" s="148" t="str">
        <f t="shared" si="9"/>
        <v>Technical Consultant-Senior-US-Technology</v>
      </c>
      <c r="B609" s="435" t="s">
        <v>856</v>
      </c>
      <c r="C609" s="435" t="s">
        <v>243</v>
      </c>
      <c r="D609" s="435" t="s">
        <v>526</v>
      </c>
      <c r="E609" s="435" t="s">
        <v>186</v>
      </c>
      <c r="F609" s="436">
        <v>157</v>
      </c>
      <c r="G609" s="148" t="s">
        <v>259</v>
      </c>
    </row>
    <row r="610" spans="1:7" hidden="1">
      <c r="A610" s="148" t="str">
        <f t="shared" si="9"/>
        <v>Technical Writer-Intermediate-US-Technology</v>
      </c>
      <c r="B610" s="435" t="s">
        <v>862</v>
      </c>
      <c r="C610" s="435" t="s">
        <v>239</v>
      </c>
      <c r="D610" s="435" t="s">
        <v>524</v>
      </c>
      <c r="E610" s="435" t="s">
        <v>186</v>
      </c>
      <c r="F610" s="436">
        <v>106</v>
      </c>
      <c r="G610" s="148" t="s">
        <v>259</v>
      </c>
    </row>
    <row r="611" spans="1:7" hidden="1">
      <c r="A611" s="148" t="str">
        <f t="shared" si="9"/>
        <v>Technical Writer-Junior-US-Technology</v>
      </c>
      <c r="B611" s="435" t="s">
        <v>862</v>
      </c>
      <c r="C611" s="435" t="s">
        <v>240</v>
      </c>
      <c r="D611" s="435" t="s">
        <v>521</v>
      </c>
      <c r="E611" s="435" t="s">
        <v>186</v>
      </c>
      <c r="F611" s="436">
        <v>86</v>
      </c>
      <c r="G611" s="148" t="s">
        <v>259</v>
      </c>
    </row>
    <row r="612" spans="1:7" hidden="1">
      <c r="A612" s="148" t="str">
        <f t="shared" si="9"/>
        <v>Technical Writer-Lead-US-Technology</v>
      </c>
      <c r="B612" s="435" t="s">
        <v>862</v>
      </c>
      <c r="C612" s="435" t="s">
        <v>241</v>
      </c>
      <c r="D612" s="435" t="s">
        <v>528</v>
      </c>
      <c r="E612" s="435" t="s">
        <v>186</v>
      </c>
      <c r="F612" s="436">
        <v>142</v>
      </c>
      <c r="G612" s="148" t="s">
        <v>259</v>
      </c>
    </row>
    <row r="613" spans="1:7" hidden="1">
      <c r="A613" s="148" t="str">
        <f t="shared" si="9"/>
        <v>Technical Writer-Principal-US-Technology</v>
      </c>
      <c r="B613" s="435" t="s">
        <v>862</v>
      </c>
      <c r="C613" s="435" t="s">
        <v>242</v>
      </c>
      <c r="D613" s="435" t="s">
        <v>530</v>
      </c>
      <c r="E613" s="435" t="s">
        <v>186</v>
      </c>
      <c r="F613" s="436">
        <v>151</v>
      </c>
      <c r="G613" s="148" t="s">
        <v>259</v>
      </c>
    </row>
    <row r="614" spans="1:7" hidden="1">
      <c r="A614" s="148" t="str">
        <f t="shared" si="9"/>
        <v>Technical Writer-Senior-US-Technology</v>
      </c>
      <c r="B614" s="435" t="s">
        <v>862</v>
      </c>
      <c r="C614" s="435" t="s">
        <v>243</v>
      </c>
      <c r="D614" s="435" t="s">
        <v>526</v>
      </c>
      <c r="E614" s="435" t="s">
        <v>186</v>
      </c>
      <c r="F614" s="436">
        <v>132</v>
      </c>
      <c r="G614" s="148" t="s">
        <v>259</v>
      </c>
    </row>
    <row r="615" spans="1:7" hidden="1">
      <c r="A615" s="148" t="str">
        <f t="shared" si="9"/>
        <v>Technical/Functional Team Lead-Intermediate-US-Technology</v>
      </c>
      <c r="B615" s="435" t="s">
        <v>868</v>
      </c>
      <c r="C615" s="435" t="s">
        <v>239</v>
      </c>
      <c r="D615" s="435" t="s">
        <v>524</v>
      </c>
      <c r="E615" s="435" t="s">
        <v>186</v>
      </c>
      <c r="F615" s="436">
        <v>127</v>
      </c>
      <c r="G615" s="148" t="s">
        <v>259</v>
      </c>
    </row>
    <row r="616" spans="1:7" hidden="1">
      <c r="A616" s="148" t="str">
        <f t="shared" si="9"/>
        <v>Technical/Functional Team Lead-Junior-US-Technology</v>
      </c>
      <c r="B616" s="435" t="s">
        <v>868</v>
      </c>
      <c r="C616" s="435" t="s">
        <v>240</v>
      </c>
      <c r="D616" s="435" t="s">
        <v>521</v>
      </c>
      <c r="E616" s="435" t="s">
        <v>186</v>
      </c>
      <c r="F616" s="436">
        <v>120</v>
      </c>
      <c r="G616" s="148" t="s">
        <v>259</v>
      </c>
    </row>
    <row r="617" spans="1:7" hidden="1">
      <c r="A617" s="148" t="str">
        <f t="shared" si="9"/>
        <v>Technical/Functional Team Lead-Lead-US-Technology</v>
      </c>
      <c r="B617" s="435" t="s">
        <v>868</v>
      </c>
      <c r="C617" s="435" t="s">
        <v>241</v>
      </c>
      <c r="D617" s="435" t="s">
        <v>528</v>
      </c>
      <c r="E617" s="435" t="s">
        <v>186</v>
      </c>
      <c r="F617" s="436">
        <v>172</v>
      </c>
      <c r="G617" s="148" t="s">
        <v>259</v>
      </c>
    </row>
    <row r="618" spans="1:7" hidden="1">
      <c r="A618" s="148" t="str">
        <f t="shared" si="9"/>
        <v>Technical/Functional Team Lead-Principal-US-Technology</v>
      </c>
      <c r="B618" s="435" t="s">
        <v>868</v>
      </c>
      <c r="C618" s="435" t="s">
        <v>242</v>
      </c>
      <c r="D618" s="435" t="s">
        <v>530</v>
      </c>
      <c r="E618" s="435" t="s">
        <v>186</v>
      </c>
      <c r="F618" s="436">
        <v>189</v>
      </c>
      <c r="G618" s="148" t="s">
        <v>259</v>
      </c>
    </row>
    <row r="619" spans="1:7" hidden="1">
      <c r="A619" s="148" t="str">
        <f t="shared" si="9"/>
        <v>Technical/Functional Team Lead-Senior-US-Technology</v>
      </c>
      <c r="B619" s="435" t="s">
        <v>868</v>
      </c>
      <c r="C619" s="435" t="s">
        <v>243</v>
      </c>
      <c r="D619" s="435" t="s">
        <v>526</v>
      </c>
      <c r="E619" s="435" t="s">
        <v>186</v>
      </c>
      <c r="F619" s="436">
        <v>157</v>
      </c>
      <c r="G619" s="148" t="s">
        <v>259</v>
      </c>
    </row>
    <row r="620" spans="1:7" hidden="1">
      <c r="A620" s="148" t="str">
        <f t="shared" si="9"/>
        <v>Technology-Analyst-US-Consulting</v>
      </c>
      <c r="B620" s="435" t="s">
        <v>259</v>
      </c>
      <c r="C620" s="435" t="s">
        <v>384</v>
      </c>
      <c r="D620" s="435" t="s">
        <v>591</v>
      </c>
      <c r="E620" s="435" t="s">
        <v>186</v>
      </c>
      <c r="F620" s="436">
        <v>189</v>
      </c>
      <c r="G620" s="148" t="s">
        <v>261</v>
      </c>
    </row>
    <row r="621" spans="1:7" hidden="1">
      <c r="A621" s="148" t="str">
        <f t="shared" si="9"/>
        <v>Technology-Consultant-US-Consulting</v>
      </c>
      <c r="B621" s="435" t="s">
        <v>259</v>
      </c>
      <c r="C621" s="435" t="s">
        <v>368</v>
      </c>
      <c r="D621" s="435" t="s">
        <v>593</v>
      </c>
      <c r="E621" s="435" t="s">
        <v>186</v>
      </c>
      <c r="F621" s="436">
        <v>194</v>
      </c>
      <c r="G621" s="148" t="s">
        <v>261</v>
      </c>
    </row>
    <row r="622" spans="1:7" hidden="1">
      <c r="A622" s="148" t="str">
        <f t="shared" si="9"/>
        <v>Technology-Manager-US-Consulting</v>
      </c>
      <c r="B622" s="435" t="s">
        <v>259</v>
      </c>
      <c r="C622" s="435" t="s">
        <v>376</v>
      </c>
      <c r="D622" s="435" t="s">
        <v>595</v>
      </c>
      <c r="E622" s="435" t="s">
        <v>186</v>
      </c>
      <c r="F622" s="436">
        <v>306</v>
      </c>
      <c r="G622" s="148" t="s">
        <v>261</v>
      </c>
    </row>
    <row r="623" spans="1:7" hidden="1">
      <c r="A623" s="148" t="str">
        <f t="shared" si="9"/>
        <v>Technology-Managing Director-US-Consulting</v>
      </c>
      <c r="B623" s="435" t="s">
        <v>259</v>
      </c>
      <c r="C623" s="435" t="s">
        <v>357</v>
      </c>
      <c r="D623" s="435" t="s">
        <v>597</v>
      </c>
      <c r="E623" s="435" t="s">
        <v>186</v>
      </c>
      <c r="F623" s="436">
        <v>383</v>
      </c>
      <c r="G623" s="148" t="s">
        <v>261</v>
      </c>
    </row>
    <row r="624" spans="1:7" hidden="1">
      <c r="A624" s="148" t="str">
        <f t="shared" si="9"/>
        <v>Technology-Principal-US-Consulting</v>
      </c>
      <c r="B624" s="435" t="s">
        <v>259</v>
      </c>
      <c r="C624" s="435" t="s">
        <v>242</v>
      </c>
      <c r="D624" s="435" t="s">
        <v>599</v>
      </c>
      <c r="E624" s="435" t="s">
        <v>186</v>
      </c>
      <c r="F624" s="436">
        <v>383</v>
      </c>
      <c r="G624" s="148" t="s">
        <v>261</v>
      </c>
    </row>
    <row r="625" spans="1:7" hidden="1">
      <c r="A625" s="148" t="str">
        <f t="shared" si="9"/>
        <v>Technology-Senior Consultant-US-Consulting</v>
      </c>
      <c r="B625" s="435" t="s">
        <v>259</v>
      </c>
      <c r="C625" s="435" t="s">
        <v>364</v>
      </c>
      <c r="D625" s="435" t="s">
        <v>601</v>
      </c>
      <c r="E625" s="435" t="s">
        <v>186</v>
      </c>
      <c r="F625" s="436">
        <v>260</v>
      </c>
      <c r="G625" s="148" t="s">
        <v>261</v>
      </c>
    </row>
    <row r="626" spans="1:7" hidden="1">
      <c r="A626" s="148" t="str">
        <f t="shared" si="9"/>
        <v>Technology-Senior Manager-US-Consulting</v>
      </c>
      <c r="B626" s="435" t="s">
        <v>259</v>
      </c>
      <c r="C626" s="435" t="s">
        <v>361</v>
      </c>
      <c r="D626" s="435" t="s">
        <v>603</v>
      </c>
      <c r="E626" s="435" t="s">
        <v>186</v>
      </c>
      <c r="F626" s="436">
        <v>342</v>
      </c>
      <c r="G626" s="148" t="s">
        <v>261</v>
      </c>
    </row>
    <row r="627" spans="1:7" hidden="1">
      <c r="A627" s="148" t="str">
        <f t="shared" si="9"/>
        <v>Technology Analyst-Intermediate-US-Technology</v>
      </c>
      <c r="B627" s="435" t="s">
        <v>881</v>
      </c>
      <c r="C627" s="435" t="s">
        <v>239</v>
      </c>
      <c r="D627" s="435" t="s">
        <v>524</v>
      </c>
      <c r="E627" s="435" t="s">
        <v>186</v>
      </c>
      <c r="F627" s="436">
        <v>140</v>
      </c>
      <c r="G627" s="148" t="s">
        <v>259</v>
      </c>
    </row>
    <row r="628" spans="1:7" hidden="1">
      <c r="A628" s="148" t="str">
        <f t="shared" si="9"/>
        <v>Technology Analyst-Junior-US-Technology</v>
      </c>
      <c r="B628" s="435" t="s">
        <v>881</v>
      </c>
      <c r="C628" s="435" t="s">
        <v>240</v>
      </c>
      <c r="D628" s="435" t="s">
        <v>521</v>
      </c>
      <c r="E628" s="435" t="s">
        <v>186</v>
      </c>
      <c r="F628" s="436">
        <v>120</v>
      </c>
      <c r="G628" s="148" t="s">
        <v>259</v>
      </c>
    </row>
    <row r="629" spans="1:7" hidden="1">
      <c r="A629" s="148" t="str">
        <f t="shared" si="9"/>
        <v>Technology Analyst-Lead-US-Technology</v>
      </c>
      <c r="B629" s="435" t="s">
        <v>881</v>
      </c>
      <c r="C629" s="435" t="s">
        <v>241</v>
      </c>
      <c r="D629" s="435" t="s">
        <v>528</v>
      </c>
      <c r="E629" s="435" t="s">
        <v>186</v>
      </c>
      <c r="F629" s="436">
        <v>164</v>
      </c>
      <c r="G629" s="148" t="s">
        <v>259</v>
      </c>
    </row>
    <row r="630" spans="1:7" hidden="1">
      <c r="A630" s="148" t="str">
        <f t="shared" si="9"/>
        <v>Technology Analyst-Principal-US-Technology</v>
      </c>
      <c r="B630" s="435" t="s">
        <v>881</v>
      </c>
      <c r="C630" s="435" t="s">
        <v>242</v>
      </c>
      <c r="D630" s="435" t="s">
        <v>530</v>
      </c>
      <c r="E630" s="435" t="s">
        <v>186</v>
      </c>
      <c r="F630" s="436">
        <v>177</v>
      </c>
      <c r="G630" s="148" t="s">
        <v>259</v>
      </c>
    </row>
    <row r="631" spans="1:7" hidden="1">
      <c r="A631" s="148" t="str">
        <f t="shared" si="9"/>
        <v>Technology Analyst-Senior-US-Technology</v>
      </c>
      <c r="B631" s="435" t="s">
        <v>881</v>
      </c>
      <c r="C631" s="435" t="s">
        <v>243</v>
      </c>
      <c r="D631" s="435" t="s">
        <v>526</v>
      </c>
      <c r="E631" s="435" t="s">
        <v>186</v>
      </c>
      <c r="F631" s="436">
        <v>154</v>
      </c>
      <c r="G631" s="148" t="s">
        <v>259</v>
      </c>
    </row>
    <row r="632" spans="1:7" hidden="1">
      <c r="A632" s="148" t="str">
        <f t="shared" si="9"/>
        <v>Test Engineer-Intermediate-US-Technology</v>
      </c>
      <c r="B632" s="435" t="s">
        <v>887</v>
      </c>
      <c r="C632" s="435" t="s">
        <v>239</v>
      </c>
      <c r="D632" s="435" t="s">
        <v>524</v>
      </c>
      <c r="E632" s="435" t="s">
        <v>186</v>
      </c>
      <c r="F632" s="436">
        <v>114</v>
      </c>
      <c r="G632" s="148" t="s">
        <v>259</v>
      </c>
    </row>
    <row r="633" spans="1:7" hidden="1">
      <c r="A633" s="148" t="str">
        <f t="shared" si="9"/>
        <v>Test Engineer-Junior-US-Technology</v>
      </c>
      <c r="B633" s="435" t="s">
        <v>887</v>
      </c>
      <c r="C633" s="435" t="s">
        <v>240</v>
      </c>
      <c r="D633" s="435" t="s">
        <v>521</v>
      </c>
      <c r="E633" s="435" t="s">
        <v>186</v>
      </c>
      <c r="F633" s="436">
        <v>102</v>
      </c>
      <c r="G633" s="148" t="s">
        <v>259</v>
      </c>
    </row>
    <row r="634" spans="1:7" hidden="1">
      <c r="A634" s="148" t="str">
        <f t="shared" si="9"/>
        <v>Test Engineer-Lead-US-Technology</v>
      </c>
      <c r="B634" s="435" t="s">
        <v>887</v>
      </c>
      <c r="C634" s="435" t="s">
        <v>241</v>
      </c>
      <c r="D634" s="435" t="s">
        <v>528</v>
      </c>
      <c r="E634" s="435" t="s">
        <v>186</v>
      </c>
      <c r="F634" s="436">
        <v>147</v>
      </c>
      <c r="G634" s="148" t="s">
        <v>259</v>
      </c>
    </row>
    <row r="635" spans="1:7" hidden="1">
      <c r="A635" s="148" t="str">
        <f t="shared" si="9"/>
        <v>Test Engineer-Principal-US-Technology</v>
      </c>
      <c r="B635" s="435" t="s">
        <v>887</v>
      </c>
      <c r="C635" s="435" t="s">
        <v>242</v>
      </c>
      <c r="D635" s="435" t="s">
        <v>530</v>
      </c>
      <c r="E635" s="435" t="s">
        <v>186</v>
      </c>
      <c r="F635" s="436">
        <v>156</v>
      </c>
      <c r="G635" s="148" t="s">
        <v>259</v>
      </c>
    </row>
    <row r="636" spans="1:7" hidden="1">
      <c r="A636" s="148" t="str">
        <f t="shared" si="9"/>
        <v>Test Engineer-Senior-US-Technology</v>
      </c>
      <c r="B636" s="435" t="s">
        <v>887</v>
      </c>
      <c r="C636" s="435" t="s">
        <v>243</v>
      </c>
      <c r="D636" s="435" t="s">
        <v>526</v>
      </c>
      <c r="E636" s="435" t="s">
        <v>186</v>
      </c>
      <c r="F636" s="436">
        <v>134</v>
      </c>
      <c r="G636" s="148" t="s">
        <v>259</v>
      </c>
    </row>
    <row r="637" spans="1:7" hidden="1">
      <c r="A637" s="148" t="str">
        <f t="shared" si="9"/>
        <v>UX Designer-Intermediate-US-Technology</v>
      </c>
      <c r="B637" s="435" t="s">
        <v>893</v>
      </c>
      <c r="C637" s="435" t="s">
        <v>239</v>
      </c>
      <c r="D637" s="435" t="s">
        <v>524</v>
      </c>
      <c r="E637" s="435" t="s">
        <v>186</v>
      </c>
      <c r="F637" s="436">
        <v>166</v>
      </c>
      <c r="G637" s="148" t="s">
        <v>259</v>
      </c>
    </row>
    <row r="638" spans="1:7" hidden="1">
      <c r="A638" s="148" t="str">
        <f t="shared" si="9"/>
        <v>UX Designer-Junior-US-Technology</v>
      </c>
      <c r="B638" s="435" t="s">
        <v>893</v>
      </c>
      <c r="C638" s="435" t="s">
        <v>240</v>
      </c>
      <c r="D638" s="435" t="s">
        <v>521</v>
      </c>
      <c r="E638" s="435" t="s">
        <v>186</v>
      </c>
      <c r="F638" s="436">
        <v>147</v>
      </c>
      <c r="G638" s="148" t="s">
        <v>259</v>
      </c>
    </row>
    <row r="639" spans="1:7" hidden="1">
      <c r="A639" s="148" t="str">
        <f t="shared" si="9"/>
        <v>UX Designer-Lead-US-Technology</v>
      </c>
      <c r="B639" s="435" t="s">
        <v>893</v>
      </c>
      <c r="C639" s="435" t="s">
        <v>241</v>
      </c>
      <c r="D639" s="435" t="s">
        <v>528</v>
      </c>
      <c r="E639" s="435" t="s">
        <v>186</v>
      </c>
      <c r="F639" s="436">
        <v>239</v>
      </c>
      <c r="G639" s="148" t="s">
        <v>259</v>
      </c>
    </row>
    <row r="640" spans="1:7" hidden="1">
      <c r="A640" s="148" t="str">
        <f t="shared" si="9"/>
        <v>UX Designer-Principal-US-Technology</v>
      </c>
      <c r="B640" s="435" t="s">
        <v>893</v>
      </c>
      <c r="C640" s="435" t="s">
        <v>242</v>
      </c>
      <c r="D640" s="435" t="s">
        <v>530</v>
      </c>
      <c r="E640" s="435" t="s">
        <v>186</v>
      </c>
      <c r="F640" s="436">
        <v>272</v>
      </c>
      <c r="G640" s="148" t="s">
        <v>259</v>
      </c>
    </row>
    <row r="641" spans="1:7" hidden="1">
      <c r="A641" s="148" t="str">
        <f t="shared" si="9"/>
        <v>UX Designer-Senior-US-Technology</v>
      </c>
      <c r="B641" s="435" t="s">
        <v>893</v>
      </c>
      <c r="C641" s="435" t="s">
        <v>243</v>
      </c>
      <c r="D641" s="435" t="s">
        <v>526</v>
      </c>
      <c r="E641" s="435" t="s">
        <v>186</v>
      </c>
      <c r="F641" s="436">
        <v>207</v>
      </c>
      <c r="G641" s="148" t="s">
        <v>259</v>
      </c>
    </row>
    <row r="642" spans="1:7" hidden="1">
      <c r="A642" s="148" t="str">
        <f t="shared" ref="A642:A684" si="10">_xlfn.CONCAT(B642,"-",C642,"-",E642,"-",G642)</f>
        <v>Validation-Partner-US-Consulting</v>
      </c>
      <c r="B642" s="292" t="s">
        <v>168</v>
      </c>
      <c r="C642" s="435" t="s">
        <v>515</v>
      </c>
      <c r="D642" s="435" t="s">
        <v>599</v>
      </c>
      <c r="E642" s="435" t="s">
        <v>186</v>
      </c>
      <c r="F642" s="436">
        <v>750</v>
      </c>
      <c r="G642" s="148" t="s">
        <v>261</v>
      </c>
    </row>
    <row r="643" spans="1:7" hidden="1">
      <c r="A643" s="148" t="str">
        <f t="shared" si="10"/>
        <v>Validation-Senior Manager-US-Consulting</v>
      </c>
      <c r="B643" s="292" t="s">
        <v>168</v>
      </c>
      <c r="C643" s="435" t="s">
        <v>361</v>
      </c>
      <c r="D643" s="435" t="s">
        <v>603</v>
      </c>
      <c r="E643" s="435" t="s">
        <v>186</v>
      </c>
      <c r="F643" s="436">
        <v>647</v>
      </c>
      <c r="G643" s="148" t="s">
        <v>261</v>
      </c>
    </row>
    <row r="644" spans="1:7" hidden="1">
      <c r="A644" s="148" t="str">
        <f t="shared" si="10"/>
        <v>Validation-Manager-India-Consulting</v>
      </c>
      <c r="B644" s="292" t="s">
        <v>168</v>
      </c>
      <c r="C644" s="435" t="s">
        <v>376</v>
      </c>
      <c r="D644" s="435" t="s">
        <v>528</v>
      </c>
      <c r="E644" s="435" t="s">
        <v>184</v>
      </c>
      <c r="F644" s="436">
        <v>161</v>
      </c>
      <c r="G644" s="148" t="s">
        <v>261</v>
      </c>
    </row>
    <row r="645" spans="1:7" hidden="1">
      <c r="A645" s="148" t="str">
        <f t="shared" si="10"/>
        <v>Validation-Senior Consultant-India-Consulting</v>
      </c>
      <c r="B645" s="292" t="s">
        <v>168</v>
      </c>
      <c r="C645" s="435" t="s">
        <v>364</v>
      </c>
      <c r="D645" s="435" t="s">
        <v>526</v>
      </c>
      <c r="E645" s="435" t="s">
        <v>184</v>
      </c>
      <c r="F645" s="436">
        <v>121</v>
      </c>
      <c r="G645" s="148" t="s">
        <v>261</v>
      </c>
    </row>
    <row r="646" spans="1:7" hidden="1">
      <c r="A646" s="148" t="str">
        <f t="shared" si="10"/>
        <v>Validation-Consultant-India-Consulting</v>
      </c>
      <c r="B646" s="292" t="s">
        <v>168</v>
      </c>
      <c r="C646" s="435" t="s">
        <v>368</v>
      </c>
      <c r="D646" s="435" t="s">
        <v>524</v>
      </c>
      <c r="E646" s="435" t="s">
        <v>184</v>
      </c>
      <c r="F646" s="436">
        <v>104</v>
      </c>
      <c r="G646" s="148" t="s">
        <v>261</v>
      </c>
    </row>
    <row r="647" spans="1:7" hidden="1">
      <c r="A647" s="148" t="str">
        <f t="shared" si="10"/>
        <v>Validation-Analyst-India-Consulting</v>
      </c>
      <c r="B647" s="292" t="s">
        <v>168</v>
      </c>
      <c r="C647" s="435" t="s">
        <v>384</v>
      </c>
      <c r="D647" s="435" t="s">
        <v>593</v>
      </c>
      <c r="E647" s="435" t="s">
        <v>184</v>
      </c>
      <c r="F647" s="436">
        <v>48</v>
      </c>
      <c r="G647" s="148" t="s">
        <v>261</v>
      </c>
    </row>
    <row r="648" spans="1:7">
      <c r="A648" s="148" t="str">
        <f t="shared" si="10"/>
        <v>Human Capital-Principal-US-Consulting</v>
      </c>
      <c r="B648" s="435" t="s">
        <v>492</v>
      </c>
      <c r="C648" s="435" t="s">
        <v>242</v>
      </c>
      <c r="D648" s="435" t="s">
        <v>599</v>
      </c>
      <c r="E648" s="435" t="s">
        <v>186</v>
      </c>
      <c r="F648" s="436">
        <v>488</v>
      </c>
      <c r="G648" s="148" t="s">
        <v>261</v>
      </c>
    </row>
    <row r="649" spans="1:7">
      <c r="A649" s="148" t="str">
        <f t="shared" si="10"/>
        <v>Human Capital-Senior Consultant-US-Consulting</v>
      </c>
      <c r="B649" s="435" t="s">
        <v>492</v>
      </c>
      <c r="C649" s="435" t="s">
        <v>364</v>
      </c>
      <c r="D649" s="435" t="s">
        <v>601</v>
      </c>
      <c r="E649" s="435" t="s">
        <v>186</v>
      </c>
      <c r="F649" s="436">
        <v>326</v>
      </c>
      <c r="G649" s="148" t="s">
        <v>261</v>
      </c>
    </row>
    <row r="650" spans="1:7">
      <c r="A650" s="148" t="str">
        <f t="shared" si="10"/>
        <v>Human Capital-Senior Manager-US-Consulting</v>
      </c>
      <c r="B650" s="435" t="s">
        <v>492</v>
      </c>
      <c r="C650" s="435" t="s">
        <v>361</v>
      </c>
      <c r="D650" s="435" t="s">
        <v>603</v>
      </c>
      <c r="E650" s="435" t="s">
        <v>186</v>
      </c>
      <c r="F650" s="436">
        <v>409</v>
      </c>
      <c r="G650" s="148" t="s">
        <v>261</v>
      </c>
    </row>
    <row r="651" spans="1:7" hidden="1">
      <c r="A651" s="148" t="str">
        <f t="shared" si="10"/>
        <v>---</v>
      </c>
      <c r="B651" s="435"/>
      <c r="C651" s="435"/>
      <c r="D651" s="435"/>
      <c r="E651" s="435"/>
      <c r="F651" s="436"/>
    </row>
    <row r="652" spans="1:7" hidden="1">
      <c r="A652" s="148" t="str">
        <f t="shared" si="10"/>
        <v>---</v>
      </c>
      <c r="B652" s="435"/>
      <c r="C652" s="435"/>
      <c r="D652" s="435"/>
      <c r="E652" s="435"/>
      <c r="F652" s="436"/>
    </row>
    <row r="653" spans="1:7" hidden="1">
      <c r="A653" s="148" t="str">
        <f t="shared" si="10"/>
        <v>---</v>
      </c>
      <c r="B653" s="435"/>
      <c r="C653" s="435"/>
      <c r="D653" s="435"/>
      <c r="E653" s="435"/>
      <c r="F653" s="436"/>
    </row>
    <row r="654" spans="1:7" hidden="1">
      <c r="A654" s="148" t="str">
        <f t="shared" si="10"/>
        <v>---</v>
      </c>
      <c r="B654" s="435"/>
      <c r="C654" s="435"/>
      <c r="D654" s="435"/>
      <c r="E654" s="435"/>
      <c r="F654" s="436"/>
    </row>
    <row r="655" spans="1:7" hidden="1">
      <c r="A655" s="148" t="str">
        <f t="shared" si="10"/>
        <v>---</v>
      </c>
      <c r="B655" s="435"/>
      <c r="C655" s="435"/>
      <c r="D655" s="435"/>
      <c r="E655" s="435"/>
      <c r="F655" s="436"/>
    </row>
    <row r="656" spans="1:7" hidden="1">
      <c r="A656" s="148" t="str">
        <f t="shared" si="10"/>
        <v>---</v>
      </c>
      <c r="B656" s="435"/>
      <c r="C656" s="435"/>
      <c r="D656" s="435"/>
      <c r="E656" s="435"/>
      <c r="F656" s="436"/>
    </row>
    <row r="657" spans="1:6" hidden="1">
      <c r="A657" s="148" t="str">
        <f t="shared" si="10"/>
        <v>---</v>
      </c>
      <c r="B657" s="435"/>
      <c r="C657" s="435"/>
      <c r="D657" s="435"/>
      <c r="E657" s="435"/>
      <c r="F657" s="436"/>
    </row>
    <row r="658" spans="1:6" hidden="1">
      <c r="A658" s="148" t="str">
        <f t="shared" si="10"/>
        <v>---</v>
      </c>
      <c r="B658" s="435"/>
      <c r="C658" s="435"/>
      <c r="D658" s="435"/>
      <c r="E658" s="435"/>
      <c r="F658" s="436"/>
    </row>
    <row r="659" spans="1:6" hidden="1">
      <c r="A659" s="148" t="str">
        <f t="shared" si="10"/>
        <v>---</v>
      </c>
      <c r="B659" s="435"/>
      <c r="C659" s="435"/>
      <c r="D659" s="435"/>
      <c r="E659" s="435"/>
      <c r="F659" s="436"/>
    </row>
    <row r="660" spans="1:6" hidden="1">
      <c r="A660" s="148" t="str">
        <f t="shared" si="10"/>
        <v>---</v>
      </c>
      <c r="B660" s="435"/>
      <c r="C660" s="435"/>
      <c r="D660" s="435"/>
      <c r="E660" s="435"/>
      <c r="F660" s="436"/>
    </row>
    <row r="661" spans="1:6" hidden="1">
      <c r="A661" s="148" t="str">
        <f t="shared" si="10"/>
        <v>---</v>
      </c>
      <c r="B661" s="435"/>
      <c r="C661" s="435"/>
      <c r="D661" s="435"/>
      <c r="E661" s="435"/>
      <c r="F661" s="436"/>
    </row>
    <row r="662" spans="1:6" hidden="1">
      <c r="A662" s="148" t="str">
        <f t="shared" si="10"/>
        <v>---</v>
      </c>
      <c r="B662" s="435"/>
      <c r="C662" s="435"/>
      <c r="D662" s="435"/>
      <c r="E662" s="435"/>
      <c r="F662" s="436"/>
    </row>
    <row r="663" spans="1:6" hidden="1">
      <c r="A663" s="148" t="str">
        <f t="shared" si="10"/>
        <v>---</v>
      </c>
      <c r="B663" s="435"/>
      <c r="C663" s="435"/>
      <c r="D663" s="435"/>
      <c r="E663" s="435"/>
      <c r="F663" s="436"/>
    </row>
    <row r="664" spans="1:6" hidden="1">
      <c r="A664" s="148" t="str">
        <f t="shared" si="10"/>
        <v>---</v>
      </c>
      <c r="B664" s="435"/>
      <c r="C664" s="435"/>
      <c r="D664" s="435"/>
      <c r="E664" s="435"/>
      <c r="F664" s="436"/>
    </row>
    <row r="665" spans="1:6" hidden="1">
      <c r="A665" s="148" t="str">
        <f t="shared" si="10"/>
        <v>---</v>
      </c>
      <c r="B665" s="435"/>
      <c r="C665" s="435"/>
      <c r="D665" s="435"/>
      <c r="E665" s="435"/>
      <c r="F665" s="436"/>
    </row>
    <row r="666" spans="1:6" hidden="1">
      <c r="A666" s="148" t="str">
        <f t="shared" si="10"/>
        <v>---</v>
      </c>
      <c r="B666" s="435"/>
      <c r="C666" s="435"/>
      <c r="D666" s="435"/>
      <c r="E666" s="435"/>
      <c r="F666" s="436"/>
    </row>
    <row r="667" spans="1:6" hidden="1">
      <c r="A667" s="148" t="str">
        <f t="shared" si="10"/>
        <v>---</v>
      </c>
      <c r="B667" s="435"/>
      <c r="C667" s="435"/>
      <c r="D667" s="435"/>
      <c r="E667" s="435"/>
      <c r="F667" s="436"/>
    </row>
    <row r="668" spans="1:6" hidden="1">
      <c r="A668" s="148" t="str">
        <f t="shared" si="10"/>
        <v>---</v>
      </c>
      <c r="B668" s="435"/>
      <c r="C668" s="435"/>
      <c r="D668" s="435"/>
      <c r="E668" s="435"/>
      <c r="F668" s="436"/>
    </row>
    <row r="669" spans="1:6" hidden="1">
      <c r="A669" s="148" t="str">
        <f t="shared" si="10"/>
        <v>---</v>
      </c>
      <c r="B669" s="435"/>
      <c r="C669" s="435"/>
      <c r="D669" s="435"/>
      <c r="E669" s="435"/>
      <c r="F669" s="436"/>
    </row>
    <row r="670" spans="1:6" hidden="1">
      <c r="A670" s="148" t="str">
        <f t="shared" si="10"/>
        <v>---</v>
      </c>
      <c r="B670" s="435"/>
      <c r="C670" s="435"/>
      <c r="D670" s="435"/>
      <c r="E670" s="435"/>
      <c r="F670" s="436"/>
    </row>
    <row r="671" spans="1:6" hidden="1">
      <c r="A671" s="148" t="str">
        <f t="shared" si="10"/>
        <v>---</v>
      </c>
      <c r="B671" s="435"/>
      <c r="C671" s="435"/>
      <c r="D671" s="435"/>
      <c r="E671" s="435"/>
      <c r="F671" s="436"/>
    </row>
    <row r="672" spans="1:6" hidden="1">
      <c r="A672" s="148" t="str">
        <f t="shared" si="10"/>
        <v>---</v>
      </c>
      <c r="B672" s="435"/>
      <c r="C672" s="435"/>
      <c r="D672" s="435"/>
      <c r="E672" s="435"/>
      <c r="F672" s="436"/>
    </row>
    <row r="673" spans="1:7" hidden="1">
      <c r="A673" s="148" t="str">
        <f t="shared" si="10"/>
        <v>Tax Advisory-Partner-US-Tax</v>
      </c>
      <c r="B673" s="148" t="s">
        <v>392</v>
      </c>
      <c r="C673" s="148" t="s">
        <v>515</v>
      </c>
      <c r="D673" s="435" t="s">
        <v>530</v>
      </c>
      <c r="E673" s="435" t="s">
        <v>186</v>
      </c>
      <c r="F673" s="147">
        <v>625</v>
      </c>
      <c r="G673" s="148" t="s">
        <v>263</v>
      </c>
    </row>
    <row r="674" spans="1:7" hidden="1">
      <c r="A674" s="148" t="str">
        <f t="shared" si="10"/>
        <v>Tax Advisory-Managing Director-US-Tax</v>
      </c>
      <c r="B674" s="148" t="s">
        <v>392</v>
      </c>
      <c r="C674" s="148" t="s">
        <v>357</v>
      </c>
      <c r="D674" s="435" t="s">
        <v>530</v>
      </c>
      <c r="E674" s="435" t="s">
        <v>186</v>
      </c>
      <c r="F674" s="147">
        <v>575</v>
      </c>
      <c r="G674" s="148" t="s">
        <v>263</v>
      </c>
    </row>
    <row r="675" spans="1:7" hidden="1">
      <c r="A675" s="148" t="str">
        <f t="shared" si="10"/>
        <v>Tax Advisory-Senior Manager-US-Tax</v>
      </c>
      <c r="B675" s="148" t="s">
        <v>392</v>
      </c>
      <c r="C675" s="148" t="s">
        <v>361</v>
      </c>
      <c r="D675" s="435" t="s">
        <v>528</v>
      </c>
      <c r="E675" s="435" t="s">
        <v>186</v>
      </c>
      <c r="F675" s="147">
        <v>500</v>
      </c>
      <c r="G675" s="148" t="s">
        <v>263</v>
      </c>
    </row>
    <row r="676" spans="1:7" hidden="1">
      <c r="A676" s="148" t="str">
        <f t="shared" si="10"/>
        <v>Tax Advisory-Manager-US-Tax</v>
      </c>
      <c r="B676" s="148" t="s">
        <v>392</v>
      </c>
      <c r="C676" s="148" t="s">
        <v>376</v>
      </c>
      <c r="D676" s="435" t="s">
        <v>526</v>
      </c>
      <c r="E676" s="435" t="s">
        <v>186</v>
      </c>
      <c r="F676" s="147">
        <v>365</v>
      </c>
      <c r="G676" s="148" t="s">
        <v>263</v>
      </c>
    </row>
    <row r="677" spans="1:7" hidden="1">
      <c r="A677" s="148" t="str">
        <f t="shared" si="10"/>
        <v>Tax Advisory-Senior Consultant-US-Tax</v>
      </c>
      <c r="B677" s="148" t="s">
        <v>392</v>
      </c>
      <c r="C677" s="148" t="s">
        <v>364</v>
      </c>
      <c r="D677" s="435" t="s">
        <v>524</v>
      </c>
      <c r="E677" s="435" t="s">
        <v>186</v>
      </c>
      <c r="F677" s="147">
        <v>285</v>
      </c>
      <c r="G677" s="148" t="s">
        <v>263</v>
      </c>
    </row>
    <row r="678" spans="1:7" hidden="1">
      <c r="A678" s="148" t="str">
        <f t="shared" si="10"/>
        <v>Tax Advisory-Consultant-US-Tax</v>
      </c>
      <c r="B678" s="148" t="s">
        <v>392</v>
      </c>
      <c r="C678" s="148" t="s">
        <v>368</v>
      </c>
      <c r="D678" s="435" t="s">
        <v>521</v>
      </c>
      <c r="E678" s="435" t="s">
        <v>186</v>
      </c>
      <c r="F678" s="147">
        <v>185</v>
      </c>
      <c r="G678" s="148" t="s">
        <v>263</v>
      </c>
    </row>
    <row r="679" spans="1:7" hidden="1">
      <c r="A679" s="148" t="str">
        <f t="shared" si="10"/>
        <v>Tax Advisory-Principal-India-Tax</v>
      </c>
      <c r="B679" s="148" t="s">
        <v>392</v>
      </c>
      <c r="C679" s="148" t="s">
        <v>242</v>
      </c>
      <c r="D679" s="435" t="s">
        <v>530</v>
      </c>
      <c r="E679" s="148" t="s">
        <v>184</v>
      </c>
      <c r="F679" s="379" t="s">
        <v>1234</v>
      </c>
      <c r="G679" s="148" t="s">
        <v>263</v>
      </c>
    </row>
    <row r="680" spans="1:7" hidden="1">
      <c r="A680" s="148" t="str">
        <f t="shared" si="10"/>
        <v>Tax Advisory-Managing Director-India-Tax</v>
      </c>
      <c r="B680" s="148" t="s">
        <v>392</v>
      </c>
      <c r="C680" s="148" t="s">
        <v>357</v>
      </c>
      <c r="D680" s="435" t="s">
        <v>530</v>
      </c>
      <c r="E680" s="148" t="s">
        <v>184</v>
      </c>
      <c r="F680" s="379" t="s">
        <v>1234</v>
      </c>
      <c r="G680" s="148" t="s">
        <v>263</v>
      </c>
    </row>
    <row r="681" spans="1:7" hidden="1">
      <c r="A681" s="148" t="str">
        <f t="shared" si="10"/>
        <v>Tax Advisory-Senior Manager-India-Tax</v>
      </c>
      <c r="B681" s="148" t="s">
        <v>392</v>
      </c>
      <c r="C681" s="148" t="s">
        <v>361</v>
      </c>
      <c r="D681" s="435" t="s">
        <v>528</v>
      </c>
      <c r="E681" s="148" t="s">
        <v>184</v>
      </c>
      <c r="F681" s="147">
        <v>330</v>
      </c>
      <c r="G681" s="148" t="s">
        <v>263</v>
      </c>
    </row>
    <row r="682" spans="1:7" hidden="1">
      <c r="A682" s="148" t="str">
        <f t="shared" si="10"/>
        <v>Tax Advisory-Manager-India-Tax</v>
      </c>
      <c r="B682" s="148" t="s">
        <v>392</v>
      </c>
      <c r="C682" s="148" t="s">
        <v>376</v>
      </c>
      <c r="D682" s="435" t="s">
        <v>526</v>
      </c>
      <c r="E682" s="148" t="s">
        <v>184</v>
      </c>
      <c r="F682" s="147">
        <v>240</v>
      </c>
      <c r="G682" s="148" t="s">
        <v>263</v>
      </c>
    </row>
    <row r="683" spans="1:7" hidden="1">
      <c r="A683" s="148" t="str">
        <f t="shared" si="10"/>
        <v>Tax Advisory-Senior Consultant-India-Tax</v>
      </c>
      <c r="B683" s="148" t="s">
        <v>392</v>
      </c>
      <c r="C683" s="148" t="s">
        <v>364</v>
      </c>
      <c r="D683" s="435" t="s">
        <v>524</v>
      </c>
      <c r="E683" s="148" t="s">
        <v>184</v>
      </c>
      <c r="F683" s="147">
        <v>180</v>
      </c>
      <c r="G683" s="148" t="s">
        <v>263</v>
      </c>
    </row>
    <row r="684" spans="1:7" hidden="1">
      <c r="A684" s="148" t="str">
        <f t="shared" si="10"/>
        <v>Tax Advisory-Consultant-India-Tax</v>
      </c>
      <c r="B684" s="148" t="s">
        <v>392</v>
      </c>
      <c r="C684" s="148" t="s">
        <v>368</v>
      </c>
      <c r="D684" s="435" t="s">
        <v>521</v>
      </c>
      <c r="E684" s="148" t="s">
        <v>184</v>
      </c>
      <c r="F684" s="147">
        <v>120</v>
      </c>
      <c r="G684" s="148" t="s">
        <v>263</v>
      </c>
    </row>
  </sheetData>
  <autoFilter ref="A1:G684" xr:uid="{00000000-0009-0000-0000-000006000000}">
    <filterColumn colId="1">
      <filters>
        <filter val="Change Manager"/>
        <filter val="Human Capital"/>
      </filters>
    </filterColumn>
    <sortState xmlns:xlrd2="http://schemas.microsoft.com/office/spreadsheetml/2017/richdata2" ref="A2:G684">
      <sortCondition ref="A2:A684"/>
    </sortState>
  </autoFilter>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Normal="100" workbookViewId="0"/>
  </sheetViews>
  <sheetFormatPr defaultColWidth="8.6328125" defaultRowHeight="14.5"/>
  <sheetData>
    <row r="1" spans="1:1">
      <c r="A1">
        <f>SUM(Staffing!Q134:Q144)</f>
        <v>2740749</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1"/>
  <sheetViews>
    <sheetView zoomScaleNormal="100" workbookViewId="0">
      <selection activeCell="F9" sqref="F9"/>
    </sheetView>
  </sheetViews>
  <sheetFormatPr defaultColWidth="8.6328125" defaultRowHeight="14.5"/>
  <cols>
    <col min="1" max="1" width="24" customWidth="1"/>
    <col min="2" max="2" width="93" customWidth="1"/>
    <col min="6" max="6" width="79.7265625" customWidth="1"/>
  </cols>
  <sheetData>
    <row r="1" spans="1:7">
      <c r="A1" s="441" t="s">
        <v>183</v>
      </c>
      <c r="B1" s="442" t="s">
        <v>1283</v>
      </c>
    </row>
    <row r="2" spans="1:7">
      <c r="A2" s="443" t="s">
        <v>198</v>
      </c>
      <c r="B2" s="444"/>
    </row>
    <row r="3" spans="1:7">
      <c r="A3" s="443" t="s">
        <v>195</v>
      </c>
      <c r="B3" s="445" t="s">
        <v>421</v>
      </c>
    </row>
    <row r="4" spans="1:7" ht="72.5">
      <c r="A4" s="443" t="s">
        <v>1284</v>
      </c>
      <c r="B4" s="445" t="s">
        <v>1285</v>
      </c>
      <c r="F4" s="445" t="s">
        <v>1286</v>
      </c>
    </row>
    <row r="5" spans="1:7" ht="29">
      <c r="A5" s="443" t="s">
        <v>1287</v>
      </c>
      <c r="B5" s="445" t="s">
        <v>1288</v>
      </c>
      <c r="F5" s="445"/>
    </row>
    <row r="6" spans="1:7">
      <c r="A6" s="443" t="s">
        <v>1289</v>
      </c>
      <c r="B6" s="445"/>
    </row>
    <row r="7" spans="1:7">
      <c r="A7" s="443" t="s">
        <v>194</v>
      </c>
      <c r="B7" s="446" t="s">
        <v>1290</v>
      </c>
    </row>
    <row r="8" spans="1:7">
      <c r="A8" s="443" t="s">
        <v>102</v>
      </c>
      <c r="B8" s="446"/>
    </row>
    <row r="9" spans="1:7">
      <c r="A9" s="443" t="s">
        <v>255</v>
      </c>
      <c r="B9" s="444"/>
    </row>
    <row r="10" spans="1:7">
      <c r="A10" s="447" t="s">
        <v>1291</v>
      </c>
      <c r="B10" s="448"/>
    </row>
    <row r="11" spans="1:7" ht="290">
      <c r="A11" s="443" t="s">
        <v>117</v>
      </c>
      <c r="B11" s="449" t="s">
        <v>1292</v>
      </c>
    </row>
    <row r="12" spans="1:7" ht="130.5">
      <c r="A12" s="443" t="s">
        <v>140</v>
      </c>
      <c r="B12" s="445" t="s">
        <v>1293</v>
      </c>
    </row>
    <row r="13" spans="1:7" ht="174">
      <c r="A13" s="443" t="s">
        <v>263</v>
      </c>
      <c r="B13" s="450" t="s">
        <v>1294</v>
      </c>
      <c r="G13" s="451"/>
    </row>
    <row r="14" spans="1:7">
      <c r="A14" s="443"/>
      <c r="B14" s="444"/>
      <c r="G14" s="452"/>
    </row>
    <row r="15" spans="1:7">
      <c r="A15" s="443"/>
      <c r="B15" s="444"/>
      <c r="G15" s="452"/>
    </row>
    <row r="16" spans="1:7">
      <c r="A16" s="443"/>
      <c r="B16" s="444"/>
      <c r="G16" s="452"/>
    </row>
    <row r="17" spans="1:7">
      <c r="A17" s="447"/>
      <c r="B17" s="453"/>
      <c r="G17" s="452"/>
    </row>
    <row r="18" spans="1:7">
      <c r="A18" s="447"/>
      <c r="B18" s="444"/>
      <c r="G18" s="452"/>
    </row>
    <row r="19" spans="1:7">
      <c r="A19" s="447"/>
      <c r="B19" s="444"/>
      <c r="G19" s="452"/>
    </row>
    <row r="20" spans="1:7">
      <c r="A20" s="447"/>
      <c r="B20" s="444"/>
      <c r="G20" s="452"/>
    </row>
    <row r="21" spans="1:7">
      <c r="G21" s="452"/>
    </row>
    <row r="22" spans="1:7">
      <c r="G22" s="452"/>
    </row>
    <row r="23" spans="1:7">
      <c r="G23" s="452"/>
    </row>
    <row r="24" spans="1:7">
      <c r="G24" s="451"/>
    </row>
    <row r="25" spans="1:7">
      <c r="G25" s="452"/>
    </row>
    <row r="26" spans="1:7">
      <c r="G26" s="452"/>
    </row>
    <row r="27" spans="1:7">
      <c r="G27" s="452"/>
    </row>
    <row r="28" spans="1:7">
      <c r="G28" s="452"/>
    </row>
    <row r="29" spans="1:7">
      <c r="G29" s="452"/>
    </row>
    <row r="30" spans="1:7">
      <c r="G30" s="452"/>
    </row>
    <row r="31" spans="1:7">
      <c r="G31" s="452"/>
    </row>
  </sheetData>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0"/>
  <sheetViews>
    <sheetView topLeftCell="E1" zoomScaleNormal="100" workbookViewId="0">
      <selection activeCell="N18" sqref="N18"/>
    </sheetView>
  </sheetViews>
  <sheetFormatPr defaultColWidth="8.81640625" defaultRowHeight="14.5"/>
  <cols>
    <col min="1" max="1" width="16.26953125" style="454" customWidth="1"/>
    <col min="2" max="4" width="12.81640625" style="454" customWidth="1"/>
    <col min="5" max="5" width="12.54296875" style="454" customWidth="1"/>
    <col min="6" max="6" width="12.81640625" style="454" customWidth="1"/>
    <col min="7" max="7" width="15.26953125" style="454" customWidth="1"/>
    <col min="8" max="8" width="14.26953125" style="454" customWidth="1"/>
    <col min="9" max="12" width="8.81640625" style="454"/>
    <col min="13" max="13" width="20.54296875" style="454" customWidth="1"/>
    <col min="14" max="14" width="21.1796875" style="454" customWidth="1"/>
    <col min="15" max="15" width="20.26953125" style="454" customWidth="1"/>
    <col min="16" max="16" width="14.26953125" style="454" customWidth="1"/>
    <col min="17" max="16384" width="8.81640625" style="454"/>
  </cols>
  <sheetData>
    <row r="1" spans="1:16">
      <c r="A1" s="455" t="s">
        <v>1295</v>
      </c>
      <c r="B1" s="524" t="s">
        <v>1296</v>
      </c>
      <c r="C1" s="524"/>
      <c r="D1" s="524"/>
      <c r="E1" s="524" t="s">
        <v>1297</v>
      </c>
      <c r="F1" s="524"/>
      <c r="G1" s="524"/>
      <c r="H1" s="455" t="s">
        <v>213</v>
      </c>
      <c r="M1" s="456" t="s">
        <v>1298</v>
      </c>
    </row>
    <row r="2" spans="1:16">
      <c r="A2" s="455"/>
      <c r="B2" s="455" t="s">
        <v>1299</v>
      </c>
      <c r="C2" s="455" t="s">
        <v>1300</v>
      </c>
      <c r="D2" s="455" t="s">
        <v>1301</v>
      </c>
      <c r="E2" s="455" t="s">
        <v>1299</v>
      </c>
      <c r="F2" s="455" t="s">
        <v>1300</v>
      </c>
      <c r="G2" s="455" t="s">
        <v>1301</v>
      </c>
      <c r="H2" s="455"/>
    </row>
    <row r="3" spans="1:16">
      <c r="A3" s="457" t="s">
        <v>1302</v>
      </c>
      <c r="B3" s="458">
        <v>6</v>
      </c>
      <c r="C3" s="458"/>
      <c r="D3" s="458"/>
      <c r="E3" s="458"/>
      <c r="F3" s="458"/>
      <c r="G3" s="458"/>
      <c r="H3" s="459">
        <v>6</v>
      </c>
      <c r="M3" s="455" t="s">
        <v>1295</v>
      </c>
      <c r="N3" s="460" t="s">
        <v>1296</v>
      </c>
      <c r="O3" s="460" t="s">
        <v>1297</v>
      </c>
      <c r="P3" s="455" t="s">
        <v>213</v>
      </c>
    </row>
    <row r="4" spans="1:16">
      <c r="A4" s="457" t="s">
        <v>1303</v>
      </c>
      <c r="B4" s="458">
        <v>3</v>
      </c>
      <c r="C4" s="458"/>
      <c r="D4" s="458"/>
      <c r="E4" s="458"/>
      <c r="F4" s="458"/>
      <c r="G4" s="458"/>
      <c r="H4" s="459">
        <v>2</v>
      </c>
      <c r="M4" s="457" t="s">
        <v>1302</v>
      </c>
      <c r="N4" s="461">
        <v>5</v>
      </c>
      <c r="O4" s="461">
        <v>28</v>
      </c>
      <c r="P4" s="459">
        <f t="shared" ref="P4:P11" si="0">N4+O4</f>
        <v>33</v>
      </c>
    </row>
    <row r="5" spans="1:16">
      <c r="A5" s="457" t="s">
        <v>1304</v>
      </c>
      <c r="B5" s="458"/>
      <c r="C5" s="458"/>
      <c r="D5" s="458"/>
      <c r="E5" s="458"/>
      <c r="F5" s="458"/>
      <c r="G5" s="458"/>
      <c r="H5" s="459">
        <f>SUM(B5:G5)</f>
        <v>0</v>
      </c>
      <c r="M5" s="457" t="s">
        <v>1303</v>
      </c>
      <c r="N5" s="461">
        <v>38</v>
      </c>
      <c r="O5" s="461">
        <v>5</v>
      </c>
      <c r="P5" s="459">
        <f t="shared" si="0"/>
        <v>43</v>
      </c>
    </row>
    <row r="6" spans="1:16">
      <c r="A6" s="457" t="s">
        <v>1305</v>
      </c>
      <c r="B6" s="458"/>
      <c r="C6" s="458"/>
      <c r="D6" s="458"/>
      <c r="E6" s="458"/>
      <c r="F6" s="458"/>
      <c r="G6" s="458">
        <v>1</v>
      </c>
      <c r="H6" s="459">
        <f>SUM(B6:G6)</f>
        <v>1</v>
      </c>
      <c r="M6" s="457" t="s">
        <v>1304</v>
      </c>
      <c r="N6" s="461">
        <v>30</v>
      </c>
      <c r="O6" s="461">
        <v>16</v>
      </c>
      <c r="P6" s="459">
        <f t="shared" si="0"/>
        <v>46</v>
      </c>
    </row>
    <row r="7" spans="1:16">
      <c r="A7" s="457" t="s">
        <v>1306</v>
      </c>
      <c r="B7" s="458">
        <v>4</v>
      </c>
      <c r="C7" s="458"/>
      <c r="D7" s="458"/>
      <c r="E7" s="458"/>
      <c r="F7" s="458">
        <v>1</v>
      </c>
      <c r="G7" s="458"/>
      <c r="H7" s="459">
        <v>5</v>
      </c>
      <c r="M7" s="457" t="s">
        <v>1305</v>
      </c>
      <c r="N7" s="461">
        <v>29</v>
      </c>
      <c r="O7" s="461">
        <v>106</v>
      </c>
      <c r="P7" s="459">
        <f t="shared" si="0"/>
        <v>135</v>
      </c>
    </row>
    <row r="8" spans="1:16">
      <c r="A8" s="462" t="s">
        <v>213</v>
      </c>
      <c r="B8" s="459">
        <f>SUM(B3:B7)</f>
        <v>13</v>
      </c>
      <c r="C8" s="459"/>
      <c r="D8" s="459"/>
      <c r="E8" s="459">
        <f>SUM(E3:E7)</f>
        <v>0</v>
      </c>
      <c r="F8" s="459">
        <f>SUM(F3:F7)</f>
        <v>1</v>
      </c>
      <c r="G8" s="459">
        <f>SUM(G3:G7)</f>
        <v>1</v>
      </c>
      <c r="H8" s="459">
        <f>SUM(H3:H7)</f>
        <v>14</v>
      </c>
      <c r="M8" s="457" t="s">
        <v>1306</v>
      </c>
      <c r="N8" s="458">
        <v>98</v>
      </c>
      <c r="O8" s="461">
        <v>6</v>
      </c>
      <c r="P8" s="459">
        <f t="shared" si="0"/>
        <v>104</v>
      </c>
    </row>
    <row r="9" spans="1:16">
      <c r="M9" s="457" t="s">
        <v>1307</v>
      </c>
      <c r="N9" s="461">
        <v>36</v>
      </c>
      <c r="O9" s="461">
        <v>16</v>
      </c>
      <c r="P9" s="459">
        <f t="shared" si="0"/>
        <v>52</v>
      </c>
    </row>
    <row r="10" spans="1:16">
      <c r="M10" s="457" t="s">
        <v>1308</v>
      </c>
      <c r="N10" s="458">
        <v>33</v>
      </c>
      <c r="O10" s="458">
        <v>11</v>
      </c>
      <c r="P10" s="459">
        <f t="shared" si="0"/>
        <v>44</v>
      </c>
    </row>
    <row r="11" spans="1:16">
      <c r="M11" s="462" t="s">
        <v>213</v>
      </c>
      <c r="N11" s="459">
        <f>SUM(N4:N10)</f>
        <v>269</v>
      </c>
      <c r="O11" s="459">
        <f>SUM(O4:O10)</f>
        <v>188</v>
      </c>
      <c r="P11" s="459">
        <f t="shared" si="0"/>
        <v>457</v>
      </c>
    </row>
    <row r="17" spans="14:16">
      <c r="P17" s="454">
        <v>56</v>
      </c>
    </row>
    <row r="18" spans="14:16">
      <c r="N18" s="454">
        <f>234*70</f>
        <v>16380</v>
      </c>
      <c r="O18" s="454">
        <f>144*144</f>
        <v>20736</v>
      </c>
      <c r="P18" s="454">
        <v>13000</v>
      </c>
    </row>
    <row r="19" spans="14:16">
      <c r="P19" s="454">
        <f>P18/P17</f>
        <v>232.14285714285714</v>
      </c>
    </row>
    <row r="20" spans="14:16">
      <c r="P20" s="454">
        <f>P19/45</f>
        <v>5.1587301587301591</v>
      </c>
    </row>
  </sheetData>
  <mergeCells count="2">
    <mergeCell ref="B1:D1"/>
    <mergeCell ref="E1:G1"/>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9"/>
  <sheetViews>
    <sheetView zoomScaleNormal="100" workbookViewId="0">
      <selection activeCell="C2" sqref="C2"/>
    </sheetView>
  </sheetViews>
  <sheetFormatPr defaultColWidth="8.81640625" defaultRowHeight="14.5"/>
  <cols>
    <col min="1" max="1" width="4.7265625" style="380" customWidth="1"/>
    <col min="2" max="2" width="15.7265625" style="380" customWidth="1"/>
    <col min="3" max="7" width="16.54296875" style="380" customWidth="1"/>
    <col min="8" max="8" width="90.453125" style="380" customWidth="1"/>
    <col min="9" max="9" width="13.26953125" style="380" customWidth="1"/>
    <col min="10" max="12" width="8.81640625" style="380"/>
    <col min="13" max="13" width="13.7265625" style="380" customWidth="1"/>
    <col min="14" max="16384" width="8.81640625" style="380"/>
  </cols>
  <sheetData>
    <row r="1" spans="1:13">
      <c r="A1" s="455" t="s">
        <v>1240</v>
      </c>
      <c r="B1" s="463" t="s">
        <v>1309</v>
      </c>
      <c r="C1" s="463" t="s">
        <v>1310</v>
      </c>
      <c r="D1" s="463" t="s">
        <v>1311</v>
      </c>
      <c r="E1" s="463" t="s">
        <v>1312</v>
      </c>
      <c r="F1" s="463" t="s">
        <v>1313</v>
      </c>
      <c r="G1" s="463" t="s">
        <v>259</v>
      </c>
      <c r="H1" s="463" t="s">
        <v>1314</v>
      </c>
      <c r="L1" s="380" t="s">
        <v>1315</v>
      </c>
      <c r="M1" s="380" t="s">
        <v>1316</v>
      </c>
    </row>
    <row r="2" spans="1:13">
      <c r="A2" s="392"/>
      <c r="B2" s="392"/>
      <c r="C2" s="392"/>
      <c r="D2" s="392"/>
      <c r="E2" s="417"/>
      <c r="F2" s="392"/>
      <c r="G2" s="392"/>
      <c r="H2" s="392"/>
      <c r="L2" s="380" t="s">
        <v>1317</v>
      </c>
      <c r="M2" s="380" t="s">
        <v>1318</v>
      </c>
    </row>
    <row r="3" spans="1:13">
      <c r="A3" s="392"/>
      <c r="B3" s="392"/>
      <c r="C3" s="392"/>
      <c r="D3" s="392"/>
      <c r="E3" s="417"/>
      <c r="F3" s="392"/>
      <c r="G3" s="392"/>
      <c r="H3" s="392"/>
      <c r="L3" s="380" t="s">
        <v>1319</v>
      </c>
      <c r="M3" s="380" t="s">
        <v>1320</v>
      </c>
    </row>
    <row r="4" spans="1:13">
      <c r="A4" s="392"/>
      <c r="B4" s="392"/>
      <c r="C4" s="392"/>
      <c r="D4" s="392"/>
      <c r="E4" s="417"/>
      <c r="F4" s="392"/>
      <c r="G4" s="392"/>
      <c r="H4" s="392"/>
      <c r="M4" s="380" t="s">
        <v>1321</v>
      </c>
    </row>
    <row r="5" spans="1:13">
      <c r="A5" s="392"/>
      <c r="B5" s="392"/>
      <c r="C5" s="392"/>
      <c r="D5" s="392"/>
      <c r="E5" s="417"/>
      <c r="F5" s="392"/>
      <c r="G5" s="392"/>
      <c r="H5" s="392"/>
      <c r="M5" s="380" t="s">
        <v>1306</v>
      </c>
    </row>
    <row r="6" spans="1:13">
      <c r="A6" s="392"/>
      <c r="B6" s="392"/>
      <c r="C6" s="392"/>
      <c r="D6" s="392"/>
      <c r="E6" s="417"/>
      <c r="F6" s="392"/>
      <c r="G6" s="392"/>
      <c r="H6" s="392"/>
      <c r="I6" s="464"/>
      <c r="M6" s="380" t="s">
        <v>1322</v>
      </c>
    </row>
    <row r="7" spans="1:13">
      <c r="A7" s="392"/>
      <c r="B7" s="392"/>
      <c r="C7" s="392"/>
      <c r="D7" s="392"/>
      <c r="E7" s="417"/>
      <c r="F7" s="392"/>
      <c r="G7" s="392"/>
      <c r="H7" s="392"/>
      <c r="I7" s="464"/>
    </row>
    <row r="8" spans="1:13">
      <c r="A8" s="392"/>
      <c r="B8" s="392"/>
      <c r="C8" s="392"/>
      <c r="D8" s="392"/>
      <c r="E8" s="417"/>
      <c r="F8" s="392"/>
      <c r="G8" s="392"/>
      <c r="H8" s="392"/>
      <c r="I8" s="464"/>
    </row>
    <row r="9" spans="1:13">
      <c r="A9" s="392"/>
      <c r="B9" s="392"/>
      <c r="C9" s="392"/>
      <c r="D9" s="392"/>
      <c r="E9" s="417"/>
      <c r="F9" s="392"/>
      <c r="G9" s="392"/>
      <c r="H9" s="392"/>
      <c r="I9" s="464"/>
    </row>
    <row r="10" spans="1:13">
      <c r="A10" s="392"/>
      <c r="B10" s="392"/>
      <c r="C10" s="392"/>
      <c r="D10" s="392"/>
      <c r="E10" s="417"/>
      <c r="F10" s="392"/>
      <c r="G10" s="392"/>
      <c r="H10" s="392"/>
      <c r="I10" s="464"/>
    </row>
    <row r="11" spans="1:13">
      <c r="A11" s="392"/>
      <c r="B11" s="392"/>
      <c r="C11" s="392"/>
      <c r="D11" s="392"/>
      <c r="E11" s="417"/>
      <c r="F11" s="392"/>
      <c r="G11" s="392"/>
      <c r="H11" s="392"/>
    </row>
    <row r="12" spans="1:13">
      <c r="A12" s="392"/>
      <c r="B12" s="392"/>
      <c r="C12" s="392"/>
      <c r="D12" s="392"/>
      <c r="E12" s="417"/>
      <c r="F12" s="392"/>
      <c r="G12" s="392"/>
      <c r="H12" s="392"/>
    </row>
    <row r="13" spans="1:13">
      <c r="A13" s="392"/>
      <c r="B13" s="392"/>
      <c r="C13" s="392"/>
      <c r="D13" s="392"/>
      <c r="E13" s="417"/>
      <c r="F13" s="392"/>
      <c r="G13" s="392"/>
      <c r="H13" s="392"/>
    </row>
    <row r="14" spans="1:13">
      <c r="A14" s="392"/>
      <c r="B14" s="392"/>
      <c r="C14" s="392"/>
      <c r="D14" s="392"/>
      <c r="E14" s="417"/>
      <c r="F14" s="392"/>
      <c r="G14" s="392"/>
      <c r="H14" s="392"/>
    </row>
    <row r="15" spans="1:13">
      <c r="A15" s="392"/>
      <c r="B15" s="392"/>
      <c r="C15" s="392"/>
      <c r="D15" s="392"/>
      <c r="E15" s="417"/>
      <c r="F15" s="392"/>
      <c r="G15" s="392"/>
      <c r="H15" s="392"/>
    </row>
    <row r="16" spans="1:13">
      <c r="A16" s="392"/>
      <c r="B16" s="392"/>
      <c r="C16" s="392"/>
      <c r="D16" s="392"/>
      <c r="E16" s="417"/>
      <c r="F16" s="392"/>
      <c r="G16" s="392"/>
      <c r="H16" s="392"/>
    </row>
    <row r="17" spans="1:8">
      <c r="A17" s="392"/>
      <c r="B17" s="392"/>
      <c r="C17" s="392"/>
      <c r="D17" s="392"/>
      <c r="E17" s="417"/>
      <c r="F17" s="392"/>
      <c r="G17" s="392"/>
      <c r="H17" s="392"/>
    </row>
    <row r="18" spans="1:8">
      <c r="A18" s="392"/>
      <c r="B18" s="392"/>
      <c r="C18" s="392"/>
      <c r="D18" s="392"/>
      <c r="E18" s="417"/>
      <c r="F18" s="392"/>
      <c r="G18" s="392"/>
      <c r="H18" s="392"/>
    </row>
    <row r="19" spans="1:8">
      <c r="A19" s="392"/>
      <c r="B19" s="392"/>
      <c r="C19" s="392"/>
      <c r="D19" s="392"/>
      <c r="E19" s="417"/>
      <c r="F19" s="392"/>
      <c r="G19" s="392"/>
      <c r="H19" s="392"/>
    </row>
    <row r="20" spans="1:8">
      <c r="A20" s="392"/>
      <c r="B20" s="392"/>
      <c r="C20" s="392"/>
      <c r="D20" s="392"/>
      <c r="E20" s="417"/>
      <c r="F20" s="392"/>
      <c r="G20" s="392"/>
      <c r="H20" s="392"/>
    </row>
    <row r="21" spans="1:8">
      <c r="A21" s="392"/>
      <c r="B21" s="392"/>
      <c r="C21" s="392"/>
      <c r="D21" s="392"/>
      <c r="E21" s="417"/>
      <c r="F21" s="392"/>
      <c r="G21" s="392"/>
      <c r="H21" s="392"/>
    </row>
    <row r="22" spans="1:8">
      <c r="A22" s="392"/>
      <c r="B22" s="392"/>
      <c r="C22" s="392"/>
      <c r="D22" s="392"/>
      <c r="E22" s="417"/>
      <c r="F22" s="392"/>
      <c r="G22" s="392"/>
      <c r="H22" s="392"/>
    </row>
    <row r="23" spans="1:8">
      <c r="A23" s="392"/>
      <c r="B23" s="392"/>
      <c r="C23" s="392"/>
      <c r="D23" s="392"/>
      <c r="E23" s="417"/>
      <c r="F23" s="392"/>
      <c r="G23" s="392"/>
      <c r="H23" s="392"/>
    </row>
    <row r="24" spans="1:8">
      <c r="A24" s="392"/>
      <c r="B24" s="392"/>
      <c r="C24" s="392"/>
      <c r="D24" s="392"/>
      <c r="E24" s="417"/>
      <c r="F24" s="392"/>
      <c r="G24" s="392"/>
      <c r="H24" s="392"/>
    </row>
    <row r="25" spans="1:8">
      <c r="A25" s="392"/>
      <c r="B25" s="392"/>
      <c r="C25" s="392"/>
      <c r="D25" s="392"/>
      <c r="E25" s="417"/>
      <c r="F25" s="392"/>
      <c r="G25" s="392"/>
      <c r="H25" s="392"/>
    </row>
    <row r="26" spans="1:8">
      <c r="A26" s="392"/>
      <c r="B26" s="392"/>
      <c r="C26" s="392"/>
      <c r="D26" s="392"/>
      <c r="E26" s="417"/>
      <c r="F26" s="392"/>
      <c r="G26" s="392"/>
      <c r="H26" s="392"/>
    </row>
    <row r="27" spans="1:8">
      <c r="A27" s="392"/>
      <c r="B27" s="392"/>
      <c r="C27" s="392"/>
      <c r="D27" s="392"/>
      <c r="E27" s="417"/>
      <c r="F27" s="392"/>
      <c r="G27" s="392"/>
      <c r="H27" s="392"/>
    </row>
    <row r="28" spans="1:8">
      <c r="A28" s="392"/>
      <c r="B28" s="392"/>
      <c r="C28" s="392"/>
      <c r="D28" s="392"/>
      <c r="E28" s="417"/>
      <c r="F28" s="392"/>
      <c r="G28" s="392"/>
      <c r="H28" s="392"/>
    </row>
    <row r="29" spans="1:8">
      <c r="A29" s="392"/>
      <c r="B29" s="392"/>
      <c r="C29" s="392"/>
      <c r="D29" s="392"/>
      <c r="E29" s="417"/>
      <c r="F29" s="392"/>
      <c r="G29" s="392"/>
      <c r="H29" s="392"/>
    </row>
  </sheetData>
  <autoFilter ref="A1:I29" xr:uid="{00000000-0009-0000-0000-00000A000000}"/>
  <dataValidations count="2">
    <dataValidation type="list" allowBlank="1" showInputMessage="1" showErrorMessage="1" sqref="D2:D29" xr:uid="{00000000-0002-0000-0A00-000000000000}">
      <formula1>$L$1:$L$3</formula1>
      <formula2>0</formula2>
    </dataValidation>
    <dataValidation type="list" allowBlank="1" showInputMessage="1" showErrorMessage="1" sqref="C2:C29" xr:uid="{00000000-0002-0000-0A00-000001000000}">
      <formula1>$M$1:$M$6</formula1>
      <formula2>0</formula2>
    </dataValidation>
  </dataValidation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zoomScaleNormal="100" workbookViewId="0">
      <selection activeCell="A23" sqref="A23"/>
    </sheetView>
  </sheetViews>
  <sheetFormatPr defaultColWidth="8.6328125" defaultRowHeight="14.5"/>
  <cols>
    <col min="1" max="1" width="27.26953125" customWidth="1"/>
  </cols>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topLeftCell="B1" zoomScale="115" zoomScaleNormal="115" workbookViewId="0">
      <selection activeCell="C23" sqref="C23"/>
    </sheetView>
  </sheetViews>
  <sheetFormatPr defaultColWidth="8.6328125" defaultRowHeight="14.5"/>
  <cols>
    <col min="1" max="1" width="24.453125" customWidth="1"/>
    <col min="2" max="2" width="22.54296875" customWidth="1"/>
    <col min="3" max="3" width="22.1796875" customWidth="1"/>
    <col min="10" max="13" width="14.54296875" customWidth="1"/>
  </cols>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pageSetUpPr fitToPage="1"/>
  </sheetPr>
  <dimension ref="B1:CE35"/>
  <sheetViews>
    <sheetView showGridLines="0" zoomScale="80" zoomScaleNormal="80" workbookViewId="0">
      <pane ySplit="7" topLeftCell="A8" activePane="bottomLeft" state="frozen"/>
      <selection pane="bottomLeft" activeCell="G22" sqref="G22"/>
    </sheetView>
  </sheetViews>
  <sheetFormatPr defaultColWidth="8.6328125" defaultRowHeight="14.5"/>
  <cols>
    <col min="1" max="1" width="4.54296875" customWidth="1"/>
    <col min="2" max="2" width="8.453125" customWidth="1"/>
    <col min="3" max="3" width="13.453125" customWidth="1"/>
    <col min="4" max="4" width="20.453125" customWidth="1"/>
    <col min="5" max="5" width="31.453125" customWidth="1"/>
    <col min="6" max="6" width="9.453125" customWidth="1"/>
    <col min="7" max="7" width="14.26953125" style="219" customWidth="1"/>
    <col min="8" max="10" width="3.54296875" style="219" customWidth="1"/>
    <col min="11" max="11" width="3.7265625" style="219" customWidth="1"/>
    <col min="12" max="83" width="3.54296875" style="219" customWidth="1"/>
  </cols>
  <sheetData>
    <row r="1" spans="2:83">
      <c r="H1" s="226"/>
      <c r="I1" s="226"/>
      <c r="J1" s="465" t="s">
        <v>1323</v>
      </c>
      <c r="K1" s="465"/>
      <c r="L1" s="465"/>
      <c r="M1" s="465"/>
      <c r="N1" s="465"/>
      <c r="O1" s="465"/>
      <c r="P1" s="465"/>
      <c r="Q1" s="465"/>
      <c r="R1" s="465"/>
      <c r="S1" s="466" t="s">
        <v>1324</v>
      </c>
      <c r="T1" s="466"/>
      <c r="U1" s="466"/>
      <c r="V1" s="466"/>
      <c r="W1" s="467" t="s">
        <v>1325</v>
      </c>
      <c r="X1" s="467"/>
      <c r="Y1" s="467"/>
      <c r="Z1" s="467"/>
      <c r="AA1" s="467"/>
      <c r="AB1" s="467"/>
      <c r="AC1" s="467"/>
      <c r="AD1" s="467"/>
      <c r="AE1" s="467"/>
      <c r="AF1" s="3"/>
      <c r="AG1" s="3"/>
      <c r="AH1" s="3"/>
      <c r="AI1" s="3"/>
      <c r="AJ1" s="3"/>
      <c r="AK1" s="3"/>
      <c r="AL1" s="3"/>
      <c r="AM1" s="468" t="s">
        <v>10</v>
      </c>
      <c r="AN1" s="468"/>
      <c r="AO1" s="3"/>
      <c r="AP1" s="3"/>
      <c r="AQ1" s="3"/>
      <c r="AR1" s="468" t="s">
        <v>11</v>
      </c>
      <c r="AS1" s="3"/>
      <c r="AT1" s="3"/>
      <c r="AU1" s="3"/>
      <c r="AV1" s="468" t="s">
        <v>28</v>
      </c>
      <c r="AW1" s="3"/>
      <c r="AX1" s="3"/>
      <c r="AY1" s="3"/>
      <c r="AZ1" s="3"/>
      <c r="BA1" s="468" t="s">
        <v>21</v>
      </c>
      <c r="BB1" s="3"/>
      <c r="BC1" s="3"/>
      <c r="BD1" s="226"/>
      <c r="BE1" s="226"/>
      <c r="BF1" s="226"/>
      <c r="BG1" s="226"/>
      <c r="BH1" s="226"/>
      <c r="BI1" s="226"/>
      <c r="BJ1" s="226"/>
      <c r="BK1" s="226"/>
      <c r="BL1" s="226"/>
      <c r="BM1" s="226"/>
      <c r="BN1" s="226"/>
      <c r="BO1" s="226"/>
      <c r="BP1" s="226"/>
      <c r="BQ1" s="226"/>
      <c r="BR1" s="372"/>
      <c r="BS1" s="226"/>
      <c r="BT1" s="372"/>
      <c r="BU1" s="372"/>
      <c r="BV1" s="372"/>
      <c r="BW1" s="372"/>
    </row>
    <row r="2" spans="2:83">
      <c r="H2" s="226"/>
      <c r="I2" s="226"/>
      <c r="J2" s="3"/>
      <c r="K2" s="3"/>
      <c r="L2" s="3"/>
      <c r="M2" s="3"/>
      <c r="N2" s="3"/>
      <c r="O2" s="3"/>
      <c r="P2" s="3"/>
      <c r="Q2" s="3"/>
      <c r="R2" s="3"/>
      <c r="S2" s="3"/>
      <c r="T2" s="3"/>
      <c r="U2" s="3"/>
      <c r="V2" s="3"/>
      <c r="W2" s="3"/>
      <c r="X2" s="3"/>
      <c r="Y2" s="3"/>
      <c r="Z2" s="3"/>
      <c r="AA2" s="469" t="s">
        <v>1326</v>
      </c>
      <c r="AB2" s="469"/>
      <c r="AC2" s="469"/>
      <c r="AD2" s="469"/>
      <c r="AE2" s="469"/>
      <c r="AF2" s="469"/>
      <c r="AG2" s="469"/>
      <c r="AH2" s="469"/>
      <c r="AI2" s="469"/>
      <c r="AJ2" s="469"/>
      <c r="AK2" s="469"/>
      <c r="AL2" s="469"/>
      <c r="AM2" s="469"/>
      <c r="AN2" s="3"/>
      <c r="AO2" s="470" t="s">
        <v>15</v>
      </c>
      <c r="AP2" s="470"/>
      <c r="AQ2" s="470"/>
      <c r="AR2" s="3"/>
      <c r="AS2" s="470" t="s">
        <v>16</v>
      </c>
      <c r="AT2" s="471"/>
      <c r="AU2" s="471"/>
      <c r="AV2" s="3"/>
      <c r="AW2" s="470" t="s">
        <v>1259</v>
      </c>
      <c r="AX2" s="471"/>
      <c r="AY2" s="471"/>
      <c r="AZ2" s="471"/>
      <c r="BA2" s="3"/>
      <c r="BB2" s="472" t="s">
        <v>1327</v>
      </c>
      <c r="BC2" s="473"/>
      <c r="BD2" s="226"/>
      <c r="BE2" s="226"/>
      <c r="BF2" s="226"/>
      <c r="BG2" s="226"/>
      <c r="BH2" s="226"/>
      <c r="BI2" s="226"/>
      <c r="BJ2" s="226"/>
      <c r="BK2" s="226"/>
      <c r="BL2" s="226"/>
      <c r="BM2" s="226"/>
      <c r="BN2" s="226"/>
      <c r="BO2" s="226"/>
      <c r="BP2" s="226"/>
      <c r="BQ2" s="226"/>
      <c r="BR2" s="226"/>
      <c r="BS2" s="226"/>
      <c r="BT2" s="226"/>
      <c r="BU2" s="226"/>
      <c r="BV2" s="226"/>
      <c r="BW2" s="226"/>
    </row>
    <row r="3" spans="2:83">
      <c r="H3" s="226"/>
      <c r="I3" s="226"/>
      <c r="BD3" s="226"/>
      <c r="BE3" s="226"/>
      <c r="BF3" s="226"/>
      <c r="BG3" s="226"/>
      <c r="BH3" s="226"/>
      <c r="BI3" s="226"/>
      <c r="BJ3" s="226"/>
      <c r="BK3" s="226"/>
      <c r="BL3" s="226"/>
      <c r="BM3" s="226"/>
      <c r="BN3" s="226"/>
      <c r="BO3" s="226"/>
      <c r="BP3" s="226"/>
      <c r="BQ3" s="226"/>
    </row>
    <row r="4" spans="2:83" ht="14.25" customHeight="1"/>
    <row r="5" spans="2:83" s="226" customFormat="1" ht="13">
      <c r="F5" s="254"/>
      <c r="G5" s="255"/>
      <c r="H5" s="255" t="s">
        <v>278</v>
      </c>
      <c r="I5" s="255" t="s">
        <v>278</v>
      </c>
      <c r="J5" s="255" t="s">
        <v>278</v>
      </c>
      <c r="K5" s="255" t="s">
        <v>278</v>
      </c>
      <c r="L5" s="255" t="s">
        <v>278</v>
      </c>
      <c r="M5" s="255" t="s">
        <v>278</v>
      </c>
      <c r="N5" s="255" t="s">
        <v>278</v>
      </c>
      <c r="O5" s="255" t="s">
        <v>278</v>
      </c>
      <c r="P5" s="255" t="s">
        <v>278</v>
      </c>
      <c r="Q5" s="255" t="s">
        <v>278</v>
      </c>
      <c r="R5" s="255" t="s">
        <v>278</v>
      </c>
      <c r="S5" s="255" t="s">
        <v>278</v>
      </c>
      <c r="T5" s="255" t="s">
        <v>278</v>
      </c>
      <c r="U5" s="255" t="s">
        <v>278</v>
      </c>
      <c r="V5" s="255" t="s">
        <v>278</v>
      </c>
      <c r="W5" s="255" t="s">
        <v>278</v>
      </c>
      <c r="X5" s="255" t="s">
        <v>278</v>
      </c>
      <c r="Y5" s="255" t="s">
        <v>278</v>
      </c>
      <c r="Z5" s="255" t="s">
        <v>278</v>
      </c>
      <c r="AA5" s="255" t="s">
        <v>278</v>
      </c>
      <c r="AB5" s="255" t="s">
        <v>278</v>
      </c>
      <c r="AC5" s="255" t="s">
        <v>278</v>
      </c>
      <c r="AD5" s="255" t="s">
        <v>278</v>
      </c>
      <c r="AE5" s="255" t="s">
        <v>278</v>
      </c>
      <c r="AF5" s="255" t="s">
        <v>278</v>
      </c>
      <c r="AG5" s="255" t="s">
        <v>278</v>
      </c>
      <c r="AH5" s="255" t="s">
        <v>278</v>
      </c>
      <c r="AI5" s="255" t="s">
        <v>278</v>
      </c>
      <c r="AJ5" s="255" t="s">
        <v>278</v>
      </c>
      <c r="AK5" s="255" t="s">
        <v>278</v>
      </c>
      <c r="AL5" s="255" t="s">
        <v>278</v>
      </c>
      <c r="AM5" s="255" t="s">
        <v>278</v>
      </c>
      <c r="AN5" s="255" t="s">
        <v>278</v>
      </c>
      <c r="AO5" s="255" t="s">
        <v>278</v>
      </c>
      <c r="AP5" s="255" t="s">
        <v>278</v>
      </c>
      <c r="AQ5" s="255" t="s">
        <v>278</v>
      </c>
      <c r="AR5" s="255" t="s">
        <v>278</v>
      </c>
      <c r="AS5" s="255" t="s">
        <v>278</v>
      </c>
      <c r="AT5" s="255" t="s">
        <v>278</v>
      </c>
      <c r="AU5" s="255" t="s">
        <v>278</v>
      </c>
      <c r="AV5" s="255" t="s">
        <v>278</v>
      </c>
      <c r="AW5" s="255" t="s">
        <v>278</v>
      </c>
      <c r="AX5" s="255" t="s">
        <v>278</v>
      </c>
      <c r="AY5" s="255" t="s">
        <v>278</v>
      </c>
      <c r="AZ5" s="255" t="s">
        <v>278</v>
      </c>
      <c r="BA5" s="255" t="s">
        <v>279</v>
      </c>
      <c r="BB5" s="255" t="s">
        <v>279</v>
      </c>
      <c r="BC5" s="255" t="s">
        <v>279</v>
      </c>
      <c r="BD5" s="255" t="s">
        <v>279</v>
      </c>
      <c r="BE5" s="255" t="s">
        <v>279</v>
      </c>
      <c r="BF5" s="255" t="s">
        <v>279</v>
      </c>
      <c r="BG5" s="255" t="s">
        <v>279</v>
      </c>
      <c r="BH5" s="255" t="s">
        <v>279</v>
      </c>
      <c r="BI5" s="255" t="s">
        <v>279</v>
      </c>
      <c r="BJ5" s="255" t="s">
        <v>279</v>
      </c>
      <c r="BK5" s="255" t="s">
        <v>279</v>
      </c>
      <c r="BL5" s="255" t="s">
        <v>279</v>
      </c>
      <c r="BM5" s="255" t="s">
        <v>279</v>
      </c>
      <c r="BN5" s="255" t="s">
        <v>279</v>
      </c>
      <c r="BO5" s="255" t="s">
        <v>279</v>
      </c>
      <c r="BP5" s="255" t="s">
        <v>279</v>
      </c>
      <c r="BQ5" s="255" t="s">
        <v>279</v>
      </c>
      <c r="BR5" s="255" t="s">
        <v>279</v>
      </c>
      <c r="BS5" s="255" t="s">
        <v>279</v>
      </c>
      <c r="BT5" s="255" t="s">
        <v>279</v>
      </c>
      <c r="BU5" s="255" t="s">
        <v>279</v>
      </c>
      <c r="BV5" s="255" t="s">
        <v>279</v>
      </c>
      <c r="BW5" s="255" t="s">
        <v>279</v>
      </c>
      <c r="BX5" s="255" t="s">
        <v>279</v>
      </c>
      <c r="BY5" s="255" t="s">
        <v>279</v>
      </c>
      <c r="BZ5" s="255" t="s">
        <v>279</v>
      </c>
      <c r="CA5" s="255" t="s">
        <v>279</v>
      </c>
      <c r="CB5" s="255" t="s">
        <v>279</v>
      </c>
      <c r="CC5" s="255" t="s">
        <v>279</v>
      </c>
      <c r="CD5" s="255" t="s">
        <v>279</v>
      </c>
      <c r="CE5" s="255" t="s">
        <v>279</v>
      </c>
    </row>
    <row r="6" spans="2:83" s="226" customFormat="1" ht="13">
      <c r="C6" s="261"/>
      <c r="D6" s="261"/>
      <c r="E6" s="261"/>
      <c r="F6" s="262"/>
      <c r="G6" s="264">
        <f>SUBTOTAL(9,G8:G82)</f>
        <v>6810</v>
      </c>
      <c r="H6" s="266" t="s">
        <v>290</v>
      </c>
      <c r="I6" s="266" t="s">
        <v>291</v>
      </c>
      <c r="J6" s="266" t="s">
        <v>291</v>
      </c>
      <c r="K6" s="266" t="s">
        <v>291</v>
      </c>
      <c r="L6" s="266" t="s">
        <v>291</v>
      </c>
      <c r="M6" s="266" t="s">
        <v>292</v>
      </c>
      <c r="N6" s="266" t="s">
        <v>292</v>
      </c>
      <c r="O6" s="266" t="s">
        <v>292</v>
      </c>
      <c r="P6" s="266" t="s">
        <v>292</v>
      </c>
      <c r="Q6" s="266" t="s">
        <v>293</v>
      </c>
      <c r="R6" s="266" t="s">
        <v>293</v>
      </c>
      <c r="S6" s="266" t="s">
        <v>293</v>
      </c>
      <c r="T6" s="266" t="s">
        <v>293</v>
      </c>
      <c r="U6" s="266" t="s">
        <v>294</v>
      </c>
      <c r="V6" s="266" t="s">
        <v>294</v>
      </c>
      <c r="W6" s="266" t="s">
        <v>294</v>
      </c>
      <c r="X6" s="266" t="s">
        <v>294</v>
      </c>
      <c r="Y6" s="266" t="s">
        <v>295</v>
      </c>
      <c r="Z6" s="266" t="s">
        <v>295</v>
      </c>
      <c r="AA6" s="266" t="s">
        <v>295</v>
      </c>
      <c r="AB6" s="266" t="s">
        <v>295</v>
      </c>
      <c r="AC6" s="266" t="s">
        <v>296</v>
      </c>
      <c r="AD6" s="266" t="s">
        <v>296</v>
      </c>
      <c r="AE6" s="266" t="s">
        <v>296</v>
      </c>
      <c r="AF6" s="266" t="s">
        <v>296</v>
      </c>
      <c r="AG6" s="266" t="s">
        <v>297</v>
      </c>
      <c r="AH6" s="266" t="s">
        <v>297</v>
      </c>
      <c r="AI6" s="266" t="s">
        <v>297</v>
      </c>
      <c r="AJ6" s="266" t="s">
        <v>297</v>
      </c>
      <c r="AK6" s="266" t="s">
        <v>298</v>
      </c>
      <c r="AL6" s="266" t="s">
        <v>298</v>
      </c>
      <c r="AM6" s="266" t="s">
        <v>298</v>
      </c>
      <c r="AN6" s="266" t="s">
        <v>298</v>
      </c>
      <c r="AO6" s="266" t="s">
        <v>299</v>
      </c>
      <c r="AP6" s="266" t="s">
        <v>299</v>
      </c>
      <c r="AQ6" s="266" t="s">
        <v>299</v>
      </c>
      <c r="AR6" s="266" t="s">
        <v>299</v>
      </c>
      <c r="AS6" s="266" t="s">
        <v>300</v>
      </c>
      <c r="AT6" s="266" t="s">
        <v>300</v>
      </c>
      <c r="AU6" s="266" t="s">
        <v>300</v>
      </c>
      <c r="AV6" s="266" t="s">
        <v>300</v>
      </c>
      <c r="AW6" s="266" t="s">
        <v>301</v>
      </c>
      <c r="AX6" s="266" t="s">
        <v>301</v>
      </c>
      <c r="AY6" s="266" t="s">
        <v>301</v>
      </c>
      <c r="AZ6" s="266" t="s">
        <v>301</v>
      </c>
      <c r="BA6" s="266" t="s">
        <v>302</v>
      </c>
      <c r="BB6" s="266" t="s">
        <v>302</v>
      </c>
      <c r="BC6" s="266" t="s">
        <v>302</v>
      </c>
      <c r="BD6" s="266" t="s">
        <v>302</v>
      </c>
      <c r="BE6" s="266" t="s">
        <v>303</v>
      </c>
      <c r="BF6" s="266" t="s">
        <v>303</v>
      </c>
      <c r="BG6" s="266" t="s">
        <v>303</v>
      </c>
      <c r="BH6" s="266" t="s">
        <v>303</v>
      </c>
      <c r="BI6" s="266" t="s">
        <v>304</v>
      </c>
      <c r="BJ6" s="266" t="s">
        <v>304</v>
      </c>
      <c r="BK6" s="266" t="s">
        <v>304</v>
      </c>
      <c r="BL6" s="266" t="s">
        <v>304</v>
      </c>
      <c r="BM6" s="266" t="s">
        <v>305</v>
      </c>
      <c r="BN6" s="266" t="s">
        <v>305</v>
      </c>
      <c r="BO6" s="266" t="s">
        <v>305</v>
      </c>
      <c r="BP6" s="266" t="s">
        <v>305</v>
      </c>
      <c r="BQ6" s="266" t="s">
        <v>306</v>
      </c>
      <c r="BR6" s="266" t="s">
        <v>306</v>
      </c>
      <c r="BS6" s="266" t="s">
        <v>306</v>
      </c>
      <c r="BT6" s="266" t="s">
        <v>306</v>
      </c>
      <c r="BU6" s="266" t="s">
        <v>307</v>
      </c>
      <c r="BV6" s="266" t="s">
        <v>307</v>
      </c>
      <c r="BW6" s="266" t="s">
        <v>307</v>
      </c>
      <c r="BX6" s="266" t="s">
        <v>307</v>
      </c>
      <c r="BY6" s="266" t="s">
        <v>308</v>
      </c>
      <c r="BZ6" s="266" t="s">
        <v>308</v>
      </c>
      <c r="CA6" s="266" t="s">
        <v>308</v>
      </c>
      <c r="CB6" s="266" t="s">
        <v>308</v>
      </c>
      <c r="CC6" s="266" t="s">
        <v>309</v>
      </c>
      <c r="CD6" s="266" t="s">
        <v>309</v>
      </c>
      <c r="CE6" s="266"/>
    </row>
    <row r="7" spans="2:83" s="290" customFormat="1" ht="66" customHeight="1">
      <c r="B7" s="273" t="s">
        <v>322</v>
      </c>
      <c r="C7" s="273" t="s">
        <v>183</v>
      </c>
      <c r="D7" s="273" t="s">
        <v>1328</v>
      </c>
      <c r="E7" s="273" t="s">
        <v>324</v>
      </c>
      <c r="F7" s="273" t="s">
        <v>182</v>
      </c>
      <c r="G7" s="275" t="s">
        <v>336</v>
      </c>
      <c r="H7" s="405">
        <v>46223</v>
      </c>
      <c r="I7" s="405">
        <f t="shared" ref="I7:AN7" si="0">H7+7</f>
        <v>46230</v>
      </c>
      <c r="J7" s="405">
        <f t="shared" si="0"/>
        <v>46237</v>
      </c>
      <c r="K7" s="405">
        <f t="shared" si="0"/>
        <v>46244</v>
      </c>
      <c r="L7" s="405">
        <f t="shared" si="0"/>
        <v>46251</v>
      </c>
      <c r="M7" s="405">
        <f t="shared" si="0"/>
        <v>46258</v>
      </c>
      <c r="N7" s="405">
        <f t="shared" si="0"/>
        <v>46265</v>
      </c>
      <c r="O7" s="405">
        <f t="shared" si="0"/>
        <v>46272</v>
      </c>
      <c r="P7" s="405">
        <f t="shared" si="0"/>
        <v>46279</v>
      </c>
      <c r="Q7" s="405">
        <f t="shared" si="0"/>
        <v>46286</v>
      </c>
      <c r="R7" s="405">
        <f t="shared" si="0"/>
        <v>46293</v>
      </c>
      <c r="S7" s="405">
        <f t="shared" si="0"/>
        <v>46300</v>
      </c>
      <c r="T7" s="405">
        <f t="shared" si="0"/>
        <v>46307</v>
      </c>
      <c r="U7" s="405">
        <f t="shared" si="0"/>
        <v>46314</v>
      </c>
      <c r="V7" s="405">
        <f t="shared" si="0"/>
        <v>46321</v>
      </c>
      <c r="W7" s="405">
        <f t="shared" si="0"/>
        <v>46328</v>
      </c>
      <c r="X7" s="405">
        <f t="shared" si="0"/>
        <v>46335</v>
      </c>
      <c r="Y7" s="405">
        <f t="shared" si="0"/>
        <v>46342</v>
      </c>
      <c r="Z7" s="405">
        <f t="shared" si="0"/>
        <v>46349</v>
      </c>
      <c r="AA7" s="405">
        <f t="shared" si="0"/>
        <v>46356</v>
      </c>
      <c r="AB7" s="405">
        <f t="shared" si="0"/>
        <v>46363</v>
      </c>
      <c r="AC7" s="405">
        <f t="shared" si="0"/>
        <v>46370</v>
      </c>
      <c r="AD7" s="405">
        <f t="shared" si="0"/>
        <v>46377</v>
      </c>
      <c r="AE7" s="405">
        <f t="shared" si="0"/>
        <v>46384</v>
      </c>
      <c r="AF7" s="405">
        <f t="shared" si="0"/>
        <v>46391</v>
      </c>
      <c r="AG7" s="405">
        <f t="shared" si="0"/>
        <v>46398</v>
      </c>
      <c r="AH7" s="405">
        <f t="shared" si="0"/>
        <v>46405</v>
      </c>
      <c r="AI7" s="405">
        <f t="shared" si="0"/>
        <v>46412</v>
      </c>
      <c r="AJ7" s="405">
        <f t="shared" si="0"/>
        <v>46419</v>
      </c>
      <c r="AK7" s="405">
        <f t="shared" si="0"/>
        <v>46426</v>
      </c>
      <c r="AL7" s="405">
        <f t="shared" si="0"/>
        <v>46433</v>
      </c>
      <c r="AM7" s="405">
        <f t="shared" si="0"/>
        <v>46440</v>
      </c>
      <c r="AN7" s="405">
        <f t="shared" si="0"/>
        <v>46447</v>
      </c>
      <c r="AO7" s="405">
        <f t="shared" ref="AO7:BT7" si="1">AN7+7</f>
        <v>46454</v>
      </c>
      <c r="AP7" s="405">
        <f t="shared" si="1"/>
        <v>46461</v>
      </c>
      <c r="AQ7" s="405">
        <f t="shared" si="1"/>
        <v>46468</v>
      </c>
      <c r="AR7" s="405">
        <f t="shared" si="1"/>
        <v>46475</v>
      </c>
      <c r="AS7" s="405">
        <f t="shared" si="1"/>
        <v>46482</v>
      </c>
      <c r="AT7" s="405">
        <f t="shared" si="1"/>
        <v>46489</v>
      </c>
      <c r="AU7" s="405">
        <f t="shared" si="1"/>
        <v>46496</v>
      </c>
      <c r="AV7" s="405">
        <f t="shared" si="1"/>
        <v>46503</v>
      </c>
      <c r="AW7" s="405">
        <f t="shared" si="1"/>
        <v>46510</v>
      </c>
      <c r="AX7" s="405">
        <f t="shared" si="1"/>
        <v>46517</v>
      </c>
      <c r="AY7" s="405">
        <f t="shared" si="1"/>
        <v>46524</v>
      </c>
      <c r="AZ7" s="405">
        <f t="shared" si="1"/>
        <v>46531</v>
      </c>
      <c r="BA7" s="405">
        <f t="shared" si="1"/>
        <v>46538</v>
      </c>
      <c r="BB7" s="405">
        <f t="shared" si="1"/>
        <v>46545</v>
      </c>
      <c r="BC7" s="405">
        <f t="shared" si="1"/>
        <v>46552</v>
      </c>
      <c r="BD7" s="405">
        <f t="shared" si="1"/>
        <v>46559</v>
      </c>
      <c r="BE7" s="405">
        <f t="shared" si="1"/>
        <v>46566</v>
      </c>
      <c r="BF7" s="405">
        <f t="shared" si="1"/>
        <v>46573</v>
      </c>
      <c r="BG7" s="405">
        <f t="shared" si="1"/>
        <v>46580</v>
      </c>
      <c r="BH7" s="405">
        <f t="shared" si="1"/>
        <v>46587</v>
      </c>
      <c r="BI7" s="405">
        <f t="shared" si="1"/>
        <v>46594</v>
      </c>
      <c r="BJ7" s="405">
        <f t="shared" si="1"/>
        <v>46601</v>
      </c>
      <c r="BK7" s="405">
        <f t="shared" si="1"/>
        <v>46608</v>
      </c>
      <c r="BL7" s="405">
        <f t="shared" si="1"/>
        <v>46615</v>
      </c>
      <c r="BM7" s="405">
        <f t="shared" si="1"/>
        <v>46622</v>
      </c>
      <c r="BN7" s="405">
        <f t="shared" si="1"/>
        <v>46629</v>
      </c>
      <c r="BO7" s="405">
        <f t="shared" si="1"/>
        <v>46636</v>
      </c>
      <c r="BP7" s="405">
        <f t="shared" si="1"/>
        <v>46643</v>
      </c>
      <c r="BQ7" s="405">
        <f t="shared" si="1"/>
        <v>46650</v>
      </c>
      <c r="BR7" s="405">
        <f t="shared" si="1"/>
        <v>46657</v>
      </c>
      <c r="BS7" s="405">
        <f t="shared" si="1"/>
        <v>46664</v>
      </c>
      <c r="BT7" s="405">
        <f t="shared" si="1"/>
        <v>46671</v>
      </c>
      <c r="BU7" s="405">
        <f t="shared" ref="BU7:CE7" si="2">BT7+7</f>
        <v>46678</v>
      </c>
      <c r="BV7" s="405">
        <f t="shared" si="2"/>
        <v>46685</v>
      </c>
      <c r="BW7" s="405">
        <f t="shared" si="2"/>
        <v>46692</v>
      </c>
      <c r="BX7" s="405">
        <f t="shared" si="2"/>
        <v>46699</v>
      </c>
      <c r="BY7" s="405">
        <f t="shared" si="2"/>
        <v>46706</v>
      </c>
      <c r="BZ7" s="405">
        <f t="shared" si="2"/>
        <v>46713</v>
      </c>
      <c r="CA7" s="405">
        <f t="shared" si="2"/>
        <v>46720</v>
      </c>
      <c r="CB7" s="405">
        <f t="shared" si="2"/>
        <v>46727</v>
      </c>
      <c r="CC7" s="405">
        <f t="shared" si="2"/>
        <v>46734</v>
      </c>
      <c r="CD7" s="405">
        <f t="shared" si="2"/>
        <v>46741</v>
      </c>
      <c r="CE7" s="405">
        <f t="shared" si="2"/>
        <v>46748</v>
      </c>
    </row>
    <row r="8" spans="2:83" s="306" customFormat="1" ht="15.75" customHeight="1">
      <c r="B8" s="292" t="s">
        <v>348</v>
      </c>
      <c r="C8" s="292" t="s">
        <v>53</v>
      </c>
      <c r="D8" s="292" t="s">
        <v>325</v>
      </c>
      <c r="E8" s="292" t="s">
        <v>1329</v>
      </c>
      <c r="F8" s="292"/>
      <c r="G8" s="474">
        <f t="shared" ref="G8:G25" si="3">SUM(H8:CE8)</f>
        <v>332</v>
      </c>
      <c r="H8" s="474"/>
      <c r="I8" s="474"/>
      <c r="J8" s="474">
        <v>4</v>
      </c>
      <c r="K8" s="474">
        <v>4</v>
      </c>
      <c r="L8" s="474">
        <v>4</v>
      </c>
      <c r="M8" s="474">
        <v>4</v>
      </c>
      <c r="N8" s="474">
        <v>4</v>
      </c>
      <c r="O8" s="474">
        <v>4</v>
      </c>
      <c r="P8" s="474">
        <v>4</v>
      </c>
      <c r="Q8" s="474">
        <v>4</v>
      </c>
      <c r="R8" s="474">
        <v>4</v>
      </c>
      <c r="S8" s="474">
        <v>8</v>
      </c>
      <c r="T8" s="474">
        <v>8</v>
      </c>
      <c r="U8" s="474">
        <v>8</v>
      </c>
      <c r="V8" s="474">
        <v>8</v>
      </c>
      <c r="W8" s="474">
        <v>8</v>
      </c>
      <c r="X8" s="474">
        <v>8</v>
      </c>
      <c r="Y8" s="474">
        <v>8</v>
      </c>
      <c r="Z8" s="474">
        <v>8</v>
      </c>
      <c r="AA8" s="474">
        <v>8</v>
      </c>
      <c r="AB8" s="474">
        <v>8</v>
      </c>
      <c r="AC8" s="474">
        <v>8</v>
      </c>
      <c r="AD8" s="474">
        <v>8</v>
      </c>
      <c r="AE8" s="474">
        <v>8</v>
      </c>
      <c r="AF8" s="474">
        <v>8</v>
      </c>
      <c r="AG8" s="474">
        <v>8</v>
      </c>
      <c r="AH8" s="474">
        <v>8</v>
      </c>
      <c r="AI8" s="474">
        <v>8</v>
      </c>
      <c r="AJ8" s="474">
        <v>8</v>
      </c>
      <c r="AK8" s="474">
        <v>8</v>
      </c>
      <c r="AL8" s="474">
        <v>8</v>
      </c>
      <c r="AM8" s="474">
        <v>8</v>
      </c>
      <c r="AN8" s="474">
        <v>8</v>
      </c>
      <c r="AO8" s="474">
        <v>8</v>
      </c>
      <c r="AP8" s="474">
        <v>8</v>
      </c>
      <c r="AQ8" s="474">
        <v>8</v>
      </c>
      <c r="AR8" s="474">
        <v>8</v>
      </c>
      <c r="AS8" s="474">
        <v>8</v>
      </c>
      <c r="AT8" s="474">
        <v>8</v>
      </c>
      <c r="AU8" s="474">
        <v>8</v>
      </c>
      <c r="AV8" s="474">
        <v>8</v>
      </c>
      <c r="AW8" s="474">
        <v>8</v>
      </c>
      <c r="AX8" s="474">
        <v>8</v>
      </c>
      <c r="AY8" s="474">
        <v>8</v>
      </c>
      <c r="AZ8" s="474">
        <v>8</v>
      </c>
      <c r="BA8" s="474">
        <v>8</v>
      </c>
      <c r="BB8" s="474">
        <v>8</v>
      </c>
      <c r="BC8" s="474">
        <v>8</v>
      </c>
      <c r="BD8" s="474"/>
      <c r="BE8" s="474"/>
      <c r="BF8" s="474"/>
      <c r="BG8" s="474"/>
      <c r="BH8" s="474"/>
      <c r="BI8" s="474"/>
      <c r="BJ8" s="474"/>
      <c r="BK8" s="474"/>
      <c r="BL8" s="474"/>
      <c r="BM8" s="474"/>
      <c r="BN8" s="474"/>
      <c r="BO8" s="474"/>
      <c r="BP8" s="474"/>
      <c r="BQ8" s="474"/>
      <c r="BR8" s="474"/>
      <c r="BS8" s="474"/>
      <c r="BT8" s="292"/>
      <c r="BU8" s="292"/>
      <c r="BV8" s="292"/>
      <c r="BW8" s="292"/>
      <c r="BX8" s="474"/>
      <c r="BY8" s="474"/>
      <c r="BZ8" s="474"/>
      <c r="CA8" s="474"/>
      <c r="CB8" s="474"/>
      <c r="CC8" s="474"/>
      <c r="CD8" s="474"/>
      <c r="CE8" s="474"/>
    </row>
    <row r="9" spans="2:83" s="306" customFormat="1" ht="15.75" customHeight="1">
      <c r="B9" s="292" t="s">
        <v>348</v>
      </c>
      <c r="C9" s="292" t="s">
        <v>53</v>
      </c>
      <c r="D9" s="292" t="s">
        <v>1330</v>
      </c>
      <c r="E9" s="292" t="s">
        <v>1331</v>
      </c>
      <c r="F9" s="292"/>
      <c r="G9" s="474">
        <f t="shared" si="3"/>
        <v>776</v>
      </c>
      <c r="H9" s="474"/>
      <c r="I9" s="474"/>
      <c r="J9" s="474">
        <v>4</v>
      </c>
      <c r="K9" s="474">
        <v>4</v>
      </c>
      <c r="L9" s="474">
        <v>4</v>
      </c>
      <c r="M9" s="474">
        <v>4</v>
      </c>
      <c r="N9" s="474">
        <v>4</v>
      </c>
      <c r="O9" s="474">
        <v>4</v>
      </c>
      <c r="P9" s="474">
        <v>4</v>
      </c>
      <c r="Q9" s="474">
        <v>4</v>
      </c>
      <c r="R9" s="474">
        <v>4</v>
      </c>
      <c r="S9" s="474">
        <v>20</v>
      </c>
      <c r="T9" s="474">
        <v>20</v>
      </c>
      <c r="U9" s="474">
        <v>20</v>
      </c>
      <c r="V9" s="474">
        <v>20</v>
      </c>
      <c r="W9" s="474">
        <v>20</v>
      </c>
      <c r="X9" s="474">
        <v>20</v>
      </c>
      <c r="Y9" s="474">
        <v>20</v>
      </c>
      <c r="Z9" s="474">
        <v>20</v>
      </c>
      <c r="AA9" s="474">
        <v>20</v>
      </c>
      <c r="AB9" s="474">
        <v>20</v>
      </c>
      <c r="AC9" s="474">
        <v>20</v>
      </c>
      <c r="AD9" s="474">
        <v>20</v>
      </c>
      <c r="AE9" s="474">
        <v>20</v>
      </c>
      <c r="AF9" s="474">
        <v>20</v>
      </c>
      <c r="AG9" s="474">
        <v>20</v>
      </c>
      <c r="AH9" s="474">
        <v>20</v>
      </c>
      <c r="AI9" s="474">
        <v>20</v>
      </c>
      <c r="AJ9" s="474">
        <v>20</v>
      </c>
      <c r="AK9" s="474">
        <v>20</v>
      </c>
      <c r="AL9" s="474">
        <v>20</v>
      </c>
      <c r="AM9" s="474">
        <v>20</v>
      </c>
      <c r="AN9" s="474">
        <v>20</v>
      </c>
      <c r="AO9" s="474">
        <v>20</v>
      </c>
      <c r="AP9" s="474">
        <v>20</v>
      </c>
      <c r="AQ9" s="474">
        <v>20</v>
      </c>
      <c r="AR9" s="474">
        <v>20</v>
      </c>
      <c r="AS9" s="474">
        <v>20</v>
      </c>
      <c r="AT9" s="474">
        <v>20</v>
      </c>
      <c r="AU9" s="474">
        <v>20</v>
      </c>
      <c r="AV9" s="474">
        <v>20</v>
      </c>
      <c r="AW9" s="474">
        <v>20</v>
      </c>
      <c r="AX9" s="474">
        <v>20</v>
      </c>
      <c r="AY9" s="474">
        <v>20</v>
      </c>
      <c r="AZ9" s="474">
        <v>20</v>
      </c>
      <c r="BA9" s="474">
        <v>20</v>
      </c>
      <c r="BB9" s="474">
        <v>20</v>
      </c>
      <c r="BC9" s="474">
        <v>20</v>
      </c>
      <c r="BD9" s="474"/>
      <c r="BE9" s="474"/>
      <c r="BF9" s="474"/>
      <c r="BG9" s="474"/>
      <c r="BH9" s="474"/>
      <c r="BI9" s="474"/>
      <c r="BJ9" s="474"/>
      <c r="BK9" s="474"/>
      <c r="BL9" s="474"/>
      <c r="BM9" s="474"/>
      <c r="BN9" s="474"/>
      <c r="BO9" s="474"/>
      <c r="BP9" s="474"/>
      <c r="BQ9" s="474"/>
      <c r="BR9" s="474"/>
      <c r="BS9" s="474"/>
      <c r="BT9" s="292"/>
      <c r="BU9" s="292"/>
      <c r="BV9" s="292"/>
      <c r="BW9" s="292"/>
      <c r="BX9" s="474"/>
      <c r="BY9" s="474"/>
      <c r="BZ9" s="474"/>
      <c r="CA9" s="474"/>
      <c r="CB9" s="474"/>
      <c r="CC9" s="474"/>
      <c r="CD9" s="474"/>
      <c r="CE9" s="474"/>
    </row>
    <row r="10" spans="2:83" s="306" customFormat="1" ht="15.75" customHeight="1">
      <c r="B10" s="292" t="s">
        <v>85</v>
      </c>
      <c r="C10" s="292" t="s">
        <v>1332</v>
      </c>
      <c r="D10" s="292" t="s">
        <v>1330</v>
      </c>
      <c r="E10" s="292" t="s">
        <v>369</v>
      </c>
      <c r="F10" s="292"/>
      <c r="G10" s="474">
        <f t="shared" si="3"/>
        <v>626</v>
      </c>
      <c r="H10" s="474"/>
      <c r="I10" s="474"/>
      <c r="J10" s="474">
        <v>4</v>
      </c>
      <c r="K10" s="474">
        <v>4</v>
      </c>
      <c r="L10" s="474">
        <v>4</v>
      </c>
      <c r="M10" s="474">
        <v>4</v>
      </c>
      <c r="N10" s="474">
        <v>4</v>
      </c>
      <c r="O10" s="474">
        <v>4</v>
      </c>
      <c r="P10" s="474">
        <v>4</v>
      </c>
      <c r="Q10" s="474">
        <v>4</v>
      </c>
      <c r="R10" s="474">
        <v>4</v>
      </c>
      <c r="S10" s="474">
        <v>20</v>
      </c>
      <c r="T10" s="474">
        <v>20</v>
      </c>
      <c r="U10" s="474">
        <v>20</v>
      </c>
      <c r="V10" s="474">
        <v>20</v>
      </c>
      <c r="W10" s="474">
        <v>20</v>
      </c>
      <c r="X10" s="474">
        <v>20</v>
      </c>
      <c r="Y10" s="474">
        <v>20</v>
      </c>
      <c r="Z10" s="474">
        <v>20</v>
      </c>
      <c r="AA10" s="474">
        <v>20</v>
      </c>
      <c r="AB10" s="474">
        <v>20</v>
      </c>
      <c r="AC10" s="474">
        <v>20</v>
      </c>
      <c r="AD10" s="474">
        <v>20</v>
      </c>
      <c r="AE10" s="474">
        <v>20</v>
      </c>
      <c r="AF10" s="474">
        <v>20</v>
      </c>
      <c r="AG10" s="474">
        <v>20</v>
      </c>
      <c r="AH10" s="474">
        <v>20</v>
      </c>
      <c r="AI10" s="474">
        <v>20</v>
      </c>
      <c r="AJ10" s="474">
        <v>20</v>
      </c>
      <c r="AK10" s="474">
        <v>20</v>
      </c>
      <c r="AL10" s="474">
        <v>20</v>
      </c>
      <c r="AM10" s="474">
        <v>20</v>
      </c>
      <c r="AN10" s="474">
        <v>20</v>
      </c>
      <c r="AO10" s="474">
        <v>10</v>
      </c>
      <c r="AP10" s="474">
        <v>10</v>
      </c>
      <c r="AQ10" s="474">
        <v>10</v>
      </c>
      <c r="AR10" s="474">
        <v>10</v>
      </c>
      <c r="AS10" s="474">
        <v>10</v>
      </c>
      <c r="AT10" s="474">
        <v>10</v>
      </c>
      <c r="AU10" s="474">
        <v>10</v>
      </c>
      <c r="AV10" s="474">
        <v>10</v>
      </c>
      <c r="AW10" s="474">
        <v>10</v>
      </c>
      <c r="AX10" s="474">
        <v>10</v>
      </c>
      <c r="AY10" s="474">
        <v>10</v>
      </c>
      <c r="AZ10" s="474">
        <v>10</v>
      </c>
      <c r="BA10" s="474">
        <v>10</v>
      </c>
      <c r="BB10" s="474">
        <v>10</v>
      </c>
      <c r="BC10" s="474">
        <v>10</v>
      </c>
      <c r="BD10" s="474"/>
      <c r="BE10" s="474"/>
      <c r="BF10" s="474"/>
      <c r="BG10" s="475"/>
      <c r="BH10" s="474"/>
      <c r="BI10" s="474"/>
      <c r="BJ10" s="474"/>
      <c r="BK10" s="474"/>
      <c r="BL10" s="474"/>
      <c r="BM10" s="474"/>
      <c r="BN10" s="474"/>
      <c r="BO10" s="474"/>
      <c r="BP10" s="474"/>
      <c r="BQ10" s="474"/>
      <c r="BR10" s="474"/>
      <c r="BS10" s="474"/>
      <c r="BT10" s="292"/>
      <c r="BU10" s="292"/>
      <c r="BV10" s="292"/>
      <c r="BW10" s="292"/>
      <c r="BX10" s="474"/>
      <c r="BY10" s="474"/>
      <c r="BZ10" s="474"/>
      <c r="CA10" s="474"/>
      <c r="CB10" s="474"/>
      <c r="CC10" s="474"/>
      <c r="CD10" s="474"/>
      <c r="CE10" s="474"/>
    </row>
    <row r="11" spans="2:83" s="170" customFormat="1" ht="15.75" customHeight="1">
      <c r="B11" s="292" t="s">
        <v>85</v>
      </c>
      <c r="C11" s="292" t="s">
        <v>194</v>
      </c>
      <c r="D11" s="292" t="s">
        <v>1330</v>
      </c>
      <c r="E11" s="292" t="s">
        <v>1333</v>
      </c>
      <c r="F11" s="292"/>
      <c r="G11" s="474">
        <f t="shared" si="3"/>
        <v>264</v>
      </c>
      <c r="H11" s="474"/>
      <c r="I11" s="474"/>
      <c r="J11" s="474"/>
      <c r="K11" s="474"/>
      <c r="L11" s="474"/>
      <c r="M11" s="474"/>
      <c r="N11" s="474"/>
      <c r="O11" s="474"/>
      <c r="P11" s="474"/>
      <c r="Q11" s="474"/>
      <c r="R11" s="474"/>
      <c r="S11" s="474">
        <v>4</v>
      </c>
      <c r="T11" s="474">
        <v>4</v>
      </c>
      <c r="U11" s="474">
        <v>4</v>
      </c>
      <c r="V11" s="474">
        <v>4</v>
      </c>
      <c r="W11" s="474">
        <v>8</v>
      </c>
      <c r="X11" s="474">
        <v>8</v>
      </c>
      <c r="Y11" s="474">
        <v>8</v>
      </c>
      <c r="Z11" s="474">
        <v>8</v>
      </c>
      <c r="AA11" s="474">
        <v>8</v>
      </c>
      <c r="AB11" s="474">
        <v>8</v>
      </c>
      <c r="AC11" s="474">
        <v>8</v>
      </c>
      <c r="AD11" s="474">
        <v>8</v>
      </c>
      <c r="AE11" s="474">
        <v>8</v>
      </c>
      <c r="AF11" s="474">
        <v>8</v>
      </c>
      <c r="AG11" s="474">
        <v>8</v>
      </c>
      <c r="AH11" s="474">
        <v>8</v>
      </c>
      <c r="AI11" s="474">
        <v>8</v>
      </c>
      <c r="AJ11" s="474">
        <v>8</v>
      </c>
      <c r="AK11" s="474">
        <v>8</v>
      </c>
      <c r="AL11" s="474">
        <v>8</v>
      </c>
      <c r="AM11" s="474">
        <v>8</v>
      </c>
      <c r="AN11" s="474">
        <v>8</v>
      </c>
      <c r="AO11" s="474">
        <v>8</v>
      </c>
      <c r="AP11" s="474">
        <v>8</v>
      </c>
      <c r="AQ11" s="474">
        <v>8</v>
      </c>
      <c r="AR11" s="474">
        <v>8</v>
      </c>
      <c r="AS11" s="474">
        <v>8</v>
      </c>
      <c r="AT11" s="474">
        <v>8</v>
      </c>
      <c r="AU11" s="474">
        <v>8</v>
      </c>
      <c r="AV11" s="474">
        <v>8</v>
      </c>
      <c r="AW11" s="474">
        <v>8</v>
      </c>
      <c r="AX11" s="474">
        <v>8</v>
      </c>
      <c r="AY11" s="474">
        <v>8</v>
      </c>
      <c r="AZ11" s="474">
        <v>8</v>
      </c>
      <c r="BA11" s="474">
        <v>4</v>
      </c>
      <c r="BB11" s="474">
        <v>4</v>
      </c>
      <c r="BC11" s="474"/>
      <c r="BD11" s="474"/>
      <c r="BE11" s="474"/>
      <c r="BF11" s="474"/>
      <c r="BG11" s="475"/>
      <c r="BH11" s="475"/>
      <c r="BI11" s="475"/>
      <c r="BJ11" s="475"/>
      <c r="BK11" s="475"/>
      <c r="BL11" s="475"/>
      <c r="BM11" s="475"/>
      <c r="BN11" s="475"/>
      <c r="BO11" s="475"/>
      <c r="BP11" s="475"/>
      <c r="BQ11" s="475"/>
      <c r="BR11" s="475"/>
      <c r="BS11" s="475"/>
      <c r="BT11" s="476"/>
      <c r="BU11" s="476"/>
      <c r="BV11" s="476"/>
      <c r="BW11" s="476"/>
      <c r="BX11" s="475"/>
      <c r="BY11" s="475"/>
      <c r="BZ11" s="475"/>
      <c r="CA11" s="475"/>
      <c r="CB11" s="475"/>
      <c r="CC11" s="475"/>
      <c r="CD11" s="475"/>
      <c r="CE11" s="475"/>
    </row>
    <row r="12" spans="2:83" s="170" customFormat="1" ht="15.75" customHeight="1">
      <c r="B12" s="292" t="s">
        <v>85</v>
      </c>
      <c r="C12" s="292" t="s">
        <v>197</v>
      </c>
      <c r="D12" s="292" t="s">
        <v>325</v>
      </c>
      <c r="E12" s="292" t="s">
        <v>1334</v>
      </c>
      <c r="F12" s="292"/>
      <c r="G12" s="474">
        <f t="shared" si="3"/>
        <v>162</v>
      </c>
      <c r="H12" s="474"/>
      <c r="I12" s="474"/>
      <c r="J12" s="474">
        <v>2</v>
      </c>
      <c r="K12" s="474">
        <v>2</v>
      </c>
      <c r="L12" s="474">
        <v>2</v>
      </c>
      <c r="M12" s="474">
        <v>2</v>
      </c>
      <c r="N12" s="474">
        <v>2</v>
      </c>
      <c r="O12" s="474">
        <v>2</v>
      </c>
      <c r="P12" s="474">
        <v>2</v>
      </c>
      <c r="Q12" s="474">
        <v>2</v>
      </c>
      <c r="R12" s="474">
        <v>2</v>
      </c>
      <c r="S12" s="474">
        <v>4</v>
      </c>
      <c r="T12" s="474">
        <v>4</v>
      </c>
      <c r="U12" s="474">
        <v>4</v>
      </c>
      <c r="V12" s="474">
        <v>4</v>
      </c>
      <c r="W12" s="474">
        <v>4</v>
      </c>
      <c r="X12" s="474">
        <v>4</v>
      </c>
      <c r="Y12" s="474">
        <v>4</v>
      </c>
      <c r="Z12" s="474">
        <v>4</v>
      </c>
      <c r="AA12" s="474">
        <v>4</v>
      </c>
      <c r="AB12" s="474">
        <v>4</v>
      </c>
      <c r="AC12" s="474">
        <v>4</v>
      </c>
      <c r="AD12" s="474">
        <v>4</v>
      </c>
      <c r="AE12" s="474">
        <v>4</v>
      </c>
      <c r="AF12" s="474">
        <v>4</v>
      </c>
      <c r="AG12" s="474">
        <v>4</v>
      </c>
      <c r="AH12" s="474">
        <v>4</v>
      </c>
      <c r="AI12" s="474">
        <v>4</v>
      </c>
      <c r="AJ12" s="474">
        <v>4</v>
      </c>
      <c r="AK12" s="474">
        <v>4</v>
      </c>
      <c r="AL12" s="474">
        <v>4</v>
      </c>
      <c r="AM12" s="474">
        <v>4</v>
      </c>
      <c r="AN12" s="474">
        <v>4</v>
      </c>
      <c r="AO12" s="474">
        <v>4</v>
      </c>
      <c r="AP12" s="474">
        <v>4</v>
      </c>
      <c r="AQ12" s="474">
        <v>4</v>
      </c>
      <c r="AR12" s="474">
        <v>4</v>
      </c>
      <c r="AS12" s="474">
        <v>4</v>
      </c>
      <c r="AT12" s="474">
        <v>4</v>
      </c>
      <c r="AU12" s="474">
        <v>4</v>
      </c>
      <c r="AV12" s="474">
        <v>4</v>
      </c>
      <c r="AW12" s="474">
        <v>4</v>
      </c>
      <c r="AX12" s="474">
        <v>4</v>
      </c>
      <c r="AY12" s="474">
        <v>4</v>
      </c>
      <c r="AZ12" s="474">
        <v>4</v>
      </c>
      <c r="BA12" s="474">
        <v>4</v>
      </c>
      <c r="BB12" s="474">
        <v>2</v>
      </c>
      <c r="BC12" s="474">
        <v>2</v>
      </c>
      <c r="BD12" s="474"/>
      <c r="BE12" s="474"/>
      <c r="BF12" s="474"/>
      <c r="BG12" s="475"/>
      <c r="BH12" s="475"/>
      <c r="BI12" s="475"/>
      <c r="BJ12" s="475"/>
      <c r="BK12" s="475"/>
      <c r="BL12" s="475"/>
      <c r="BM12" s="475"/>
      <c r="BN12" s="475"/>
      <c r="BO12" s="475"/>
      <c r="BP12" s="475"/>
      <c r="BQ12" s="475"/>
      <c r="BR12" s="475"/>
      <c r="BS12" s="475"/>
      <c r="BT12" s="476"/>
      <c r="BU12" s="476"/>
      <c r="BV12" s="476"/>
      <c r="BW12" s="476"/>
      <c r="BX12" s="475"/>
      <c r="BY12" s="475"/>
      <c r="BZ12" s="475"/>
      <c r="CA12" s="475"/>
      <c r="CB12" s="475"/>
      <c r="CC12" s="475"/>
      <c r="CD12" s="475"/>
      <c r="CE12" s="475"/>
    </row>
    <row r="13" spans="2:83" s="170" customFormat="1" ht="15.75" customHeight="1">
      <c r="B13" s="292" t="s">
        <v>85</v>
      </c>
      <c r="C13" s="292" t="s">
        <v>197</v>
      </c>
      <c r="D13" s="292" t="s">
        <v>1330</v>
      </c>
      <c r="E13" s="292" t="s">
        <v>1335</v>
      </c>
      <c r="F13" s="292"/>
      <c r="G13" s="474">
        <f t="shared" si="3"/>
        <v>266</v>
      </c>
      <c r="H13" s="474"/>
      <c r="I13" s="474"/>
      <c r="J13" s="474"/>
      <c r="K13" s="474"/>
      <c r="L13" s="474"/>
      <c r="M13" s="474"/>
      <c r="N13" s="474"/>
      <c r="O13" s="474"/>
      <c r="P13" s="474"/>
      <c r="Q13" s="474"/>
      <c r="R13" s="474"/>
      <c r="S13" s="474">
        <v>4</v>
      </c>
      <c r="T13" s="474">
        <v>4</v>
      </c>
      <c r="U13" s="474">
        <v>4</v>
      </c>
      <c r="V13" s="474">
        <v>4</v>
      </c>
      <c r="W13" s="474">
        <v>8</v>
      </c>
      <c r="X13" s="474">
        <v>8</v>
      </c>
      <c r="Y13" s="474">
        <v>8</v>
      </c>
      <c r="Z13" s="474">
        <v>8</v>
      </c>
      <c r="AA13" s="474">
        <v>8</v>
      </c>
      <c r="AB13" s="474">
        <v>8</v>
      </c>
      <c r="AC13" s="474">
        <v>8</v>
      </c>
      <c r="AD13" s="474">
        <v>8</v>
      </c>
      <c r="AE13" s="474">
        <v>8</v>
      </c>
      <c r="AF13" s="474">
        <v>8</v>
      </c>
      <c r="AG13" s="474">
        <v>8</v>
      </c>
      <c r="AH13" s="474">
        <v>8</v>
      </c>
      <c r="AI13" s="474">
        <v>8</v>
      </c>
      <c r="AJ13" s="474">
        <v>8</v>
      </c>
      <c r="AK13" s="474">
        <v>8</v>
      </c>
      <c r="AL13" s="474">
        <v>8</v>
      </c>
      <c r="AM13" s="474">
        <v>8</v>
      </c>
      <c r="AN13" s="474">
        <v>8</v>
      </c>
      <c r="AO13" s="474">
        <v>8</v>
      </c>
      <c r="AP13" s="474">
        <v>8</v>
      </c>
      <c r="AQ13" s="474">
        <v>8</v>
      </c>
      <c r="AR13" s="474">
        <v>8</v>
      </c>
      <c r="AS13" s="474">
        <v>8</v>
      </c>
      <c r="AT13" s="474">
        <v>8</v>
      </c>
      <c r="AU13" s="474">
        <v>8</v>
      </c>
      <c r="AV13" s="474">
        <v>8</v>
      </c>
      <c r="AW13" s="474">
        <v>8</v>
      </c>
      <c r="AX13" s="474">
        <v>8</v>
      </c>
      <c r="AY13" s="474">
        <v>8</v>
      </c>
      <c r="AZ13" s="474">
        <v>8</v>
      </c>
      <c r="BA13" s="474">
        <v>4</v>
      </c>
      <c r="BB13" s="474">
        <v>4</v>
      </c>
      <c r="BC13" s="474">
        <v>2</v>
      </c>
      <c r="BD13" s="474"/>
      <c r="BE13" s="474"/>
      <c r="BF13" s="474"/>
      <c r="BG13" s="475"/>
      <c r="BH13" s="475"/>
      <c r="BI13" s="475"/>
      <c r="BJ13" s="475"/>
      <c r="BK13" s="475"/>
      <c r="BL13" s="475"/>
      <c r="BM13" s="475"/>
      <c r="BN13" s="475"/>
      <c r="BO13" s="475"/>
      <c r="BP13" s="475"/>
      <c r="BQ13" s="475"/>
      <c r="BR13" s="475"/>
      <c r="BS13" s="475"/>
      <c r="BT13" s="476"/>
      <c r="BU13" s="476"/>
      <c r="BV13" s="476"/>
      <c r="BW13" s="476"/>
      <c r="BX13" s="475"/>
      <c r="BY13" s="475"/>
      <c r="BZ13" s="475"/>
      <c r="CA13" s="475"/>
      <c r="CB13" s="475"/>
      <c r="CC13" s="475"/>
      <c r="CD13" s="475"/>
      <c r="CE13" s="475"/>
    </row>
    <row r="14" spans="2:83" s="170" customFormat="1" ht="15.75" customHeight="1">
      <c r="B14" s="292" t="s">
        <v>85</v>
      </c>
      <c r="C14" s="292" t="s">
        <v>195</v>
      </c>
      <c r="D14" s="292" t="s">
        <v>325</v>
      </c>
      <c r="E14" s="292" t="s">
        <v>1336</v>
      </c>
      <c r="F14" s="292"/>
      <c r="G14" s="474">
        <f t="shared" si="3"/>
        <v>394</v>
      </c>
      <c r="H14" s="474"/>
      <c r="I14" s="474"/>
      <c r="J14" s="474">
        <v>4</v>
      </c>
      <c r="K14" s="474">
        <v>4</v>
      </c>
      <c r="L14" s="474">
        <v>4</v>
      </c>
      <c r="M14" s="474">
        <v>4</v>
      </c>
      <c r="N14" s="474">
        <v>4</v>
      </c>
      <c r="O14" s="474">
        <v>4</v>
      </c>
      <c r="P14" s="474">
        <v>4</v>
      </c>
      <c r="Q14" s="474">
        <v>4</v>
      </c>
      <c r="R14" s="474">
        <v>4</v>
      </c>
      <c r="S14" s="474">
        <v>10</v>
      </c>
      <c r="T14" s="474">
        <v>10</v>
      </c>
      <c r="U14" s="474">
        <v>10</v>
      </c>
      <c r="V14" s="474">
        <v>10</v>
      </c>
      <c r="W14" s="474">
        <v>10</v>
      </c>
      <c r="X14" s="474">
        <v>10</v>
      </c>
      <c r="Y14" s="474">
        <v>10</v>
      </c>
      <c r="Z14" s="474">
        <v>10</v>
      </c>
      <c r="AA14" s="474">
        <v>10</v>
      </c>
      <c r="AB14" s="474">
        <v>10</v>
      </c>
      <c r="AC14" s="474">
        <v>10</v>
      </c>
      <c r="AD14" s="474">
        <v>10</v>
      </c>
      <c r="AE14" s="474">
        <v>10</v>
      </c>
      <c r="AF14" s="474">
        <v>10</v>
      </c>
      <c r="AG14" s="474">
        <v>10</v>
      </c>
      <c r="AH14" s="474">
        <v>10</v>
      </c>
      <c r="AI14" s="474">
        <v>10</v>
      </c>
      <c r="AJ14" s="474">
        <v>10</v>
      </c>
      <c r="AK14" s="474">
        <v>10</v>
      </c>
      <c r="AL14" s="474">
        <v>10</v>
      </c>
      <c r="AM14" s="474">
        <v>10</v>
      </c>
      <c r="AN14" s="474">
        <v>10</v>
      </c>
      <c r="AO14" s="474">
        <v>10</v>
      </c>
      <c r="AP14" s="474">
        <v>10</v>
      </c>
      <c r="AQ14" s="474">
        <v>10</v>
      </c>
      <c r="AR14" s="474">
        <v>10</v>
      </c>
      <c r="AS14" s="474">
        <v>10</v>
      </c>
      <c r="AT14" s="474">
        <v>10</v>
      </c>
      <c r="AU14" s="474">
        <v>10</v>
      </c>
      <c r="AV14" s="474">
        <v>10</v>
      </c>
      <c r="AW14" s="474">
        <v>10</v>
      </c>
      <c r="AX14" s="474">
        <v>10</v>
      </c>
      <c r="AY14" s="474">
        <v>10</v>
      </c>
      <c r="AZ14" s="474">
        <v>10</v>
      </c>
      <c r="BA14" s="474">
        <v>10</v>
      </c>
      <c r="BB14" s="474">
        <v>4</v>
      </c>
      <c r="BC14" s="474">
        <v>4</v>
      </c>
      <c r="BD14" s="474"/>
      <c r="BE14" s="474"/>
      <c r="BF14" s="474"/>
      <c r="BG14" s="475"/>
      <c r="BH14" s="475"/>
      <c r="BI14" s="475"/>
      <c r="BJ14" s="475"/>
      <c r="BK14" s="475"/>
      <c r="BL14" s="475"/>
      <c r="BM14" s="475"/>
      <c r="BN14" s="475"/>
      <c r="BO14" s="475"/>
      <c r="BP14" s="475"/>
      <c r="BQ14" s="475"/>
      <c r="BR14" s="475"/>
      <c r="BS14" s="475"/>
      <c r="BT14" s="476"/>
      <c r="BU14" s="476"/>
      <c r="BV14" s="476"/>
      <c r="BW14" s="476"/>
      <c r="BX14" s="475"/>
      <c r="BY14" s="475"/>
      <c r="BZ14" s="475"/>
      <c r="CA14" s="475"/>
      <c r="CB14" s="475"/>
      <c r="CC14" s="475"/>
      <c r="CD14" s="475"/>
      <c r="CE14" s="475"/>
    </row>
    <row r="15" spans="2:83" s="170" customFormat="1" ht="15.75" customHeight="1">
      <c r="B15" s="292" t="s">
        <v>85</v>
      </c>
      <c r="C15" s="292" t="s">
        <v>195</v>
      </c>
      <c r="D15" s="292" t="s">
        <v>325</v>
      </c>
      <c r="E15" s="292" t="s">
        <v>1337</v>
      </c>
      <c r="F15" s="292"/>
      <c r="G15" s="474">
        <f t="shared" si="3"/>
        <v>394</v>
      </c>
      <c r="H15" s="474"/>
      <c r="I15" s="474"/>
      <c r="J15" s="474">
        <v>4</v>
      </c>
      <c r="K15" s="474">
        <v>4</v>
      </c>
      <c r="L15" s="474">
        <v>4</v>
      </c>
      <c r="M15" s="474">
        <v>4</v>
      </c>
      <c r="N15" s="474">
        <v>4</v>
      </c>
      <c r="O15" s="474">
        <v>4</v>
      </c>
      <c r="P15" s="474">
        <v>4</v>
      </c>
      <c r="Q15" s="474">
        <v>4</v>
      </c>
      <c r="R15" s="474">
        <v>4</v>
      </c>
      <c r="S15" s="474">
        <v>10</v>
      </c>
      <c r="T15" s="474">
        <v>10</v>
      </c>
      <c r="U15" s="474">
        <v>10</v>
      </c>
      <c r="V15" s="474">
        <v>10</v>
      </c>
      <c r="W15" s="474">
        <v>10</v>
      </c>
      <c r="X15" s="474">
        <v>10</v>
      </c>
      <c r="Y15" s="474">
        <v>10</v>
      </c>
      <c r="Z15" s="474">
        <v>10</v>
      </c>
      <c r="AA15" s="474">
        <v>10</v>
      </c>
      <c r="AB15" s="474">
        <v>10</v>
      </c>
      <c r="AC15" s="474">
        <v>10</v>
      </c>
      <c r="AD15" s="474">
        <v>10</v>
      </c>
      <c r="AE15" s="474">
        <v>10</v>
      </c>
      <c r="AF15" s="474">
        <v>10</v>
      </c>
      <c r="AG15" s="474">
        <v>10</v>
      </c>
      <c r="AH15" s="474">
        <v>10</v>
      </c>
      <c r="AI15" s="474">
        <v>10</v>
      </c>
      <c r="AJ15" s="474">
        <v>10</v>
      </c>
      <c r="AK15" s="474">
        <v>10</v>
      </c>
      <c r="AL15" s="474">
        <v>10</v>
      </c>
      <c r="AM15" s="474">
        <v>10</v>
      </c>
      <c r="AN15" s="474">
        <v>10</v>
      </c>
      <c r="AO15" s="474">
        <v>10</v>
      </c>
      <c r="AP15" s="474">
        <v>10</v>
      </c>
      <c r="AQ15" s="474">
        <v>10</v>
      </c>
      <c r="AR15" s="474">
        <v>10</v>
      </c>
      <c r="AS15" s="474">
        <v>10</v>
      </c>
      <c r="AT15" s="474">
        <v>10</v>
      </c>
      <c r="AU15" s="474">
        <v>10</v>
      </c>
      <c r="AV15" s="474">
        <v>10</v>
      </c>
      <c r="AW15" s="474">
        <v>10</v>
      </c>
      <c r="AX15" s="474">
        <v>10</v>
      </c>
      <c r="AY15" s="474">
        <v>10</v>
      </c>
      <c r="AZ15" s="474">
        <v>10</v>
      </c>
      <c r="BA15" s="474">
        <v>10</v>
      </c>
      <c r="BB15" s="474">
        <v>4</v>
      </c>
      <c r="BC15" s="474">
        <v>4</v>
      </c>
      <c r="BD15" s="474"/>
      <c r="BE15" s="474"/>
      <c r="BF15" s="474"/>
      <c r="BG15" s="475"/>
      <c r="BH15" s="475"/>
      <c r="BI15" s="475"/>
      <c r="BJ15" s="475"/>
      <c r="BK15" s="475"/>
      <c r="BL15" s="475"/>
      <c r="BM15" s="475"/>
      <c r="BN15" s="475"/>
      <c r="BO15" s="475"/>
      <c r="BP15" s="475"/>
      <c r="BQ15" s="475"/>
      <c r="BR15" s="475"/>
      <c r="BS15" s="475"/>
      <c r="BT15" s="476"/>
      <c r="BU15" s="476"/>
      <c r="BV15" s="476"/>
      <c r="BW15" s="476"/>
      <c r="BX15" s="475"/>
      <c r="BY15" s="475"/>
      <c r="BZ15" s="475"/>
      <c r="CA15" s="475"/>
      <c r="CB15" s="475"/>
      <c r="CC15" s="475"/>
      <c r="CD15" s="475"/>
      <c r="CE15" s="475"/>
    </row>
    <row r="16" spans="2:83" s="170" customFormat="1" ht="15.75" customHeight="1">
      <c r="B16" s="292" t="s">
        <v>85</v>
      </c>
      <c r="C16" s="292" t="s">
        <v>195</v>
      </c>
      <c r="D16" s="292" t="s">
        <v>1330</v>
      </c>
      <c r="E16" s="292" t="s">
        <v>1338</v>
      </c>
      <c r="F16" s="292"/>
      <c r="G16" s="474">
        <f t="shared" si="3"/>
        <v>788</v>
      </c>
      <c r="H16" s="474"/>
      <c r="I16" s="474"/>
      <c r="J16" s="474">
        <v>8</v>
      </c>
      <c r="K16" s="474">
        <v>8</v>
      </c>
      <c r="L16" s="474">
        <v>8</v>
      </c>
      <c r="M16" s="474">
        <v>8</v>
      </c>
      <c r="N16" s="474">
        <v>8</v>
      </c>
      <c r="O16" s="474">
        <v>8</v>
      </c>
      <c r="P16" s="474">
        <v>8</v>
      </c>
      <c r="Q16" s="474">
        <v>8</v>
      </c>
      <c r="R16" s="474">
        <v>8</v>
      </c>
      <c r="S16" s="474">
        <v>20</v>
      </c>
      <c r="T16" s="474">
        <v>20</v>
      </c>
      <c r="U16" s="474">
        <v>20</v>
      </c>
      <c r="V16" s="474">
        <v>20</v>
      </c>
      <c r="W16" s="474">
        <v>20</v>
      </c>
      <c r="X16" s="474">
        <v>20</v>
      </c>
      <c r="Y16" s="474">
        <v>20</v>
      </c>
      <c r="Z16" s="474">
        <v>20</v>
      </c>
      <c r="AA16" s="474">
        <v>20</v>
      </c>
      <c r="AB16" s="474">
        <v>20</v>
      </c>
      <c r="AC16" s="474">
        <v>20</v>
      </c>
      <c r="AD16" s="474">
        <v>20</v>
      </c>
      <c r="AE16" s="474">
        <v>20</v>
      </c>
      <c r="AF16" s="474">
        <v>20</v>
      </c>
      <c r="AG16" s="474">
        <v>20</v>
      </c>
      <c r="AH16" s="474">
        <v>20</v>
      </c>
      <c r="AI16" s="474">
        <v>20</v>
      </c>
      <c r="AJ16" s="474">
        <v>20</v>
      </c>
      <c r="AK16" s="474">
        <v>20</v>
      </c>
      <c r="AL16" s="474">
        <v>20</v>
      </c>
      <c r="AM16" s="474">
        <v>20</v>
      </c>
      <c r="AN16" s="474">
        <v>20</v>
      </c>
      <c r="AO16" s="474">
        <v>20</v>
      </c>
      <c r="AP16" s="474">
        <v>20</v>
      </c>
      <c r="AQ16" s="474">
        <v>20</v>
      </c>
      <c r="AR16" s="474">
        <v>20</v>
      </c>
      <c r="AS16" s="474">
        <v>20</v>
      </c>
      <c r="AT16" s="474">
        <v>20</v>
      </c>
      <c r="AU16" s="474">
        <v>20</v>
      </c>
      <c r="AV16" s="474">
        <v>20</v>
      </c>
      <c r="AW16" s="474">
        <v>20</v>
      </c>
      <c r="AX16" s="474">
        <v>20</v>
      </c>
      <c r="AY16" s="474">
        <v>20</v>
      </c>
      <c r="AZ16" s="474">
        <v>20</v>
      </c>
      <c r="BA16" s="474">
        <v>20</v>
      </c>
      <c r="BB16" s="474">
        <v>8</v>
      </c>
      <c r="BC16" s="474">
        <v>8</v>
      </c>
      <c r="BD16" s="474"/>
      <c r="BE16" s="474"/>
      <c r="BF16" s="474"/>
      <c r="BG16" s="475"/>
      <c r="BH16" s="475"/>
      <c r="BI16" s="475"/>
      <c r="BJ16" s="475"/>
      <c r="BK16" s="475"/>
      <c r="BL16" s="475"/>
      <c r="BM16" s="475"/>
      <c r="BN16" s="475"/>
      <c r="BO16" s="475"/>
      <c r="BP16" s="475"/>
      <c r="BQ16" s="475"/>
      <c r="BR16" s="475"/>
      <c r="BS16" s="475"/>
      <c r="BT16" s="476"/>
      <c r="BU16" s="476"/>
      <c r="BV16" s="476"/>
      <c r="BW16" s="476"/>
      <c r="BX16" s="475"/>
      <c r="BY16" s="475"/>
      <c r="BZ16" s="475"/>
      <c r="CA16" s="475"/>
      <c r="CB16" s="475"/>
      <c r="CC16" s="475"/>
      <c r="CD16" s="475"/>
      <c r="CE16" s="475"/>
    </row>
    <row r="17" spans="2:83" s="170" customFormat="1" ht="15.75" customHeight="1">
      <c r="B17" s="292" t="s">
        <v>85</v>
      </c>
      <c r="C17" s="292" t="s">
        <v>195</v>
      </c>
      <c r="D17" s="292" t="s">
        <v>1330</v>
      </c>
      <c r="E17" s="292" t="s">
        <v>1339</v>
      </c>
      <c r="F17" s="292"/>
      <c r="G17" s="474">
        <f t="shared" si="3"/>
        <v>788</v>
      </c>
      <c r="H17" s="474"/>
      <c r="I17" s="474"/>
      <c r="J17" s="474">
        <v>8</v>
      </c>
      <c r="K17" s="474">
        <v>8</v>
      </c>
      <c r="L17" s="474">
        <v>8</v>
      </c>
      <c r="M17" s="474">
        <v>8</v>
      </c>
      <c r="N17" s="474">
        <v>8</v>
      </c>
      <c r="O17" s="474">
        <v>8</v>
      </c>
      <c r="P17" s="474">
        <v>8</v>
      </c>
      <c r="Q17" s="474">
        <v>8</v>
      </c>
      <c r="R17" s="474">
        <v>8</v>
      </c>
      <c r="S17" s="474">
        <v>20</v>
      </c>
      <c r="T17" s="474">
        <v>20</v>
      </c>
      <c r="U17" s="474">
        <v>20</v>
      </c>
      <c r="V17" s="474">
        <v>20</v>
      </c>
      <c r="W17" s="474">
        <v>20</v>
      </c>
      <c r="X17" s="474">
        <v>20</v>
      </c>
      <c r="Y17" s="474">
        <v>20</v>
      </c>
      <c r="Z17" s="474">
        <v>20</v>
      </c>
      <c r="AA17" s="474">
        <v>20</v>
      </c>
      <c r="AB17" s="474">
        <v>20</v>
      </c>
      <c r="AC17" s="474">
        <v>20</v>
      </c>
      <c r="AD17" s="474">
        <v>20</v>
      </c>
      <c r="AE17" s="474">
        <v>20</v>
      </c>
      <c r="AF17" s="474">
        <v>20</v>
      </c>
      <c r="AG17" s="474">
        <v>20</v>
      </c>
      <c r="AH17" s="474">
        <v>20</v>
      </c>
      <c r="AI17" s="474">
        <v>20</v>
      </c>
      <c r="AJ17" s="474">
        <v>20</v>
      </c>
      <c r="AK17" s="474">
        <v>20</v>
      </c>
      <c r="AL17" s="474">
        <v>20</v>
      </c>
      <c r="AM17" s="474">
        <v>20</v>
      </c>
      <c r="AN17" s="474">
        <v>20</v>
      </c>
      <c r="AO17" s="474">
        <v>20</v>
      </c>
      <c r="AP17" s="474">
        <v>20</v>
      </c>
      <c r="AQ17" s="474">
        <v>20</v>
      </c>
      <c r="AR17" s="474">
        <v>20</v>
      </c>
      <c r="AS17" s="474">
        <v>20</v>
      </c>
      <c r="AT17" s="474">
        <v>20</v>
      </c>
      <c r="AU17" s="474">
        <v>20</v>
      </c>
      <c r="AV17" s="474">
        <v>20</v>
      </c>
      <c r="AW17" s="474">
        <v>20</v>
      </c>
      <c r="AX17" s="474">
        <v>20</v>
      </c>
      <c r="AY17" s="474">
        <v>20</v>
      </c>
      <c r="AZ17" s="474">
        <v>20</v>
      </c>
      <c r="BA17" s="474">
        <v>20</v>
      </c>
      <c r="BB17" s="474">
        <v>8</v>
      </c>
      <c r="BC17" s="474">
        <v>8</v>
      </c>
      <c r="BD17" s="474"/>
      <c r="BE17" s="474"/>
      <c r="BF17" s="474"/>
      <c r="BG17" s="475"/>
      <c r="BH17" s="475"/>
      <c r="BI17" s="475"/>
      <c r="BJ17" s="475"/>
      <c r="BK17" s="475"/>
      <c r="BL17" s="475"/>
      <c r="BM17" s="475"/>
      <c r="BN17" s="475"/>
      <c r="BO17" s="475"/>
      <c r="BP17" s="475"/>
      <c r="BQ17" s="475"/>
      <c r="BR17" s="475"/>
      <c r="BS17" s="475"/>
      <c r="BT17" s="476"/>
      <c r="BU17" s="476"/>
      <c r="BV17" s="476"/>
      <c r="BW17" s="476"/>
      <c r="BX17" s="475"/>
      <c r="BY17" s="475"/>
      <c r="BZ17" s="475"/>
      <c r="CA17" s="475"/>
      <c r="CB17" s="475"/>
      <c r="CC17" s="475"/>
      <c r="CD17" s="475"/>
      <c r="CE17" s="475"/>
    </row>
    <row r="18" spans="2:83" s="170" customFormat="1" ht="15.75" customHeight="1">
      <c r="B18" s="292" t="s">
        <v>348</v>
      </c>
      <c r="C18" s="292" t="s">
        <v>259</v>
      </c>
      <c r="D18" s="292" t="s">
        <v>1330</v>
      </c>
      <c r="E18" s="292" t="s">
        <v>1340</v>
      </c>
      <c r="F18" s="292"/>
      <c r="G18" s="474">
        <f t="shared" si="3"/>
        <v>200</v>
      </c>
      <c r="H18" s="474"/>
      <c r="I18" s="474"/>
      <c r="J18" s="474"/>
      <c r="K18" s="474"/>
      <c r="L18" s="474"/>
      <c r="M18" s="474"/>
      <c r="N18" s="474"/>
      <c r="O18" s="474"/>
      <c r="P18" s="474"/>
      <c r="Q18" s="474"/>
      <c r="R18" s="474"/>
      <c r="S18" s="474">
        <v>4</v>
      </c>
      <c r="T18" s="474">
        <v>4</v>
      </c>
      <c r="U18" s="474">
        <v>4</v>
      </c>
      <c r="V18" s="474">
        <v>4</v>
      </c>
      <c r="W18" s="474">
        <v>4</v>
      </c>
      <c r="X18" s="474">
        <v>4</v>
      </c>
      <c r="Y18" s="474">
        <v>4</v>
      </c>
      <c r="Z18" s="474">
        <v>4</v>
      </c>
      <c r="AA18" s="474">
        <v>8</v>
      </c>
      <c r="AB18" s="474">
        <v>8</v>
      </c>
      <c r="AC18" s="474">
        <v>8</v>
      </c>
      <c r="AD18" s="474">
        <v>8</v>
      </c>
      <c r="AE18" s="474">
        <v>8</v>
      </c>
      <c r="AF18" s="474">
        <v>8</v>
      </c>
      <c r="AG18" s="474">
        <v>8</v>
      </c>
      <c r="AH18" s="474">
        <v>8</v>
      </c>
      <c r="AI18" s="474">
        <v>8</v>
      </c>
      <c r="AJ18" s="474">
        <v>8</v>
      </c>
      <c r="AK18" s="474">
        <v>8</v>
      </c>
      <c r="AL18" s="474">
        <v>8</v>
      </c>
      <c r="AM18" s="474">
        <v>8</v>
      </c>
      <c r="AN18" s="474">
        <v>8</v>
      </c>
      <c r="AO18" s="474">
        <v>4</v>
      </c>
      <c r="AP18" s="474">
        <v>4</v>
      </c>
      <c r="AQ18" s="474">
        <v>4</v>
      </c>
      <c r="AR18" s="474">
        <v>4</v>
      </c>
      <c r="AS18" s="474">
        <v>4</v>
      </c>
      <c r="AT18" s="474">
        <v>4</v>
      </c>
      <c r="AU18" s="474">
        <v>4</v>
      </c>
      <c r="AV18" s="474">
        <v>4</v>
      </c>
      <c r="AW18" s="474">
        <v>4</v>
      </c>
      <c r="AX18" s="474">
        <v>4</v>
      </c>
      <c r="AY18" s="474">
        <v>4</v>
      </c>
      <c r="AZ18" s="474">
        <v>4</v>
      </c>
      <c r="BA18" s="474">
        <v>4</v>
      </c>
      <c r="BB18" s="474">
        <v>4</v>
      </c>
      <c r="BC18" s="474"/>
      <c r="BD18" s="474"/>
      <c r="BE18" s="474"/>
      <c r="BF18" s="474"/>
      <c r="BG18" s="475"/>
      <c r="BH18" s="475"/>
      <c r="BI18" s="475"/>
      <c r="BJ18" s="475"/>
      <c r="BK18" s="475"/>
      <c r="BL18" s="475"/>
      <c r="BM18" s="475"/>
      <c r="BN18" s="475"/>
      <c r="BO18" s="475"/>
      <c r="BP18" s="475"/>
      <c r="BQ18" s="475"/>
      <c r="BR18" s="475"/>
      <c r="BS18" s="475"/>
      <c r="BT18" s="476"/>
      <c r="BU18" s="476"/>
      <c r="BV18" s="476"/>
      <c r="BW18" s="476"/>
      <c r="BX18" s="475"/>
      <c r="BY18" s="475"/>
      <c r="BZ18" s="475"/>
      <c r="CA18" s="475"/>
      <c r="CB18" s="475"/>
      <c r="CC18" s="475"/>
      <c r="CD18" s="475"/>
      <c r="CE18" s="475"/>
    </row>
    <row r="19" spans="2:83" s="170" customFormat="1" ht="15.75" customHeight="1">
      <c r="B19" s="292" t="s">
        <v>348</v>
      </c>
      <c r="C19" s="292" t="s">
        <v>259</v>
      </c>
      <c r="D19" s="292" t="s">
        <v>1330</v>
      </c>
      <c r="E19" s="292" t="s">
        <v>1341</v>
      </c>
      <c r="F19" s="292"/>
      <c r="G19" s="474">
        <f t="shared" si="3"/>
        <v>100</v>
      </c>
      <c r="H19" s="474"/>
      <c r="I19" s="474"/>
      <c r="J19" s="474"/>
      <c r="K19" s="474"/>
      <c r="L19" s="474"/>
      <c r="M19" s="474"/>
      <c r="N19" s="474"/>
      <c r="O19" s="474"/>
      <c r="P19" s="474"/>
      <c r="Q19" s="474"/>
      <c r="R19" s="474"/>
      <c r="S19" s="474">
        <v>2</v>
      </c>
      <c r="T19" s="474">
        <v>2</v>
      </c>
      <c r="U19" s="474">
        <v>2</v>
      </c>
      <c r="V19" s="474">
        <v>2</v>
      </c>
      <c r="W19" s="474">
        <v>2</v>
      </c>
      <c r="X19" s="474">
        <v>2</v>
      </c>
      <c r="Y19" s="474">
        <v>2</v>
      </c>
      <c r="Z19" s="474">
        <v>2</v>
      </c>
      <c r="AA19" s="474">
        <v>4</v>
      </c>
      <c r="AB19" s="474">
        <v>4</v>
      </c>
      <c r="AC19" s="474">
        <v>4</v>
      </c>
      <c r="AD19" s="474">
        <v>4</v>
      </c>
      <c r="AE19" s="474">
        <v>4</v>
      </c>
      <c r="AF19" s="474">
        <v>4</v>
      </c>
      <c r="AG19" s="474">
        <v>4</v>
      </c>
      <c r="AH19" s="474">
        <v>4</v>
      </c>
      <c r="AI19" s="474">
        <v>4</v>
      </c>
      <c r="AJ19" s="474">
        <v>4</v>
      </c>
      <c r="AK19" s="474">
        <v>4</v>
      </c>
      <c r="AL19" s="474">
        <v>4</v>
      </c>
      <c r="AM19" s="474">
        <v>4</v>
      </c>
      <c r="AN19" s="474">
        <v>4</v>
      </c>
      <c r="AO19" s="474">
        <v>2</v>
      </c>
      <c r="AP19" s="474">
        <v>2</v>
      </c>
      <c r="AQ19" s="474">
        <v>2</v>
      </c>
      <c r="AR19" s="474">
        <v>2</v>
      </c>
      <c r="AS19" s="474">
        <v>2</v>
      </c>
      <c r="AT19" s="474">
        <v>2</v>
      </c>
      <c r="AU19" s="474">
        <v>2</v>
      </c>
      <c r="AV19" s="474">
        <v>2</v>
      </c>
      <c r="AW19" s="474">
        <v>2</v>
      </c>
      <c r="AX19" s="474">
        <v>2</v>
      </c>
      <c r="AY19" s="474">
        <v>2</v>
      </c>
      <c r="AZ19" s="474">
        <v>2</v>
      </c>
      <c r="BA19" s="474">
        <v>2</v>
      </c>
      <c r="BB19" s="474">
        <v>2</v>
      </c>
      <c r="BC19" s="474"/>
      <c r="BD19" s="474"/>
      <c r="BE19" s="474"/>
      <c r="BF19" s="474"/>
      <c r="BG19" s="475"/>
      <c r="BH19" s="475"/>
      <c r="BI19" s="475"/>
      <c r="BJ19" s="475"/>
      <c r="BK19" s="475"/>
      <c r="BL19" s="475"/>
      <c r="BM19" s="475"/>
      <c r="BN19" s="475"/>
      <c r="BO19" s="475"/>
      <c r="BP19" s="475"/>
      <c r="BQ19" s="475"/>
      <c r="BR19" s="475"/>
      <c r="BS19" s="475"/>
      <c r="BT19" s="476"/>
      <c r="BU19" s="476"/>
      <c r="BV19" s="476"/>
      <c r="BW19" s="476"/>
      <c r="BX19" s="475"/>
      <c r="BY19" s="475"/>
      <c r="BZ19" s="475"/>
      <c r="CA19" s="475"/>
      <c r="CB19" s="475"/>
      <c r="CC19" s="475"/>
      <c r="CD19" s="475"/>
      <c r="CE19" s="475"/>
    </row>
    <row r="20" spans="2:83" s="170" customFormat="1" ht="15.75" customHeight="1">
      <c r="B20" s="292" t="s">
        <v>348</v>
      </c>
      <c r="C20" s="292" t="s">
        <v>102</v>
      </c>
      <c r="D20" s="292" t="s">
        <v>325</v>
      </c>
      <c r="E20" s="292" t="s">
        <v>1342</v>
      </c>
      <c r="F20" s="292"/>
      <c r="G20" s="474">
        <f t="shared" si="3"/>
        <v>468</v>
      </c>
      <c r="H20" s="474"/>
      <c r="I20" s="474"/>
      <c r="J20" s="474"/>
      <c r="K20" s="474"/>
      <c r="L20" s="474"/>
      <c r="M20" s="474"/>
      <c r="N20" s="474"/>
      <c r="O20" s="474"/>
      <c r="P20" s="474"/>
      <c r="Q20" s="474"/>
      <c r="R20" s="474"/>
      <c r="S20" s="474"/>
      <c r="T20" s="474">
        <v>4</v>
      </c>
      <c r="U20" s="474">
        <v>4</v>
      </c>
      <c r="V20" s="474">
        <v>4</v>
      </c>
      <c r="W20" s="474">
        <v>4</v>
      </c>
      <c r="X20" s="474">
        <v>4</v>
      </c>
      <c r="Y20" s="474">
        <v>4</v>
      </c>
      <c r="Z20" s="474">
        <v>4</v>
      </c>
      <c r="AA20" s="474">
        <v>16</v>
      </c>
      <c r="AB20" s="474">
        <v>16</v>
      </c>
      <c r="AC20" s="474">
        <v>16</v>
      </c>
      <c r="AD20" s="474">
        <v>16</v>
      </c>
      <c r="AE20" s="474">
        <v>16</v>
      </c>
      <c r="AF20" s="474">
        <v>16</v>
      </c>
      <c r="AG20" s="474">
        <v>16</v>
      </c>
      <c r="AH20" s="474">
        <v>16</v>
      </c>
      <c r="AI20" s="474">
        <v>16</v>
      </c>
      <c r="AJ20" s="474">
        <v>16</v>
      </c>
      <c r="AK20" s="474">
        <v>16</v>
      </c>
      <c r="AL20" s="474">
        <v>16</v>
      </c>
      <c r="AM20" s="474">
        <v>16</v>
      </c>
      <c r="AN20" s="474">
        <v>16</v>
      </c>
      <c r="AO20" s="474">
        <v>16</v>
      </c>
      <c r="AP20" s="474">
        <v>16</v>
      </c>
      <c r="AQ20" s="474">
        <v>16</v>
      </c>
      <c r="AR20" s="474">
        <v>16</v>
      </c>
      <c r="AS20" s="474">
        <v>16</v>
      </c>
      <c r="AT20" s="474">
        <v>16</v>
      </c>
      <c r="AU20" s="474">
        <v>16</v>
      </c>
      <c r="AV20" s="474">
        <v>16</v>
      </c>
      <c r="AW20" s="474">
        <v>16</v>
      </c>
      <c r="AX20" s="474">
        <v>16</v>
      </c>
      <c r="AY20" s="474">
        <v>16</v>
      </c>
      <c r="AZ20" s="474">
        <v>16</v>
      </c>
      <c r="BA20" s="474">
        <v>16</v>
      </c>
      <c r="BB20" s="474">
        <v>4</v>
      </c>
      <c r="BC20" s="474">
        <v>4</v>
      </c>
      <c r="BD20" s="474"/>
      <c r="BE20" s="474"/>
      <c r="BF20" s="474"/>
      <c r="BG20" s="475"/>
      <c r="BH20" s="475"/>
      <c r="BI20" s="475"/>
      <c r="BJ20" s="475"/>
      <c r="BK20" s="475"/>
      <c r="BL20" s="475"/>
      <c r="BM20" s="475"/>
      <c r="BN20" s="475"/>
      <c r="BO20" s="475"/>
      <c r="BP20" s="475"/>
      <c r="BQ20" s="475"/>
      <c r="BR20" s="475"/>
      <c r="BS20" s="475"/>
      <c r="BT20" s="476"/>
      <c r="BU20" s="476"/>
      <c r="BV20" s="476"/>
      <c r="BW20" s="476"/>
      <c r="BX20" s="475"/>
      <c r="BY20" s="475"/>
      <c r="BZ20" s="475"/>
      <c r="CA20" s="475"/>
      <c r="CB20" s="475"/>
      <c r="CC20" s="475"/>
      <c r="CD20" s="475"/>
      <c r="CE20" s="475"/>
    </row>
    <row r="21" spans="2:83" s="170" customFormat="1" ht="15.75" customHeight="1">
      <c r="B21" s="292" t="s">
        <v>348</v>
      </c>
      <c r="C21" s="292" t="s">
        <v>195</v>
      </c>
      <c r="D21" s="292" t="s">
        <v>1330</v>
      </c>
      <c r="E21" s="292" t="s">
        <v>1343</v>
      </c>
      <c r="F21" s="292"/>
      <c r="G21" s="474">
        <f t="shared" si="3"/>
        <v>468</v>
      </c>
      <c r="H21" s="474"/>
      <c r="I21" s="474"/>
      <c r="J21" s="474"/>
      <c r="K21" s="474"/>
      <c r="L21" s="474"/>
      <c r="M21" s="474"/>
      <c r="N21" s="474"/>
      <c r="O21" s="474"/>
      <c r="P21" s="474"/>
      <c r="Q21" s="474"/>
      <c r="R21" s="474"/>
      <c r="S21" s="474"/>
      <c r="T21" s="474">
        <v>4</v>
      </c>
      <c r="U21" s="474">
        <v>4</v>
      </c>
      <c r="V21" s="474">
        <v>4</v>
      </c>
      <c r="W21" s="474">
        <v>4</v>
      </c>
      <c r="X21" s="474">
        <v>4</v>
      </c>
      <c r="Y21" s="474">
        <v>4</v>
      </c>
      <c r="Z21" s="474">
        <v>4</v>
      </c>
      <c r="AA21" s="474">
        <v>16</v>
      </c>
      <c r="AB21" s="474">
        <v>16</v>
      </c>
      <c r="AC21" s="474">
        <v>16</v>
      </c>
      <c r="AD21" s="474">
        <v>16</v>
      </c>
      <c r="AE21" s="474">
        <v>16</v>
      </c>
      <c r="AF21" s="474">
        <v>16</v>
      </c>
      <c r="AG21" s="474">
        <v>16</v>
      </c>
      <c r="AH21" s="474">
        <v>16</v>
      </c>
      <c r="AI21" s="474">
        <v>16</v>
      </c>
      <c r="AJ21" s="474">
        <v>16</v>
      </c>
      <c r="AK21" s="474">
        <v>16</v>
      </c>
      <c r="AL21" s="474">
        <v>16</v>
      </c>
      <c r="AM21" s="474">
        <v>16</v>
      </c>
      <c r="AN21" s="474">
        <v>16</v>
      </c>
      <c r="AO21" s="474">
        <v>16</v>
      </c>
      <c r="AP21" s="474">
        <v>16</v>
      </c>
      <c r="AQ21" s="474">
        <v>16</v>
      </c>
      <c r="AR21" s="474">
        <v>16</v>
      </c>
      <c r="AS21" s="474">
        <v>16</v>
      </c>
      <c r="AT21" s="474">
        <v>16</v>
      </c>
      <c r="AU21" s="474">
        <v>16</v>
      </c>
      <c r="AV21" s="474">
        <v>16</v>
      </c>
      <c r="AW21" s="474">
        <v>16</v>
      </c>
      <c r="AX21" s="474">
        <v>16</v>
      </c>
      <c r="AY21" s="474">
        <v>16</v>
      </c>
      <c r="AZ21" s="474">
        <v>16</v>
      </c>
      <c r="BA21" s="474">
        <v>16</v>
      </c>
      <c r="BB21" s="474">
        <v>4</v>
      </c>
      <c r="BC21" s="474">
        <v>4</v>
      </c>
      <c r="BD21" s="474"/>
      <c r="BE21" s="474"/>
      <c r="BF21" s="474"/>
      <c r="BG21" s="475"/>
      <c r="BH21" s="475"/>
      <c r="BI21" s="475"/>
      <c r="BJ21" s="475"/>
      <c r="BK21" s="475"/>
      <c r="BL21" s="475"/>
      <c r="BM21" s="475"/>
      <c r="BN21" s="475"/>
      <c r="BO21" s="475"/>
      <c r="BP21" s="475"/>
      <c r="BQ21" s="475"/>
      <c r="BR21" s="475"/>
      <c r="BS21" s="475"/>
      <c r="BT21" s="476"/>
      <c r="BU21" s="476"/>
      <c r="BV21" s="476"/>
      <c r="BW21" s="476"/>
      <c r="BX21" s="475"/>
      <c r="BY21" s="475"/>
      <c r="BZ21" s="475"/>
      <c r="CA21" s="475"/>
      <c r="CB21" s="475"/>
      <c r="CC21" s="475"/>
      <c r="CD21" s="475"/>
      <c r="CE21" s="475"/>
    </row>
    <row r="22" spans="2:83" s="170" customFormat="1" ht="14.25" customHeight="1">
      <c r="B22" s="292" t="s">
        <v>348</v>
      </c>
      <c r="C22" s="292" t="s">
        <v>159</v>
      </c>
      <c r="D22" s="292" t="s">
        <v>1330</v>
      </c>
      <c r="E22" s="292" t="s">
        <v>1344</v>
      </c>
      <c r="F22" s="292"/>
      <c r="G22" s="474">
        <f t="shared" si="3"/>
        <v>358</v>
      </c>
      <c r="H22" s="474"/>
      <c r="I22" s="474"/>
      <c r="J22" s="474"/>
      <c r="K22" s="474"/>
      <c r="L22" s="474"/>
      <c r="M22" s="474"/>
      <c r="N22" s="474"/>
      <c r="O22" s="474"/>
      <c r="P22" s="474"/>
      <c r="Q22" s="474"/>
      <c r="R22" s="474"/>
      <c r="S22" s="474"/>
      <c r="T22" s="474"/>
      <c r="U22" s="474"/>
      <c r="V22" s="474">
        <v>2</v>
      </c>
      <c r="W22" s="474">
        <v>2</v>
      </c>
      <c r="X22" s="474">
        <v>2</v>
      </c>
      <c r="Y22" s="474">
        <v>2</v>
      </c>
      <c r="Z22" s="474">
        <v>2</v>
      </c>
      <c r="AA22" s="474">
        <v>8</v>
      </c>
      <c r="AB22" s="474">
        <v>8</v>
      </c>
      <c r="AC22" s="474">
        <v>8</v>
      </c>
      <c r="AD22" s="474">
        <v>8</v>
      </c>
      <c r="AE22" s="474">
        <v>8</v>
      </c>
      <c r="AF22" s="474">
        <v>8</v>
      </c>
      <c r="AG22" s="474">
        <v>8</v>
      </c>
      <c r="AH22" s="474">
        <v>8</v>
      </c>
      <c r="AI22" s="474">
        <v>8</v>
      </c>
      <c r="AJ22" s="474">
        <v>8</v>
      </c>
      <c r="AK22" s="474">
        <v>8</v>
      </c>
      <c r="AL22" s="474">
        <v>8</v>
      </c>
      <c r="AM22" s="474">
        <v>8</v>
      </c>
      <c r="AN22" s="474">
        <v>16</v>
      </c>
      <c r="AO22" s="474">
        <v>16</v>
      </c>
      <c r="AP22" s="474">
        <v>16</v>
      </c>
      <c r="AQ22" s="474">
        <v>16</v>
      </c>
      <c r="AR22" s="474">
        <v>16</v>
      </c>
      <c r="AS22" s="474">
        <v>16</v>
      </c>
      <c r="AT22" s="474">
        <v>16</v>
      </c>
      <c r="AU22" s="474">
        <v>16</v>
      </c>
      <c r="AV22" s="474">
        <v>16</v>
      </c>
      <c r="AW22" s="474">
        <v>16</v>
      </c>
      <c r="AX22" s="474">
        <v>16</v>
      </c>
      <c r="AY22" s="474">
        <v>16</v>
      </c>
      <c r="AZ22" s="474">
        <v>16</v>
      </c>
      <c r="BA22" s="474">
        <v>16</v>
      </c>
      <c r="BB22" s="474">
        <v>16</v>
      </c>
      <c r="BC22" s="474">
        <v>4</v>
      </c>
      <c r="BD22" s="474"/>
      <c r="BE22" s="474"/>
      <c r="BF22" s="474"/>
      <c r="BG22" s="475"/>
      <c r="BH22" s="475"/>
      <c r="BI22" s="475"/>
      <c r="BJ22" s="475"/>
      <c r="BK22" s="475"/>
      <c r="BL22" s="475"/>
      <c r="BM22" s="475"/>
      <c r="BN22" s="475"/>
      <c r="BO22" s="475"/>
      <c r="BP22" s="475"/>
      <c r="BQ22" s="475"/>
      <c r="BR22" s="475"/>
      <c r="BS22" s="475"/>
      <c r="BT22" s="476"/>
      <c r="BU22" s="476"/>
      <c r="BV22" s="476"/>
      <c r="BW22" s="476"/>
      <c r="BX22" s="475"/>
      <c r="BY22" s="475"/>
      <c r="BZ22" s="475"/>
      <c r="CA22" s="475"/>
      <c r="CB22" s="475"/>
      <c r="CC22" s="475"/>
      <c r="CD22" s="475"/>
      <c r="CE22" s="475"/>
    </row>
    <row r="23" spans="2:83" s="170" customFormat="1" ht="14.25" customHeight="1">
      <c r="B23" s="292" t="s">
        <v>348</v>
      </c>
      <c r="C23" s="292" t="s">
        <v>117</v>
      </c>
      <c r="D23" s="292" t="s">
        <v>325</v>
      </c>
      <c r="E23" s="292" t="s">
        <v>1345</v>
      </c>
      <c r="F23" s="292"/>
      <c r="G23" s="474">
        <f t="shared" si="3"/>
        <v>102</v>
      </c>
      <c r="H23" s="474"/>
      <c r="I23" s="474"/>
      <c r="J23" s="474"/>
      <c r="K23" s="474"/>
      <c r="L23" s="474"/>
      <c r="M23" s="474"/>
      <c r="N23" s="474"/>
      <c r="O23" s="474"/>
      <c r="P23" s="474"/>
      <c r="Q23" s="474"/>
      <c r="R23" s="474"/>
      <c r="S23" s="474"/>
      <c r="T23" s="474">
        <v>2</v>
      </c>
      <c r="U23" s="474">
        <v>2</v>
      </c>
      <c r="V23" s="474">
        <v>2</v>
      </c>
      <c r="W23" s="474">
        <v>2</v>
      </c>
      <c r="X23" s="474">
        <v>2</v>
      </c>
      <c r="Y23" s="474">
        <v>2</v>
      </c>
      <c r="Z23" s="474">
        <v>2</v>
      </c>
      <c r="AA23" s="474">
        <v>2</v>
      </c>
      <c r="AB23" s="474">
        <v>2</v>
      </c>
      <c r="AC23" s="474">
        <v>2</v>
      </c>
      <c r="AD23" s="474">
        <v>2</v>
      </c>
      <c r="AE23" s="474">
        <v>2</v>
      </c>
      <c r="AF23" s="474">
        <v>2</v>
      </c>
      <c r="AG23" s="474">
        <v>2</v>
      </c>
      <c r="AH23" s="474">
        <v>2</v>
      </c>
      <c r="AI23" s="474">
        <v>2</v>
      </c>
      <c r="AJ23" s="474">
        <v>2</v>
      </c>
      <c r="AK23" s="474">
        <v>2</v>
      </c>
      <c r="AL23" s="474">
        <v>2</v>
      </c>
      <c r="AM23" s="474">
        <v>2</v>
      </c>
      <c r="AN23" s="474">
        <v>4</v>
      </c>
      <c r="AO23" s="474">
        <v>4</v>
      </c>
      <c r="AP23" s="474">
        <v>4</v>
      </c>
      <c r="AQ23" s="474">
        <v>4</v>
      </c>
      <c r="AR23" s="474">
        <v>4</v>
      </c>
      <c r="AS23" s="474">
        <v>4</v>
      </c>
      <c r="AT23" s="474">
        <v>4</v>
      </c>
      <c r="AU23" s="474">
        <v>4</v>
      </c>
      <c r="AV23" s="474">
        <v>4</v>
      </c>
      <c r="AW23" s="474">
        <v>4</v>
      </c>
      <c r="AX23" s="474">
        <v>4</v>
      </c>
      <c r="AY23" s="474">
        <v>4</v>
      </c>
      <c r="AZ23" s="474">
        <v>4</v>
      </c>
      <c r="BA23" s="474">
        <v>4</v>
      </c>
      <c r="BB23" s="474">
        <v>4</v>
      </c>
      <c r="BC23" s="474">
        <v>2</v>
      </c>
      <c r="BD23" s="474"/>
      <c r="BE23" s="474"/>
      <c r="BF23" s="474"/>
      <c r="BG23" s="475"/>
      <c r="BH23" s="475"/>
      <c r="BI23" s="475"/>
      <c r="BJ23" s="475"/>
      <c r="BK23" s="475"/>
      <c r="BL23" s="475"/>
      <c r="BM23" s="475"/>
      <c r="BN23" s="475"/>
      <c r="BO23" s="475"/>
      <c r="BP23" s="475"/>
      <c r="BQ23" s="475"/>
      <c r="BR23" s="475"/>
      <c r="BS23" s="475"/>
      <c r="BT23" s="476"/>
      <c r="BU23" s="476"/>
      <c r="BV23" s="476"/>
      <c r="BW23" s="476"/>
      <c r="BX23" s="475"/>
      <c r="BY23" s="475"/>
      <c r="BZ23" s="475"/>
      <c r="CA23" s="475"/>
      <c r="CB23" s="475"/>
      <c r="CC23" s="475"/>
      <c r="CD23" s="475"/>
      <c r="CE23" s="475"/>
    </row>
    <row r="24" spans="2:83" s="170" customFormat="1" ht="15.75" customHeight="1">
      <c r="B24" s="292" t="s">
        <v>85</v>
      </c>
      <c r="C24" s="292" t="s">
        <v>1346</v>
      </c>
      <c r="D24" s="292" t="s">
        <v>325</v>
      </c>
      <c r="E24" s="292" t="s">
        <v>1347</v>
      </c>
      <c r="F24" s="292"/>
      <c r="G24" s="474">
        <f t="shared" si="3"/>
        <v>108</v>
      </c>
      <c r="H24" s="474"/>
      <c r="I24" s="474"/>
      <c r="J24" s="474"/>
      <c r="K24" s="474"/>
      <c r="L24" s="474"/>
      <c r="M24" s="474"/>
      <c r="N24" s="474"/>
      <c r="O24" s="474"/>
      <c r="P24" s="474"/>
      <c r="Q24" s="474"/>
      <c r="R24" s="474"/>
      <c r="S24" s="474"/>
      <c r="T24" s="474"/>
      <c r="U24" s="474"/>
      <c r="V24" s="474"/>
      <c r="W24" s="474">
        <v>2</v>
      </c>
      <c r="X24" s="474">
        <v>2</v>
      </c>
      <c r="Y24" s="474">
        <v>2</v>
      </c>
      <c r="Z24" s="474">
        <v>2</v>
      </c>
      <c r="AA24" s="474">
        <v>2</v>
      </c>
      <c r="AB24" s="474">
        <v>2</v>
      </c>
      <c r="AC24" s="474">
        <v>2</v>
      </c>
      <c r="AD24" s="474">
        <v>2</v>
      </c>
      <c r="AE24" s="474">
        <v>2</v>
      </c>
      <c r="AF24" s="474">
        <v>4</v>
      </c>
      <c r="AG24" s="474">
        <v>4</v>
      </c>
      <c r="AH24" s="474">
        <v>4</v>
      </c>
      <c r="AI24" s="474">
        <v>4</v>
      </c>
      <c r="AJ24" s="474">
        <v>4</v>
      </c>
      <c r="AK24" s="474">
        <v>4</v>
      </c>
      <c r="AL24" s="474">
        <v>4</v>
      </c>
      <c r="AM24" s="474">
        <v>4</v>
      </c>
      <c r="AN24" s="474">
        <v>4</v>
      </c>
      <c r="AO24" s="474">
        <v>4</v>
      </c>
      <c r="AP24" s="474">
        <v>4</v>
      </c>
      <c r="AQ24" s="474">
        <v>4</v>
      </c>
      <c r="AR24" s="474">
        <v>4</v>
      </c>
      <c r="AS24" s="474">
        <v>4</v>
      </c>
      <c r="AT24" s="474">
        <v>4</v>
      </c>
      <c r="AU24" s="474">
        <v>4</v>
      </c>
      <c r="AV24" s="474">
        <v>4</v>
      </c>
      <c r="AW24" s="474">
        <v>4</v>
      </c>
      <c r="AX24" s="474">
        <v>4</v>
      </c>
      <c r="AY24" s="474">
        <v>4</v>
      </c>
      <c r="AZ24" s="474">
        <v>4</v>
      </c>
      <c r="BA24" s="474">
        <v>4</v>
      </c>
      <c r="BB24" s="474">
        <v>2</v>
      </c>
      <c r="BC24" s="474"/>
      <c r="BD24" s="474"/>
      <c r="BE24" s="474"/>
      <c r="BF24" s="474"/>
      <c r="BG24" s="475"/>
      <c r="BH24" s="475"/>
      <c r="BI24" s="475"/>
      <c r="BJ24" s="475"/>
      <c r="BK24" s="475"/>
      <c r="BL24" s="475"/>
      <c r="BM24" s="475"/>
      <c r="BN24" s="475"/>
      <c r="BO24" s="475"/>
      <c r="BP24" s="475"/>
      <c r="BQ24" s="475"/>
      <c r="BR24" s="475"/>
      <c r="BS24" s="475"/>
      <c r="BT24" s="476"/>
      <c r="BU24" s="476"/>
      <c r="BV24" s="476"/>
      <c r="BW24" s="476"/>
      <c r="BX24" s="475"/>
      <c r="BY24" s="475"/>
      <c r="BZ24" s="475"/>
      <c r="CA24" s="475"/>
      <c r="CB24" s="475"/>
      <c r="CC24" s="475"/>
      <c r="CD24" s="475"/>
      <c r="CE24" s="475"/>
    </row>
    <row r="25" spans="2:83" s="306" customFormat="1" ht="15" customHeight="1">
      <c r="B25" s="292" t="s">
        <v>348</v>
      </c>
      <c r="C25" s="292" t="s">
        <v>1348</v>
      </c>
      <c r="D25" s="292" t="s">
        <v>1330</v>
      </c>
      <c r="E25" s="292" t="s">
        <v>1349</v>
      </c>
      <c r="F25" s="292"/>
      <c r="G25" s="474">
        <f t="shared" si="3"/>
        <v>216</v>
      </c>
      <c r="H25" s="474"/>
      <c r="I25" s="474"/>
      <c r="J25" s="474"/>
      <c r="K25" s="474"/>
      <c r="L25" s="474"/>
      <c r="M25" s="474"/>
      <c r="N25" s="474"/>
      <c r="O25" s="474"/>
      <c r="P25" s="474"/>
      <c r="Q25" s="474"/>
      <c r="R25" s="474"/>
      <c r="S25" s="474"/>
      <c r="T25" s="474"/>
      <c r="U25" s="474"/>
      <c r="V25" s="474"/>
      <c r="W25" s="474">
        <v>4</v>
      </c>
      <c r="X25" s="474">
        <v>4</v>
      </c>
      <c r="Y25" s="474">
        <v>4</v>
      </c>
      <c r="Z25" s="474">
        <v>4</v>
      </c>
      <c r="AA25" s="474">
        <v>4</v>
      </c>
      <c r="AB25" s="474">
        <v>4</v>
      </c>
      <c r="AC25" s="474">
        <v>4</v>
      </c>
      <c r="AD25" s="474">
        <v>4</v>
      </c>
      <c r="AE25" s="474">
        <v>4</v>
      </c>
      <c r="AF25" s="474">
        <v>8</v>
      </c>
      <c r="AG25" s="474">
        <v>8</v>
      </c>
      <c r="AH25" s="474">
        <v>8</v>
      </c>
      <c r="AI25" s="474">
        <v>8</v>
      </c>
      <c r="AJ25" s="474">
        <v>8</v>
      </c>
      <c r="AK25" s="474">
        <v>8</v>
      </c>
      <c r="AL25" s="474">
        <v>8</v>
      </c>
      <c r="AM25" s="474">
        <v>8</v>
      </c>
      <c r="AN25" s="474">
        <v>8</v>
      </c>
      <c r="AO25" s="474">
        <v>8</v>
      </c>
      <c r="AP25" s="474">
        <v>8</v>
      </c>
      <c r="AQ25" s="474">
        <v>8</v>
      </c>
      <c r="AR25" s="474">
        <v>8</v>
      </c>
      <c r="AS25" s="474">
        <v>8</v>
      </c>
      <c r="AT25" s="474">
        <v>8</v>
      </c>
      <c r="AU25" s="474">
        <v>8</v>
      </c>
      <c r="AV25" s="474">
        <v>8</v>
      </c>
      <c r="AW25" s="474">
        <v>8</v>
      </c>
      <c r="AX25" s="474">
        <v>8</v>
      </c>
      <c r="AY25" s="474">
        <v>8</v>
      </c>
      <c r="AZ25" s="474">
        <v>8</v>
      </c>
      <c r="BA25" s="474">
        <v>4</v>
      </c>
      <c r="BB25" s="474">
        <v>4</v>
      </c>
      <c r="BC25" s="474">
        <v>4</v>
      </c>
      <c r="BD25" s="474"/>
      <c r="BE25" s="474"/>
      <c r="BF25" s="474"/>
      <c r="BG25" s="474"/>
      <c r="BH25" s="474"/>
      <c r="BI25" s="474"/>
      <c r="BJ25" s="474"/>
      <c r="BK25" s="474"/>
      <c r="BL25" s="474"/>
      <c r="BM25" s="474"/>
      <c r="BN25" s="474"/>
      <c r="BO25" s="474"/>
      <c r="BP25" s="474"/>
      <c r="BQ25" s="474"/>
      <c r="BR25" s="474"/>
      <c r="BS25" s="474"/>
      <c r="BT25" s="292"/>
      <c r="BU25" s="292"/>
      <c r="BV25" s="292"/>
      <c r="BW25" s="292"/>
      <c r="BX25" s="474"/>
      <c r="BY25" s="474"/>
      <c r="BZ25" s="474"/>
      <c r="CA25" s="474"/>
      <c r="CB25" s="474"/>
      <c r="CC25" s="474"/>
      <c r="CD25" s="474"/>
      <c r="CE25" s="474"/>
    </row>
    <row r="26" spans="2:83" s="306" customFormat="1" ht="15" customHeight="1">
      <c r="B26" s="292"/>
      <c r="C26" s="292"/>
      <c r="D26" s="292"/>
      <c r="E26" s="292"/>
      <c r="F26" s="292"/>
      <c r="G26" s="474"/>
      <c r="H26" s="474"/>
      <c r="I26" s="474"/>
      <c r="J26" s="474"/>
      <c r="K26" s="474"/>
      <c r="L26" s="474"/>
      <c r="M26" s="474"/>
      <c r="N26" s="474"/>
      <c r="O26" s="474"/>
      <c r="P26" s="474"/>
      <c r="Q26" s="474"/>
      <c r="R26" s="474"/>
      <c r="S26" s="474"/>
      <c r="T26" s="474"/>
      <c r="U26" s="474"/>
      <c r="V26" s="474"/>
      <c r="W26" s="474"/>
      <c r="X26" s="474"/>
      <c r="Y26" s="474"/>
      <c r="Z26" s="474"/>
      <c r="AA26" s="474"/>
      <c r="AB26" s="474"/>
      <c r="AC26" s="474"/>
      <c r="AD26" s="474"/>
      <c r="AE26" s="474"/>
      <c r="AF26" s="474"/>
      <c r="AG26" s="474"/>
      <c r="AH26" s="474"/>
      <c r="AI26" s="474"/>
      <c r="AJ26" s="474"/>
      <c r="AK26" s="474"/>
      <c r="AL26" s="474"/>
      <c r="AM26" s="474"/>
      <c r="AN26" s="474"/>
      <c r="AO26" s="474"/>
      <c r="AP26" s="474"/>
      <c r="AQ26" s="474"/>
      <c r="AR26" s="474"/>
      <c r="AS26" s="474"/>
      <c r="AT26" s="474"/>
      <c r="AU26" s="474"/>
      <c r="AV26" s="474"/>
      <c r="AW26" s="474"/>
      <c r="AX26" s="474"/>
      <c r="AY26" s="474"/>
      <c r="AZ26" s="474"/>
      <c r="BA26" s="474"/>
      <c r="BB26" s="474"/>
      <c r="BC26" s="474"/>
      <c r="BD26" s="474"/>
      <c r="BE26" s="474"/>
      <c r="BF26" s="474"/>
      <c r="BG26" s="474"/>
      <c r="BH26" s="474"/>
      <c r="BI26" s="474"/>
      <c r="BJ26" s="474"/>
      <c r="BK26" s="474"/>
      <c r="BL26" s="474"/>
      <c r="BM26" s="474"/>
      <c r="BN26" s="474"/>
      <c r="BO26" s="474"/>
      <c r="BP26" s="474"/>
      <c r="BQ26" s="474"/>
      <c r="BR26" s="474"/>
      <c r="BS26" s="474"/>
      <c r="BT26" s="292"/>
      <c r="BU26" s="292"/>
      <c r="BV26" s="292"/>
      <c r="BW26" s="292"/>
      <c r="BX26" s="474"/>
      <c r="BY26" s="474"/>
      <c r="BZ26" s="474"/>
      <c r="CA26" s="474"/>
      <c r="CB26" s="474"/>
      <c r="CC26" s="474"/>
      <c r="CD26" s="474"/>
      <c r="CE26" s="474"/>
    </row>
    <row r="27" spans="2:83" s="306" customFormat="1" ht="15" customHeight="1">
      <c r="B27" s="292"/>
      <c r="C27" s="292"/>
      <c r="D27" s="292"/>
      <c r="E27" s="292"/>
      <c r="F27" s="292"/>
      <c r="G27" s="474"/>
      <c r="H27" s="474"/>
      <c r="I27" s="474"/>
      <c r="J27" s="474"/>
      <c r="K27" s="474"/>
      <c r="L27" s="474"/>
      <c r="M27" s="474"/>
      <c r="N27" s="474"/>
      <c r="O27" s="474"/>
      <c r="P27" s="474"/>
      <c r="Q27" s="474"/>
      <c r="R27" s="474"/>
      <c r="S27" s="474"/>
      <c r="T27" s="474"/>
      <c r="U27" s="474"/>
      <c r="V27" s="474"/>
      <c r="W27" s="474"/>
      <c r="X27" s="474"/>
      <c r="Y27" s="474"/>
      <c r="Z27" s="474"/>
      <c r="AA27" s="474"/>
      <c r="AB27" s="474"/>
      <c r="AC27" s="474"/>
      <c r="AD27" s="474"/>
      <c r="AE27" s="474"/>
      <c r="AF27" s="474"/>
      <c r="AG27" s="474"/>
      <c r="AH27" s="474"/>
      <c r="AI27" s="474"/>
      <c r="AJ27" s="474"/>
      <c r="AK27" s="474"/>
      <c r="AL27" s="474"/>
      <c r="AM27" s="474"/>
      <c r="AN27" s="474"/>
      <c r="AO27" s="474"/>
      <c r="AP27" s="474"/>
      <c r="AQ27" s="474"/>
      <c r="AR27" s="474"/>
      <c r="AS27" s="474"/>
      <c r="AT27" s="474"/>
      <c r="AU27" s="474"/>
      <c r="AV27" s="474"/>
      <c r="AW27" s="474"/>
      <c r="AX27" s="474"/>
      <c r="AY27" s="474"/>
      <c r="AZ27" s="474"/>
      <c r="BA27" s="474"/>
      <c r="BB27" s="474"/>
      <c r="BC27" s="474"/>
      <c r="BD27" s="474"/>
      <c r="BE27" s="474"/>
      <c r="BF27" s="474"/>
      <c r="BG27" s="474"/>
      <c r="BH27" s="474"/>
      <c r="BI27" s="474"/>
      <c r="BJ27" s="474"/>
      <c r="BK27" s="474"/>
      <c r="BL27" s="474"/>
      <c r="BM27" s="474"/>
      <c r="BN27" s="474"/>
      <c r="BO27" s="474"/>
      <c r="BP27" s="474"/>
      <c r="BQ27" s="474"/>
      <c r="BR27" s="474"/>
      <c r="BS27" s="474"/>
      <c r="BT27" s="292"/>
      <c r="BU27" s="292"/>
      <c r="BV27" s="292"/>
      <c r="BW27" s="292"/>
      <c r="BX27" s="474"/>
      <c r="BY27" s="474"/>
      <c r="BZ27" s="474"/>
      <c r="CA27" s="474"/>
      <c r="CB27" s="474"/>
      <c r="CC27" s="474"/>
      <c r="CD27" s="474"/>
      <c r="CE27" s="474"/>
    </row>
    <row r="28" spans="2:83" s="306" customFormat="1" ht="15" customHeight="1">
      <c r="B28" s="292"/>
      <c r="C28" s="292"/>
      <c r="D28" s="292"/>
      <c r="E28" s="292"/>
      <c r="F28" s="292"/>
      <c r="G28" s="474"/>
      <c r="H28" s="474"/>
      <c r="I28" s="474"/>
      <c r="J28" s="474"/>
      <c r="K28" s="474"/>
      <c r="L28" s="474"/>
      <c r="M28" s="474"/>
      <c r="N28" s="474"/>
      <c r="O28" s="474"/>
      <c r="P28" s="474"/>
      <c r="Q28" s="474"/>
      <c r="R28" s="474"/>
      <c r="S28" s="474"/>
      <c r="T28" s="474"/>
      <c r="U28" s="474"/>
      <c r="V28" s="474"/>
      <c r="W28" s="474"/>
      <c r="X28" s="474"/>
      <c r="Y28" s="474"/>
      <c r="Z28" s="474"/>
      <c r="AA28" s="474"/>
      <c r="AB28" s="474"/>
      <c r="AC28" s="474"/>
      <c r="AD28" s="474"/>
      <c r="AE28" s="474"/>
      <c r="AF28" s="474"/>
      <c r="AG28" s="474"/>
      <c r="AH28" s="474"/>
      <c r="AI28" s="474"/>
      <c r="AJ28" s="474"/>
      <c r="AK28" s="474"/>
      <c r="AL28" s="474"/>
      <c r="AM28" s="474"/>
      <c r="AN28" s="474"/>
      <c r="AO28" s="474"/>
      <c r="AP28" s="474"/>
      <c r="AQ28" s="474"/>
      <c r="AR28" s="474"/>
      <c r="AS28" s="474"/>
      <c r="AT28" s="474"/>
      <c r="AU28" s="474"/>
      <c r="AV28" s="474"/>
      <c r="AW28" s="474"/>
      <c r="AX28" s="474"/>
      <c r="AY28" s="474"/>
      <c r="AZ28" s="474"/>
      <c r="BA28" s="474"/>
      <c r="BB28" s="474"/>
      <c r="BC28" s="474"/>
      <c r="BD28" s="474"/>
      <c r="BE28" s="474"/>
      <c r="BF28" s="474"/>
      <c r="BG28" s="474"/>
      <c r="BH28" s="474"/>
      <c r="BI28" s="474"/>
      <c r="BJ28" s="474"/>
      <c r="BK28" s="474"/>
      <c r="BL28" s="474"/>
      <c r="BM28" s="474"/>
      <c r="BN28" s="474"/>
      <c r="BO28" s="474"/>
      <c r="BP28" s="474"/>
      <c r="BQ28" s="474"/>
      <c r="BR28" s="474"/>
      <c r="BS28" s="474"/>
      <c r="BT28" s="292"/>
      <c r="BU28" s="292"/>
      <c r="BV28" s="292"/>
      <c r="BW28" s="292"/>
      <c r="BX28" s="474"/>
      <c r="BY28" s="474"/>
      <c r="BZ28" s="474"/>
      <c r="CA28" s="474"/>
      <c r="CB28" s="474"/>
      <c r="CC28" s="474"/>
      <c r="CD28" s="474"/>
      <c r="CE28" s="474"/>
    </row>
    <row r="29" spans="2:83" s="306" customFormat="1" ht="15" customHeight="1">
      <c r="B29" s="292"/>
      <c r="C29" s="292"/>
      <c r="D29" s="292"/>
      <c r="E29" s="292"/>
      <c r="F29" s="292"/>
      <c r="G29" s="474"/>
      <c r="H29" s="474"/>
      <c r="I29" s="474"/>
      <c r="J29" s="474"/>
      <c r="K29" s="474"/>
      <c r="L29" s="474"/>
      <c r="M29" s="474"/>
      <c r="N29" s="474"/>
      <c r="O29" s="474"/>
      <c r="P29" s="474"/>
      <c r="Q29" s="474"/>
      <c r="R29" s="474"/>
      <c r="S29" s="474"/>
      <c r="T29" s="474"/>
      <c r="U29" s="474"/>
      <c r="V29" s="474"/>
      <c r="W29" s="474"/>
      <c r="X29" s="474"/>
      <c r="Y29" s="474"/>
      <c r="Z29" s="474"/>
      <c r="AA29" s="474"/>
      <c r="AB29" s="474"/>
      <c r="AC29" s="474"/>
      <c r="AD29" s="474"/>
      <c r="AE29" s="474"/>
      <c r="AF29" s="474"/>
      <c r="AG29" s="474"/>
      <c r="AH29" s="474"/>
      <c r="AI29" s="474"/>
      <c r="AJ29" s="474"/>
      <c r="AK29" s="474"/>
      <c r="AL29" s="474"/>
      <c r="AM29" s="474"/>
      <c r="AN29" s="474"/>
      <c r="AO29" s="474"/>
      <c r="AP29" s="474"/>
      <c r="AQ29" s="474"/>
      <c r="AR29" s="474"/>
      <c r="AS29" s="474"/>
      <c r="AT29" s="474"/>
      <c r="AU29" s="474"/>
      <c r="AV29" s="474"/>
      <c r="AW29" s="474"/>
      <c r="AX29" s="474"/>
      <c r="AY29" s="474"/>
      <c r="AZ29" s="474"/>
      <c r="BA29" s="474"/>
      <c r="BB29" s="474"/>
      <c r="BC29" s="474"/>
      <c r="BD29" s="474"/>
      <c r="BE29" s="474"/>
      <c r="BF29" s="474"/>
      <c r="BG29" s="474"/>
      <c r="BH29" s="474"/>
      <c r="BI29" s="474"/>
      <c r="BJ29" s="474"/>
      <c r="BK29" s="474"/>
      <c r="BL29" s="474"/>
      <c r="BM29" s="474"/>
      <c r="BN29" s="474"/>
      <c r="BO29" s="474"/>
      <c r="BP29" s="474"/>
      <c r="BQ29" s="474"/>
      <c r="BR29" s="474"/>
      <c r="BS29" s="474"/>
      <c r="BT29" s="292"/>
      <c r="BU29" s="292"/>
      <c r="BV29" s="292"/>
      <c r="BW29" s="292"/>
      <c r="BX29" s="474"/>
      <c r="BY29" s="474"/>
      <c r="BZ29" s="474"/>
      <c r="CA29" s="474"/>
      <c r="CB29" s="474"/>
      <c r="CC29" s="474"/>
      <c r="CD29" s="474"/>
      <c r="CE29" s="474"/>
    </row>
    <row r="30" spans="2:83" s="306" customFormat="1" ht="15" customHeight="1">
      <c r="B30" s="292"/>
      <c r="C30" s="292"/>
      <c r="D30" s="292"/>
      <c r="E30" s="292"/>
      <c r="F30" s="292"/>
      <c r="G30" s="474"/>
      <c r="H30" s="474"/>
      <c r="I30" s="474"/>
      <c r="J30" s="474"/>
      <c r="K30" s="474"/>
      <c r="L30" s="474"/>
      <c r="M30" s="474"/>
      <c r="N30" s="474"/>
      <c r="O30" s="474"/>
      <c r="P30" s="474"/>
      <c r="Q30" s="474"/>
      <c r="R30" s="474"/>
      <c r="S30" s="474"/>
      <c r="T30" s="474"/>
      <c r="U30" s="474"/>
      <c r="V30" s="474"/>
      <c r="W30" s="474"/>
      <c r="X30" s="474"/>
      <c r="Y30" s="474"/>
      <c r="Z30" s="474"/>
      <c r="AA30" s="474"/>
      <c r="AB30" s="474"/>
      <c r="AC30" s="474"/>
      <c r="AD30" s="474"/>
      <c r="AE30" s="474"/>
      <c r="AF30" s="474"/>
      <c r="AG30" s="474"/>
      <c r="AH30" s="474"/>
      <c r="AI30" s="474"/>
      <c r="AJ30" s="474"/>
      <c r="AK30" s="474"/>
      <c r="AL30" s="474"/>
      <c r="AM30" s="474"/>
      <c r="AN30" s="474"/>
      <c r="AO30" s="474"/>
      <c r="AP30" s="474"/>
      <c r="AQ30" s="474"/>
      <c r="AR30" s="474"/>
      <c r="AS30" s="474"/>
      <c r="AT30" s="474"/>
      <c r="AU30" s="474"/>
      <c r="AV30" s="474"/>
      <c r="AW30" s="474"/>
      <c r="AX30" s="474"/>
      <c r="AY30" s="474"/>
      <c r="AZ30" s="474"/>
      <c r="BA30" s="474"/>
      <c r="BB30" s="474"/>
      <c r="BC30" s="474"/>
      <c r="BD30" s="474"/>
      <c r="BE30" s="474"/>
      <c r="BF30" s="474"/>
      <c r="BG30" s="474"/>
      <c r="BH30" s="474"/>
      <c r="BI30" s="474"/>
      <c r="BJ30" s="474"/>
      <c r="BK30" s="474"/>
      <c r="BL30" s="474"/>
      <c r="BM30" s="474"/>
      <c r="BN30" s="474"/>
      <c r="BO30" s="474"/>
      <c r="BP30" s="474"/>
      <c r="BQ30" s="474"/>
      <c r="BR30" s="474"/>
      <c r="BS30" s="474"/>
      <c r="BT30" s="292"/>
      <c r="BU30" s="292"/>
      <c r="BV30" s="292"/>
      <c r="BW30" s="292"/>
      <c r="BX30" s="474"/>
      <c r="BY30" s="474"/>
      <c r="BZ30" s="474"/>
      <c r="CA30" s="474"/>
      <c r="CB30" s="474"/>
      <c r="CC30" s="474"/>
      <c r="CD30" s="474"/>
      <c r="CE30" s="474"/>
    </row>
    <row r="31" spans="2:83" s="306" customFormat="1" ht="15" customHeight="1">
      <c r="B31" s="292"/>
      <c r="C31" s="292"/>
      <c r="D31" s="292"/>
      <c r="E31" s="292"/>
      <c r="F31" s="292"/>
      <c r="G31" s="474"/>
      <c r="H31" s="474"/>
      <c r="I31" s="474"/>
      <c r="J31" s="474"/>
      <c r="K31" s="474"/>
      <c r="L31" s="474"/>
      <c r="M31" s="474"/>
      <c r="N31" s="474"/>
      <c r="O31" s="474"/>
      <c r="P31" s="474"/>
      <c r="Q31" s="474"/>
      <c r="R31" s="474"/>
      <c r="S31" s="474"/>
      <c r="T31" s="474"/>
      <c r="U31" s="474"/>
      <c r="V31" s="474"/>
      <c r="W31" s="474"/>
      <c r="X31" s="474"/>
      <c r="Y31" s="474"/>
      <c r="Z31" s="474"/>
      <c r="AA31" s="474"/>
      <c r="AB31" s="474"/>
      <c r="AC31" s="474"/>
      <c r="AD31" s="474"/>
      <c r="AE31" s="474"/>
      <c r="AF31" s="474"/>
      <c r="AG31" s="474"/>
      <c r="AH31" s="474"/>
      <c r="AI31" s="474"/>
      <c r="AJ31" s="474"/>
      <c r="AK31" s="474"/>
      <c r="AL31" s="474"/>
      <c r="AM31" s="474"/>
      <c r="AN31" s="474"/>
      <c r="AO31" s="474"/>
      <c r="AP31" s="474"/>
      <c r="AQ31" s="474"/>
      <c r="AR31" s="474"/>
      <c r="AS31" s="474"/>
      <c r="AT31" s="474"/>
      <c r="AU31" s="474"/>
      <c r="AV31" s="474"/>
      <c r="AW31" s="474"/>
      <c r="AX31" s="474"/>
      <c r="AY31" s="474"/>
      <c r="AZ31" s="474"/>
      <c r="BA31" s="474"/>
      <c r="BB31" s="474"/>
      <c r="BC31" s="474"/>
      <c r="BD31" s="474"/>
      <c r="BE31" s="474"/>
      <c r="BF31" s="474"/>
      <c r="BG31" s="474"/>
      <c r="BH31" s="474"/>
      <c r="BI31" s="474"/>
      <c r="BJ31" s="474"/>
      <c r="BK31" s="474"/>
      <c r="BL31" s="474"/>
      <c r="BM31" s="474"/>
      <c r="BN31" s="474"/>
      <c r="BO31" s="474"/>
      <c r="BP31" s="474"/>
      <c r="BQ31" s="474"/>
      <c r="BR31" s="474"/>
      <c r="BS31" s="474"/>
      <c r="BT31" s="292"/>
      <c r="BU31" s="292"/>
      <c r="BV31" s="292"/>
      <c r="BW31" s="292"/>
      <c r="BX31" s="474"/>
      <c r="BY31" s="474"/>
      <c r="BZ31" s="474"/>
      <c r="CA31" s="474"/>
      <c r="CB31" s="474"/>
      <c r="CC31" s="474"/>
      <c r="CD31" s="474"/>
      <c r="CE31" s="474"/>
    </row>
    <row r="32" spans="2:83">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c r="CB32" s="225"/>
      <c r="CC32" s="225"/>
      <c r="CD32" s="225"/>
      <c r="CE32" s="225"/>
    </row>
    <row r="33" spans="7:83">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c r="CB33" s="225"/>
      <c r="CC33" s="225"/>
      <c r="CD33" s="225"/>
      <c r="CE33" s="225"/>
    </row>
    <row r="34" spans="7:83">
      <c r="G34" s="219" t="s">
        <v>260</v>
      </c>
      <c r="H34" s="477">
        <f t="shared" ref="H34:AM34" si="4">SUM(H8:H31)</f>
        <v>0</v>
      </c>
      <c r="I34" s="477">
        <f t="shared" si="4"/>
        <v>0</v>
      </c>
      <c r="J34" s="477">
        <f t="shared" si="4"/>
        <v>38</v>
      </c>
      <c r="K34" s="477">
        <f t="shared" si="4"/>
        <v>38</v>
      </c>
      <c r="L34" s="477">
        <f t="shared" si="4"/>
        <v>38</v>
      </c>
      <c r="M34" s="477">
        <f t="shared" si="4"/>
        <v>38</v>
      </c>
      <c r="N34" s="477">
        <f t="shared" si="4"/>
        <v>38</v>
      </c>
      <c r="O34" s="477">
        <f t="shared" si="4"/>
        <v>38</v>
      </c>
      <c r="P34" s="477">
        <f t="shared" si="4"/>
        <v>38</v>
      </c>
      <c r="Q34" s="477">
        <f t="shared" si="4"/>
        <v>38</v>
      </c>
      <c r="R34" s="477">
        <f t="shared" si="4"/>
        <v>38</v>
      </c>
      <c r="S34" s="477">
        <f t="shared" si="4"/>
        <v>126</v>
      </c>
      <c r="T34" s="477">
        <f t="shared" si="4"/>
        <v>136</v>
      </c>
      <c r="U34" s="477">
        <f t="shared" si="4"/>
        <v>136</v>
      </c>
      <c r="V34" s="477">
        <f t="shared" si="4"/>
        <v>138</v>
      </c>
      <c r="W34" s="477">
        <f t="shared" si="4"/>
        <v>152</v>
      </c>
      <c r="X34" s="477">
        <f t="shared" si="4"/>
        <v>152</v>
      </c>
      <c r="Y34" s="477">
        <f t="shared" si="4"/>
        <v>152</v>
      </c>
      <c r="Z34" s="477">
        <f t="shared" si="4"/>
        <v>152</v>
      </c>
      <c r="AA34" s="477">
        <f t="shared" si="4"/>
        <v>188</v>
      </c>
      <c r="AB34" s="477">
        <f t="shared" si="4"/>
        <v>188</v>
      </c>
      <c r="AC34" s="477">
        <f t="shared" si="4"/>
        <v>188</v>
      </c>
      <c r="AD34" s="477">
        <f t="shared" si="4"/>
        <v>188</v>
      </c>
      <c r="AE34" s="477">
        <f t="shared" si="4"/>
        <v>188</v>
      </c>
      <c r="AF34" s="477">
        <f t="shared" si="4"/>
        <v>194</v>
      </c>
      <c r="AG34" s="477">
        <f t="shared" si="4"/>
        <v>194</v>
      </c>
      <c r="AH34" s="477">
        <f t="shared" si="4"/>
        <v>194</v>
      </c>
      <c r="AI34" s="477">
        <f t="shared" si="4"/>
        <v>194</v>
      </c>
      <c r="AJ34" s="477">
        <f t="shared" si="4"/>
        <v>194</v>
      </c>
      <c r="AK34" s="477">
        <f t="shared" si="4"/>
        <v>194</v>
      </c>
      <c r="AL34" s="477">
        <f t="shared" si="4"/>
        <v>194</v>
      </c>
      <c r="AM34" s="477">
        <f t="shared" si="4"/>
        <v>194</v>
      </c>
      <c r="AN34" s="477">
        <f t="shared" ref="AN34:BS34" si="5">SUM(AN8:AN31)</f>
        <v>204</v>
      </c>
      <c r="AO34" s="477">
        <f t="shared" si="5"/>
        <v>188</v>
      </c>
      <c r="AP34" s="477">
        <f t="shared" si="5"/>
        <v>188</v>
      </c>
      <c r="AQ34" s="477">
        <f t="shared" si="5"/>
        <v>188</v>
      </c>
      <c r="AR34" s="477">
        <f t="shared" si="5"/>
        <v>188</v>
      </c>
      <c r="AS34" s="477">
        <f t="shared" si="5"/>
        <v>188</v>
      </c>
      <c r="AT34" s="477">
        <f t="shared" si="5"/>
        <v>188</v>
      </c>
      <c r="AU34" s="477">
        <f t="shared" si="5"/>
        <v>188</v>
      </c>
      <c r="AV34" s="477">
        <f t="shared" si="5"/>
        <v>188</v>
      </c>
      <c r="AW34" s="477">
        <f t="shared" si="5"/>
        <v>188</v>
      </c>
      <c r="AX34" s="477">
        <f t="shared" si="5"/>
        <v>188</v>
      </c>
      <c r="AY34" s="477">
        <f t="shared" si="5"/>
        <v>188</v>
      </c>
      <c r="AZ34" s="477">
        <f t="shared" si="5"/>
        <v>188</v>
      </c>
      <c r="BA34" s="477">
        <f t="shared" si="5"/>
        <v>176</v>
      </c>
      <c r="BB34" s="477">
        <f t="shared" si="5"/>
        <v>112</v>
      </c>
      <c r="BC34" s="477">
        <f t="shared" si="5"/>
        <v>84</v>
      </c>
      <c r="BD34" s="477">
        <f t="shared" si="5"/>
        <v>0</v>
      </c>
      <c r="BE34" s="477">
        <f t="shared" si="5"/>
        <v>0</v>
      </c>
      <c r="BF34" s="477">
        <f t="shared" si="5"/>
        <v>0</v>
      </c>
      <c r="BG34" s="477">
        <f t="shared" si="5"/>
        <v>0</v>
      </c>
      <c r="BH34" s="477">
        <f t="shared" si="5"/>
        <v>0</v>
      </c>
      <c r="BI34" s="477">
        <f t="shared" si="5"/>
        <v>0</v>
      </c>
      <c r="BJ34" s="477">
        <f t="shared" si="5"/>
        <v>0</v>
      </c>
      <c r="BK34" s="477">
        <f t="shared" si="5"/>
        <v>0</v>
      </c>
      <c r="BL34" s="477">
        <f t="shared" si="5"/>
        <v>0</v>
      </c>
      <c r="BM34" s="477">
        <f t="shared" si="5"/>
        <v>0</v>
      </c>
      <c r="BN34" s="477">
        <f t="shared" si="5"/>
        <v>0</v>
      </c>
      <c r="BO34" s="477">
        <f t="shared" si="5"/>
        <v>0</v>
      </c>
      <c r="BP34" s="477">
        <f t="shared" si="5"/>
        <v>0</v>
      </c>
      <c r="BQ34" s="477">
        <f t="shared" si="5"/>
        <v>0</v>
      </c>
      <c r="BR34" s="477">
        <f t="shared" si="5"/>
        <v>0</v>
      </c>
      <c r="BS34" s="477">
        <f t="shared" si="5"/>
        <v>0</v>
      </c>
      <c r="BT34" s="477">
        <f t="shared" ref="BT34:CE34" si="6">SUM(BT8:BT31)</f>
        <v>0</v>
      </c>
      <c r="BU34" s="477">
        <f t="shared" si="6"/>
        <v>0</v>
      </c>
      <c r="BV34" s="477">
        <f t="shared" si="6"/>
        <v>0</v>
      </c>
      <c r="BW34" s="477">
        <f t="shared" si="6"/>
        <v>0</v>
      </c>
      <c r="BX34" s="477">
        <f t="shared" si="6"/>
        <v>0</v>
      </c>
      <c r="BY34" s="477">
        <f t="shared" si="6"/>
        <v>0</v>
      </c>
      <c r="BZ34" s="477">
        <f t="shared" si="6"/>
        <v>0</v>
      </c>
      <c r="CA34" s="477">
        <f t="shared" si="6"/>
        <v>0</v>
      </c>
      <c r="CB34" s="477">
        <f t="shared" si="6"/>
        <v>0</v>
      </c>
      <c r="CC34" s="477">
        <f t="shared" si="6"/>
        <v>0</v>
      </c>
      <c r="CD34" s="477">
        <f t="shared" si="6"/>
        <v>0</v>
      </c>
      <c r="CE34" s="477">
        <f t="shared" si="6"/>
        <v>0</v>
      </c>
    </row>
    <row r="35" spans="7:83">
      <c r="G35" s="219" t="s">
        <v>1350</v>
      </c>
      <c r="H35" s="478">
        <f t="shared" ref="H35:AM35" si="7">H34/40</f>
        <v>0</v>
      </c>
      <c r="I35" s="478">
        <f t="shared" si="7"/>
        <v>0</v>
      </c>
      <c r="J35" s="478">
        <f t="shared" si="7"/>
        <v>0.95</v>
      </c>
      <c r="K35" s="478">
        <f t="shared" si="7"/>
        <v>0.95</v>
      </c>
      <c r="L35" s="478">
        <f t="shared" si="7"/>
        <v>0.95</v>
      </c>
      <c r="M35" s="478">
        <f t="shared" si="7"/>
        <v>0.95</v>
      </c>
      <c r="N35" s="478">
        <f t="shared" si="7"/>
        <v>0.95</v>
      </c>
      <c r="O35" s="478">
        <f t="shared" si="7"/>
        <v>0.95</v>
      </c>
      <c r="P35" s="478">
        <f t="shared" si="7"/>
        <v>0.95</v>
      </c>
      <c r="Q35" s="478">
        <f t="shared" si="7"/>
        <v>0.95</v>
      </c>
      <c r="R35" s="478">
        <f t="shared" si="7"/>
        <v>0.95</v>
      </c>
      <c r="S35" s="478">
        <f t="shared" si="7"/>
        <v>3.15</v>
      </c>
      <c r="T35" s="478">
        <f t="shared" si="7"/>
        <v>3.4</v>
      </c>
      <c r="U35" s="478">
        <f t="shared" si="7"/>
        <v>3.4</v>
      </c>
      <c r="V35" s="478">
        <f t="shared" si="7"/>
        <v>3.45</v>
      </c>
      <c r="W35" s="478">
        <f t="shared" si="7"/>
        <v>3.8</v>
      </c>
      <c r="X35" s="478">
        <f t="shared" si="7"/>
        <v>3.8</v>
      </c>
      <c r="Y35" s="478">
        <f t="shared" si="7"/>
        <v>3.8</v>
      </c>
      <c r="Z35" s="478">
        <f t="shared" si="7"/>
        <v>3.8</v>
      </c>
      <c r="AA35" s="478">
        <f t="shared" si="7"/>
        <v>4.7</v>
      </c>
      <c r="AB35" s="478">
        <f t="shared" si="7"/>
        <v>4.7</v>
      </c>
      <c r="AC35" s="478">
        <f t="shared" si="7"/>
        <v>4.7</v>
      </c>
      <c r="AD35" s="478">
        <f t="shared" si="7"/>
        <v>4.7</v>
      </c>
      <c r="AE35" s="478">
        <f t="shared" si="7"/>
        <v>4.7</v>
      </c>
      <c r="AF35" s="478">
        <f t="shared" si="7"/>
        <v>4.8499999999999996</v>
      </c>
      <c r="AG35" s="478">
        <f t="shared" si="7"/>
        <v>4.8499999999999996</v>
      </c>
      <c r="AH35" s="478">
        <f t="shared" si="7"/>
        <v>4.8499999999999996</v>
      </c>
      <c r="AI35" s="478">
        <f t="shared" si="7"/>
        <v>4.8499999999999996</v>
      </c>
      <c r="AJ35" s="478">
        <f t="shared" si="7"/>
        <v>4.8499999999999996</v>
      </c>
      <c r="AK35" s="478">
        <f t="shared" si="7"/>
        <v>4.8499999999999996</v>
      </c>
      <c r="AL35" s="478">
        <f t="shared" si="7"/>
        <v>4.8499999999999996</v>
      </c>
      <c r="AM35" s="478">
        <f t="shared" si="7"/>
        <v>4.8499999999999996</v>
      </c>
      <c r="AN35" s="478">
        <f t="shared" ref="AN35:BS35" si="8">AN34/40</f>
        <v>5.0999999999999996</v>
      </c>
      <c r="AO35" s="478">
        <f t="shared" si="8"/>
        <v>4.7</v>
      </c>
      <c r="AP35" s="478">
        <f t="shared" si="8"/>
        <v>4.7</v>
      </c>
      <c r="AQ35" s="478">
        <f t="shared" si="8"/>
        <v>4.7</v>
      </c>
      <c r="AR35" s="478">
        <f t="shared" si="8"/>
        <v>4.7</v>
      </c>
      <c r="AS35" s="478">
        <f t="shared" si="8"/>
        <v>4.7</v>
      </c>
      <c r="AT35" s="478">
        <f t="shared" si="8"/>
        <v>4.7</v>
      </c>
      <c r="AU35" s="478">
        <f t="shared" si="8"/>
        <v>4.7</v>
      </c>
      <c r="AV35" s="478">
        <f t="shared" si="8"/>
        <v>4.7</v>
      </c>
      <c r="AW35" s="478">
        <f t="shared" si="8"/>
        <v>4.7</v>
      </c>
      <c r="AX35" s="478">
        <f t="shared" si="8"/>
        <v>4.7</v>
      </c>
      <c r="AY35" s="478">
        <f t="shared" si="8"/>
        <v>4.7</v>
      </c>
      <c r="AZ35" s="478">
        <f t="shared" si="8"/>
        <v>4.7</v>
      </c>
      <c r="BA35" s="478">
        <f t="shared" si="8"/>
        <v>4.4000000000000004</v>
      </c>
      <c r="BB35" s="478">
        <f t="shared" si="8"/>
        <v>2.8</v>
      </c>
      <c r="BC35" s="478">
        <f t="shared" si="8"/>
        <v>2.1</v>
      </c>
      <c r="BD35" s="478">
        <f t="shared" si="8"/>
        <v>0</v>
      </c>
      <c r="BE35" s="478">
        <f t="shared" si="8"/>
        <v>0</v>
      </c>
      <c r="BF35" s="478">
        <f t="shared" si="8"/>
        <v>0</v>
      </c>
      <c r="BG35" s="478">
        <f t="shared" si="8"/>
        <v>0</v>
      </c>
      <c r="BH35" s="478">
        <f t="shared" si="8"/>
        <v>0</v>
      </c>
      <c r="BI35" s="478">
        <f t="shared" si="8"/>
        <v>0</v>
      </c>
      <c r="BJ35" s="478">
        <f t="shared" si="8"/>
        <v>0</v>
      </c>
      <c r="BK35" s="478">
        <f t="shared" si="8"/>
        <v>0</v>
      </c>
      <c r="BL35" s="478">
        <f t="shared" si="8"/>
        <v>0</v>
      </c>
      <c r="BM35" s="478">
        <f t="shared" si="8"/>
        <v>0</v>
      </c>
      <c r="BN35" s="478">
        <f t="shared" si="8"/>
        <v>0</v>
      </c>
      <c r="BO35" s="478">
        <f t="shared" si="8"/>
        <v>0</v>
      </c>
      <c r="BP35" s="478">
        <f t="shared" si="8"/>
        <v>0</v>
      </c>
      <c r="BQ35" s="478">
        <f t="shared" si="8"/>
        <v>0</v>
      </c>
      <c r="BR35" s="478">
        <f t="shared" si="8"/>
        <v>0</v>
      </c>
      <c r="BS35" s="478">
        <f t="shared" si="8"/>
        <v>0</v>
      </c>
      <c r="BT35" s="478">
        <f t="shared" ref="BT35:CE35" si="9">BT34/40</f>
        <v>0</v>
      </c>
      <c r="BU35" s="478">
        <f t="shared" si="9"/>
        <v>0</v>
      </c>
      <c r="BV35" s="478">
        <f t="shared" si="9"/>
        <v>0</v>
      </c>
      <c r="BW35" s="478">
        <f t="shared" si="9"/>
        <v>0</v>
      </c>
      <c r="BX35" s="478">
        <f t="shared" si="9"/>
        <v>0</v>
      </c>
      <c r="BY35" s="478">
        <f t="shared" si="9"/>
        <v>0</v>
      </c>
      <c r="BZ35" s="478">
        <f t="shared" si="9"/>
        <v>0</v>
      </c>
      <c r="CA35" s="478">
        <f t="shared" si="9"/>
        <v>0</v>
      </c>
      <c r="CB35" s="478">
        <f t="shared" si="9"/>
        <v>0</v>
      </c>
      <c r="CC35" s="478">
        <f t="shared" si="9"/>
        <v>0</v>
      </c>
      <c r="CD35" s="478">
        <f t="shared" si="9"/>
        <v>0</v>
      </c>
      <c r="CE35" s="478">
        <f t="shared" si="9"/>
        <v>0</v>
      </c>
    </row>
  </sheetData>
  <autoFilter ref="B7:CE31" xr:uid="{00000000-0009-0000-0000-00000D000000}"/>
  <pageMargins left="0.70833333333333304" right="0.70833333333333304" top="0.74791666666666701" bottom="0.74791666666666701"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EQ94"/>
  <sheetViews>
    <sheetView showGridLines="0" zoomScale="80" zoomScaleNormal="80" workbookViewId="0">
      <pane ySplit="7" topLeftCell="A13" activePane="bottomLeft" state="frozen"/>
      <selection pane="bottomLeft" activeCell="A39" sqref="A39"/>
    </sheetView>
  </sheetViews>
  <sheetFormatPr defaultColWidth="8.6328125" defaultRowHeight="14.5" outlineLevelCol="1"/>
  <cols>
    <col min="1" max="1" width="4.54296875" customWidth="1"/>
    <col min="2" max="2" width="8.453125" customWidth="1"/>
    <col min="3" max="3" width="13.453125" customWidth="1"/>
    <col min="4" max="5" width="20.453125" customWidth="1"/>
    <col min="6" max="6" width="9.453125" customWidth="1"/>
    <col min="7" max="7" width="9.453125" customWidth="1" outlineLevel="1"/>
    <col min="8" max="8" width="19" customWidth="1" outlineLevel="1"/>
    <col min="9" max="9" width="18.26953125" customWidth="1" outlineLevel="1"/>
    <col min="10" max="10" width="16.453125" customWidth="1" outlineLevel="1"/>
    <col min="11" max="11" width="6.7265625" customWidth="1" outlineLevel="1"/>
    <col min="12" max="12" width="16.453125" customWidth="1" outlineLevel="1"/>
    <col min="13" max="13" width="18.1796875" customWidth="1" outlineLevel="1"/>
    <col min="14" max="14" width="22.453125" customWidth="1" outlineLevel="1"/>
    <col min="15" max="15" width="14" style="219" customWidth="1"/>
    <col min="16" max="16" width="14.26953125" style="219" customWidth="1"/>
    <col min="17" max="18" width="14.453125" style="219" hidden="1" customWidth="1"/>
    <col min="19" max="19" width="17.7265625" style="219" hidden="1" customWidth="1"/>
    <col min="20" max="20" width="16.453125" customWidth="1"/>
    <col min="21" max="21" width="15" customWidth="1"/>
    <col min="22" max="22" width="18.54296875" customWidth="1"/>
    <col min="23" max="23" width="9.453125" customWidth="1"/>
    <col min="24" max="42" width="3.54296875" style="219" hidden="1" customWidth="1"/>
    <col min="43" max="118" width="3.54296875" style="219" customWidth="1"/>
    <col min="119" max="119" width="12.54296875" style="219" customWidth="1"/>
    <col min="120" max="145" width="8.54296875" style="220" customWidth="1"/>
    <col min="146" max="146" width="13.453125" customWidth="1"/>
  </cols>
  <sheetData>
    <row r="1" spans="1:147">
      <c r="B1" s="221" t="s">
        <v>232</v>
      </c>
      <c r="C1" s="222" t="e">
        <f>SUM(O8:O108)</f>
        <v>#VALUE!</v>
      </c>
      <c r="E1" s="223" t="s">
        <v>259</v>
      </c>
      <c r="F1" s="224">
        <f>SUMIFS($P$8:$P$42,$T$8:$T$42,E1)/$C$2</f>
        <v>0.19174154570821494</v>
      </c>
      <c r="X1" s="226"/>
      <c r="Y1" s="226"/>
      <c r="Z1" s="226"/>
      <c r="AA1" s="226"/>
      <c r="AB1" s="226"/>
      <c r="AC1" s="226"/>
      <c r="AD1" s="226"/>
      <c r="AE1" s="226"/>
      <c r="AF1" s="226"/>
      <c r="AG1" s="226"/>
      <c r="AH1" s="226"/>
      <c r="AI1" s="226"/>
      <c r="AJ1" s="226"/>
      <c r="AK1" s="226"/>
      <c r="AL1" s="226"/>
      <c r="AM1" s="226"/>
      <c r="AN1" s="226"/>
      <c r="AO1" s="226"/>
      <c r="AP1" s="226"/>
      <c r="AQ1" s="226"/>
      <c r="AR1" s="226"/>
      <c r="AS1" s="466" t="s">
        <v>1351</v>
      </c>
      <c r="AT1" s="466"/>
      <c r="AU1" s="466"/>
      <c r="AV1" s="466"/>
      <c r="AW1" s="467" t="s">
        <v>1352</v>
      </c>
      <c r="AX1" s="467"/>
      <c r="AY1" s="467"/>
      <c r="AZ1" s="467"/>
      <c r="BA1" s="467"/>
      <c r="BB1" s="467"/>
      <c r="BC1" s="467"/>
      <c r="BD1" s="467"/>
      <c r="BE1" s="467"/>
      <c r="BF1" s="467"/>
      <c r="BG1" s="467"/>
      <c r="BH1" s="467"/>
      <c r="BI1" s="3"/>
      <c r="BJ1" s="3"/>
      <c r="BK1" s="3"/>
      <c r="BL1" s="3"/>
      <c r="BM1" s="479"/>
      <c r="BN1" s="479"/>
      <c r="BO1" s="3"/>
      <c r="BP1" s="468" t="s">
        <v>10</v>
      </c>
      <c r="BQ1" s="468"/>
      <c r="BR1" s="3"/>
      <c r="BS1" s="3"/>
      <c r="BT1" s="3"/>
      <c r="BU1" s="17"/>
      <c r="BV1" s="468" t="s">
        <v>11</v>
      </c>
      <c r="BW1" s="468"/>
      <c r="BX1" s="3"/>
      <c r="BY1" s="3"/>
      <c r="BZ1" s="3"/>
      <c r="CA1" s="17"/>
      <c r="CB1" s="468" t="s">
        <v>28</v>
      </c>
      <c r="CC1" s="468"/>
      <c r="CD1" s="470" t="s">
        <v>1259</v>
      </c>
      <c r="CE1" s="471"/>
      <c r="CF1" s="471"/>
      <c r="CG1" s="471"/>
      <c r="CH1" s="17"/>
      <c r="CI1" s="468" t="s">
        <v>21</v>
      </c>
      <c r="CJ1" s="468"/>
      <c r="CK1" s="17"/>
      <c r="CL1" s="17"/>
      <c r="CM1" s="17"/>
      <c r="CN1" s="17"/>
      <c r="CO1" s="17"/>
      <c r="CQ1" s="226"/>
      <c r="CR1" s="226"/>
      <c r="CS1" s="226"/>
      <c r="CT1" s="226"/>
      <c r="CU1" s="226"/>
      <c r="CV1" s="226"/>
      <c r="CW1" s="226"/>
      <c r="CX1" s="226"/>
      <c r="CY1" s="226"/>
      <c r="CZ1" s="226"/>
      <c r="DA1" s="372"/>
      <c r="DB1" s="226"/>
      <c r="DC1" s="372"/>
      <c r="DD1" s="372"/>
      <c r="DE1" s="372"/>
      <c r="DF1" s="372"/>
    </row>
    <row r="2" spans="1:147">
      <c r="B2" s="221" t="s">
        <v>260</v>
      </c>
      <c r="C2" s="236">
        <f>SUM(P8:P108)</f>
        <v>39063</v>
      </c>
      <c r="E2" s="223" t="s">
        <v>261</v>
      </c>
      <c r="F2" s="224">
        <f>SUMIFS($P$8:$P$42,$T$8:$T$42,E2)/$C$2</f>
        <v>0.66042034661956328</v>
      </c>
      <c r="H2" s="237"/>
      <c r="X2" s="226"/>
      <c r="Y2" s="226"/>
      <c r="Z2" s="226"/>
      <c r="AA2" s="226"/>
      <c r="AB2" s="226"/>
      <c r="AC2" s="226"/>
      <c r="AD2" s="226"/>
      <c r="AE2" s="226"/>
      <c r="AF2" s="226"/>
      <c r="AG2" s="226"/>
      <c r="AH2" s="226"/>
      <c r="AI2" s="226"/>
      <c r="AJ2" s="226"/>
      <c r="AK2" s="226"/>
      <c r="AL2" s="226"/>
      <c r="AM2" s="226"/>
      <c r="AN2" s="226"/>
      <c r="AO2" s="226"/>
      <c r="AP2" s="226"/>
      <c r="AQ2" s="226"/>
      <c r="AR2" s="226"/>
      <c r="AS2" s="3"/>
      <c r="AT2" s="3"/>
      <c r="AU2" s="3"/>
      <c r="AV2" s="3"/>
      <c r="AW2" s="3"/>
      <c r="AX2" s="3"/>
      <c r="AY2" s="3"/>
      <c r="AZ2" s="3"/>
      <c r="BA2" s="3"/>
      <c r="BB2" s="3"/>
      <c r="BC2" s="3"/>
      <c r="BD2" s="469" t="s">
        <v>1326</v>
      </c>
      <c r="BE2" s="469"/>
      <c r="BF2" s="469"/>
      <c r="BG2" s="469"/>
      <c r="BH2" s="469"/>
      <c r="BI2" s="469"/>
      <c r="BJ2" s="469"/>
      <c r="BK2" s="469"/>
      <c r="BL2" s="469"/>
      <c r="BM2" s="469"/>
      <c r="BN2" s="469"/>
      <c r="BO2" s="469"/>
      <c r="BP2" s="469"/>
      <c r="BQ2" s="3"/>
      <c r="BR2" s="470" t="s">
        <v>1353</v>
      </c>
      <c r="BS2" s="471"/>
      <c r="BT2" s="471"/>
      <c r="BU2" s="471"/>
      <c r="BV2" s="3"/>
      <c r="BW2" s="3"/>
      <c r="BX2" s="470" t="s">
        <v>1354</v>
      </c>
      <c r="BY2" s="471"/>
      <c r="BZ2" s="471"/>
      <c r="CA2" s="471"/>
      <c r="CB2" s="3"/>
      <c r="CC2" s="17"/>
      <c r="CD2" s="17"/>
      <c r="CE2" s="3"/>
      <c r="CF2" s="470" t="s">
        <v>30</v>
      </c>
      <c r="CG2" s="471"/>
      <c r="CH2" s="471"/>
      <c r="CI2" s="17"/>
      <c r="CJ2" s="17"/>
      <c r="CK2" s="472" t="s">
        <v>1327</v>
      </c>
      <c r="CL2" s="473"/>
      <c r="CM2" s="473"/>
      <c r="CN2" s="473"/>
      <c r="CO2" s="473"/>
      <c r="CQ2" s="226"/>
      <c r="CR2" s="226"/>
      <c r="CS2" s="226"/>
      <c r="CT2" s="226"/>
      <c r="CU2" s="226"/>
      <c r="CV2" s="226"/>
      <c r="CW2" s="226"/>
      <c r="CX2" s="226"/>
      <c r="CY2" s="226"/>
      <c r="CZ2" s="226"/>
      <c r="DA2" s="226"/>
      <c r="DB2" s="226"/>
      <c r="DC2" s="226"/>
      <c r="DD2" s="226"/>
      <c r="DE2" s="226"/>
      <c r="DF2" s="226"/>
    </row>
    <row r="3" spans="1:147">
      <c r="B3" s="221" t="s">
        <v>262</v>
      </c>
      <c r="C3" s="248" t="e">
        <f>C1/C2</f>
        <v>#VALUE!</v>
      </c>
      <c r="E3" s="223" t="s">
        <v>263</v>
      </c>
      <c r="F3" s="224">
        <f>SUMIFS($P$8:$P$42,$T$8:$T$42,E3)/$C$2</f>
        <v>4.1241072114276939E-2</v>
      </c>
      <c r="H3" s="237"/>
      <c r="R3" s="249"/>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c r="CZ3" s="226"/>
    </row>
    <row r="4" spans="1:147" ht="14.25" customHeight="1">
      <c r="DP4" s="250" t="s">
        <v>264</v>
      </c>
      <c r="DQ4" s="250" t="s">
        <v>265</v>
      </c>
      <c r="DR4" s="250" t="s">
        <v>266</v>
      </c>
      <c r="DS4" s="250" t="s">
        <v>267</v>
      </c>
      <c r="DT4" s="250" t="s">
        <v>268</v>
      </c>
      <c r="DU4" s="251" t="s">
        <v>269</v>
      </c>
      <c r="DV4" s="251" t="s">
        <v>270</v>
      </c>
      <c r="DW4" s="251" t="s">
        <v>271</v>
      </c>
      <c r="DX4" s="251" t="s">
        <v>272</v>
      </c>
      <c r="DY4" s="251" t="s">
        <v>273</v>
      </c>
      <c r="DZ4" s="251" t="s">
        <v>274</v>
      </c>
      <c r="EA4" s="251" t="s">
        <v>275</v>
      </c>
      <c r="EB4" s="251" t="s">
        <v>276</v>
      </c>
      <c r="EC4" s="251" t="s">
        <v>264</v>
      </c>
      <c r="ED4" s="251" t="s">
        <v>265</v>
      </c>
      <c r="EE4" s="251" t="s">
        <v>266</v>
      </c>
      <c r="EF4" s="251" t="s">
        <v>267</v>
      </c>
      <c r="EG4" s="251" t="s">
        <v>268</v>
      </c>
      <c r="EH4" s="252" t="s">
        <v>269</v>
      </c>
      <c r="EI4" s="252" t="s">
        <v>270</v>
      </c>
      <c r="EJ4" s="252" t="s">
        <v>271</v>
      </c>
      <c r="EK4" s="252" t="s">
        <v>272</v>
      </c>
      <c r="EL4" s="252" t="s">
        <v>273</v>
      </c>
      <c r="EM4" s="252" t="s">
        <v>274</v>
      </c>
      <c r="EN4" s="252" t="s">
        <v>275</v>
      </c>
      <c r="EO4" s="252" t="s">
        <v>276</v>
      </c>
    </row>
    <row r="5" spans="1:147" s="226" customFormat="1" ht="13">
      <c r="F5" s="254"/>
      <c r="G5" s="254"/>
      <c r="H5" s="254"/>
      <c r="I5" s="254"/>
      <c r="O5" s="255"/>
      <c r="P5" s="255"/>
      <c r="Q5" s="255"/>
      <c r="R5" s="255"/>
      <c r="S5" s="255"/>
      <c r="X5" s="255" t="s">
        <v>277</v>
      </c>
      <c r="Y5" s="255" t="s">
        <v>277</v>
      </c>
      <c r="Z5" s="255" t="s">
        <v>277</v>
      </c>
      <c r="AA5" s="255" t="s">
        <v>277</v>
      </c>
      <c r="AB5" s="255" t="s">
        <v>277</v>
      </c>
      <c r="AC5" s="255" t="s">
        <v>277</v>
      </c>
      <c r="AD5" s="255" t="s">
        <v>277</v>
      </c>
      <c r="AE5" s="255" t="s">
        <v>277</v>
      </c>
      <c r="AF5" s="255" t="s">
        <v>277</v>
      </c>
      <c r="AG5" s="255" t="s">
        <v>277</v>
      </c>
      <c r="AH5" s="255" t="s">
        <v>277</v>
      </c>
      <c r="AI5" s="255" t="s">
        <v>277</v>
      </c>
      <c r="AJ5" s="255" t="s">
        <v>277</v>
      </c>
      <c r="AK5" s="255" t="s">
        <v>277</v>
      </c>
      <c r="AL5" s="255" t="s">
        <v>277</v>
      </c>
      <c r="AM5" s="255" t="s">
        <v>277</v>
      </c>
      <c r="AN5" s="255" t="s">
        <v>277</v>
      </c>
      <c r="AO5" s="255" t="s">
        <v>278</v>
      </c>
      <c r="AP5" s="255" t="s">
        <v>278</v>
      </c>
      <c r="AQ5" s="255" t="s">
        <v>278</v>
      </c>
      <c r="AR5" s="255" t="s">
        <v>278</v>
      </c>
      <c r="AS5" s="255" t="s">
        <v>278</v>
      </c>
      <c r="AT5" s="255" t="s">
        <v>278</v>
      </c>
      <c r="AU5" s="255" t="s">
        <v>278</v>
      </c>
      <c r="AV5" s="255" t="s">
        <v>278</v>
      </c>
      <c r="AW5" s="255" t="s">
        <v>278</v>
      </c>
      <c r="AX5" s="255" t="s">
        <v>278</v>
      </c>
      <c r="AY5" s="255" t="s">
        <v>278</v>
      </c>
      <c r="AZ5" s="255" t="s">
        <v>278</v>
      </c>
      <c r="BA5" s="255" t="s">
        <v>278</v>
      </c>
      <c r="BB5" s="255" t="s">
        <v>278</v>
      </c>
      <c r="BC5" s="255" t="s">
        <v>278</v>
      </c>
      <c r="BD5" s="255" t="s">
        <v>278</v>
      </c>
      <c r="BE5" s="255" t="s">
        <v>278</v>
      </c>
      <c r="BF5" s="255" t="s">
        <v>278</v>
      </c>
      <c r="BG5" s="255" t="s">
        <v>278</v>
      </c>
      <c r="BH5" s="255" t="s">
        <v>278</v>
      </c>
      <c r="BI5" s="255" t="s">
        <v>278</v>
      </c>
      <c r="BJ5" s="255" t="s">
        <v>278</v>
      </c>
      <c r="BK5" s="255" t="s">
        <v>278</v>
      </c>
      <c r="BL5" s="255" t="s">
        <v>278</v>
      </c>
      <c r="BM5" s="255" t="s">
        <v>278</v>
      </c>
      <c r="BN5" s="255" t="s">
        <v>278</v>
      </c>
      <c r="BO5" s="255" t="s">
        <v>278</v>
      </c>
      <c r="BP5" s="255" t="s">
        <v>278</v>
      </c>
      <c r="BQ5" s="255" t="s">
        <v>278</v>
      </c>
      <c r="BR5" s="255" t="s">
        <v>278</v>
      </c>
      <c r="BS5" s="255" t="s">
        <v>278</v>
      </c>
      <c r="BT5" s="255" t="s">
        <v>278</v>
      </c>
      <c r="BU5" s="255" t="s">
        <v>278</v>
      </c>
      <c r="BV5" s="255" t="s">
        <v>278</v>
      </c>
      <c r="BW5" s="255" t="s">
        <v>278</v>
      </c>
      <c r="BX5" s="255" t="s">
        <v>278</v>
      </c>
      <c r="BY5" s="255" t="s">
        <v>278</v>
      </c>
      <c r="BZ5" s="255" t="s">
        <v>278</v>
      </c>
      <c r="CA5" s="255" t="s">
        <v>278</v>
      </c>
      <c r="CB5" s="255" t="s">
        <v>278</v>
      </c>
      <c r="CC5" s="255" t="s">
        <v>278</v>
      </c>
      <c r="CD5" s="255" t="s">
        <v>278</v>
      </c>
      <c r="CE5" s="255" t="s">
        <v>278</v>
      </c>
      <c r="CF5" s="255" t="s">
        <v>278</v>
      </c>
      <c r="CG5" s="255" t="s">
        <v>278</v>
      </c>
      <c r="CH5" s="255" t="s">
        <v>278</v>
      </c>
      <c r="CI5" s="255" t="s">
        <v>278</v>
      </c>
      <c r="CJ5" s="255" t="s">
        <v>279</v>
      </c>
      <c r="CK5" s="255" t="s">
        <v>279</v>
      </c>
      <c r="CL5" s="255" t="s">
        <v>279</v>
      </c>
      <c r="CM5" s="255" t="s">
        <v>279</v>
      </c>
      <c r="CN5" s="255" t="s">
        <v>279</v>
      </c>
      <c r="CO5" s="255" t="s">
        <v>279</v>
      </c>
      <c r="CP5" s="255" t="s">
        <v>279</v>
      </c>
      <c r="CQ5" s="255" t="s">
        <v>279</v>
      </c>
      <c r="CR5" s="255" t="s">
        <v>279</v>
      </c>
      <c r="CS5" s="255" t="s">
        <v>279</v>
      </c>
      <c r="CT5" s="255" t="s">
        <v>279</v>
      </c>
      <c r="CU5" s="255" t="s">
        <v>279</v>
      </c>
      <c r="CV5" s="255" t="s">
        <v>279</v>
      </c>
      <c r="CW5" s="255" t="s">
        <v>279</v>
      </c>
      <c r="CX5" s="255" t="s">
        <v>279</v>
      </c>
      <c r="CY5" s="255" t="s">
        <v>279</v>
      </c>
      <c r="CZ5" s="255" t="s">
        <v>279</v>
      </c>
      <c r="DA5" s="255" t="s">
        <v>279</v>
      </c>
      <c r="DB5" s="255" t="s">
        <v>279</v>
      </c>
      <c r="DC5" s="255" t="s">
        <v>279</v>
      </c>
      <c r="DD5" s="255" t="s">
        <v>279</v>
      </c>
      <c r="DE5" s="255" t="s">
        <v>279</v>
      </c>
      <c r="DF5" s="255" t="s">
        <v>279</v>
      </c>
      <c r="DG5" s="255" t="s">
        <v>279</v>
      </c>
      <c r="DH5" s="255" t="s">
        <v>279</v>
      </c>
      <c r="DI5" s="255" t="s">
        <v>279</v>
      </c>
      <c r="DJ5" s="255" t="s">
        <v>279</v>
      </c>
      <c r="DK5" s="255" t="s">
        <v>279</v>
      </c>
      <c r="DL5" s="255" t="s">
        <v>279</v>
      </c>
      <c r="DM5" s="255" t="s">
        <v>279</v>
      </c>
      <c r="DN5" s="255" t="s">
        <v>279</v>
      </c>
      <c r="DO5" s="256" t="s">
        <v>282</v>
      </c>
      <c r="DP5" s="257">
        <v>46033</v>
      </c>
      <c r="DQ5" s="257">
        <v>46061</v>
      </c>
      <c r="DR5" s="257">
        <v>46089</v>
      </c>
      <c r="DS5" s="257">
        <v>46117</v>
      </c>
      <c r="DT5" s="257">
        <v>46145</v>
      </c>
      <c r="DU5" s="258">
        <v>46173</v>
      </c>
      <c r="DV5" s="258">
        <v>46201</v>
      </c>
      <c r="DW5" s="258">
        <v>46229</v>
      </c>
      <c r="DX5" s="258">
        <v>46257</v>
      </c>
      <c r="DY5" s="258">
        <v>46285</v>
      </c>
      <c r="DZ5" s="258">
        <v>46313</v>
      </c>
      <c r="EA5" s="258">
        <v>46341</v>
      </c>
      <c r="EB5" s="258">
        <v>46369</v>
      </c>
      <c r="EC5" s="258">
        <v>46397</v>
      </c>
      <c r="ED5" s="258">
        <v>46425</v>
      </c>
      <c r="EE5" s="258">
        <v>46453</v>
      </c>
      <c r="EF5" s="258">
        <v>46481</v>
      </c>
      <c r="EG5" s="258">
        <v>46509</v>
      </c>
      <c r="EH5" s="259">
        <v>46537</v>
      </c>
      <c r="EI5" s="259">
        <v>46565</v>
      </c>
      <c r="EJ5" s="259">
        <v>46593</v>
      </c>
      <c r="EK5" s="259">
        <v>46621</v>
      </c>
      <c r="EL5" s="259">
        <v>46649</v>
      </c>
      <c r="EM5" s="259">
        <v>46677</v>
      </c>
      <c r="EN5" s="259">
        <v>46705</v>
      </c>
      <c r="EO5" s="259">
        <v>46733</v>
      </c>
    </row>
    <row r="6" spans="1:147" s="226" customFormat="1" ht="13">
      <c r="C6" s="261"/>
      <c r="D6" s="261"/>
      <c r="E6" s="261"/>
      <c r="F6" s="262"/>
      <c r="G6" s="262"/>
      <c r="H6" s="262"/>
      <c r="I6" s="262"/>
      <c r="J6" s="261"/>
      <c r="K6" s="261"/>
      <c r="L6" s="261"/>
      <c r="M6" s="261"/>
      <c r="N6" s="261"/>
      <c r="O6" s="263" t="e">
        <f>SUBTOTAL(9,O8:O108)</f>
        <v>#VALUE!</v>
      </c>
      <c r="P6" s="264">
        <f>SUBTOTAL(9,P8:P108)</f>
        <v>39063</v>
      </c>
      <c r="Q6" s="262"/>
      <c r="R6" s="262"/>
      <c r="S6" s="262"/>
      <c r="T6" s="501" t="s">
        <v>283</v>
      </c>
      <c r="U6" s="501"/>
      <c r="V6" s="501"/>
      <c r="W6" s="501"/>
      <c r="X6" s="256" t="s">
        <v>284</v>
      </c>
      <c r="Y6" s="265" t="s">
        <v>285</v>
      </c>
      <c r="Z6" s="265" t="s">
        <v>285</v>
      </c>
      <c r="AA6" s="265" t="s">
        <v>285</v>
      </c>
      <c r="AB6" s="265" t="s">
        <v>285</v>
      </c>
      <c r="AC6" s="266" t="s">
        <v>286</v>
      </c>
      <c r="AD6" s="266" t="s">
        <v>286</v>
      </c>
      <c r="AE6" s="266" t="s">
        <v>286</v>
      </c>
      <c r="AF6" s="266" t="s">
        <v>286</v>
      </c>
      <c r="AG6" s="266" t="s">
        <v>287</v>
      </c>
      <c r="AH6" s="266" t="s">
        <v>287</v>
      </c>
      <c r="AI6" s="266" t="s">
        <v>287</v>
      </c>
      <c r="AJ6" s="266" t="s">
        <v>287</v>
      </c>
      <c r="AK6" s="266" t="s">
        <v>288</v>
      </c>
      <c r="AL6" s="266" t="s">
        <v>288</v>
      </c>
      <c r="AM6" s="266" t="s">
        <v>288</v>
      </c>
      <c r="AN6" s="266" t="s">
        <v>288</v>
      </c>
      <c r="AO6" s="266" t="s">
        <v>289</v>
      </c>
      <c r="AP6" s="266" t="s">
        <v>289</v>
      </c>
      <c r="AQ6" s="266" t="s">
        <v>290</v>
      </c>
      <c r="AR6" s="266" t="s">
        <v>291</v>
      </c>
      <c r="AS6" s="266" t="s">
        <v>291</v>
      </c>
      <c r="AT6" s="266" t="s">
        <v>291</v>
      </c>
      <c r="AU6" s="266" t="s">
        <v>291</v>
      </c>
      <c r="AV6" s="266" t="s">
        <v>292</v>
      </c>
      <c r="AW6" s="266" t="s">
        <v>292</v>
      </c>
      <c r="AX6" s="266" t="s">
        <v>292</v>
      </c>
      <c r="AY6" s="266" t="s">
        <v>292</v>
      </c>
      <c r="AZ6" s="266" t="s">
        <v>293</v>
      </c>
      <c r="BA6" s="266" t="s">
        <v>293</v>
      </c>
      <c r="BB6" s="266" t="s">
        <v>293</v>
      </c>
      <c r="BC6" s="266" t="s">
        <v>293</v>
      </c>
      <c r="BD6" s="266" t="s">
        <v>294</v>
      </c>
      <c r="BE6" s="266" t="s">
        <v>294</v>
      </c>
      <c r="BF6" s="266" t="s">
        <v>294</v>
      </c>
      <c r="BG6" s="266" t="s">
        <v>294</v>
      </c>
      <c r="BH6" s="266" t="s">
        <v>295</v>
      </c>
      <c r="BI6" s="266" t="s">
        <v>295</v>
      </c>
      <c r="BJ6" s="266" t="s">
        <v>295</v>
      </c>
      <c r="BK6" s="266" t="s">
        <v>295</v>
      </c>
      <c r="BL6" s="266" t="s">
        <v>296</v>
      </c>
      <c r="BM6" s="266" t="s">
        <v>296</v>
      </c>
      <c r="BN6" s="266" t="s">
        <v>296</v>
      </c>
      <c r="BO6" s="266" t="s">
        <v>296</v>
      </c>
      <c r="BP6" s="266" t="s">
        <v>297</v>
      </c>
      <c r="BQ6" s="266" t="s">
        <v>297</v>
      </c>
      <c r="BR6" s="266" t="s">
        <v>297</v>
      </c>
      <c r="BS6" s="266" t="s">
        <v>297</v>
      </c>
      <c r="BT6" s="266" t="s">
        <v>298</v>
      </c>
      <c r="BU6" s="266" t="s">
        <v>298</v>
      </c>
      <c r="BV6" s="266" t="s">
        <v>298</v>
      </c>
      <c r="BW6" s="266" t="s">
        <v>298</v>
      </c>
      <c r="BX6" s="266" t="s">
        <v>299</v>
      </c>
      <c r="BY6" s="266" t="s">
        <v>299</v>
      </c>
      <c r="BZ6" s="266" t="s">
        <v>299</v>
      </c>
      <c r="CA6" s="266" t="s">
        <v>299</v>
      </c>
      <c r="CB6" s="266" t="s">
        <v>300</v>
      </c>
      <c r="CC6" s="266" t="s">
        <v>300</v>
      </c>
      <c r="CD6" s="266" t="s">
        <v>300</v>
      </c>
      <c r="CE6" s="266" t="s">
        <v>300</v>
      </c>
      <c r="CF6" s="266" t="s">
        <v>301</v>
      </c>
      <c r="CG6" s="266" t="s">
        <v>301</v>
      </c>
      <c r="CH6" s="266" t="s">
        <v>301</v>
      </c>
      <c r="CI6" s="266" t="s">
        <v>301</v>
      </c>
      <c r="CJ6" s="266" t="s">
        <v>302</v>
      </c>
      <c r="CK6" s="266" t="s">
        <v>302</v>
      </c>
      <c r="CL6" s="266" t="s">
        <v>302</v>
      </c>
      <c r="CM6" s="266" t="s">
        <v>302</v>
      </c>
      <c r="CN6" s="266" t="s">
        <v>303</v>
      </c>
      <c r="CO6" s="266" t="s">
        <v>303</v>
      </c>
      <c r="CP6" s="266" t="s">
        <v>303</v>
      </c>
      <c r="CQ6" s="266" t="s">
        <v>303</v>
      </c>
      <c r="CR6" s="266" t="s">
        <v>304</v>
      </c>
      <c r="CS6" s="266" t="s">
        <v>304</v>
      </c>
      <c r="CT6" s="266" t="s">
        <v>304</v>
      </c>
      <c r="CU6" s="266" t="s">
        <v>304</v>
      </c>
      <c r="CV6" s="266" t="s">
        <v>305</v>
      </c>
      <c r="CW6" s="266" t="s">
        <v>305</v>
      </c>
      <c r="CX6" s="266" t="s">
        <v>305</v>
      </c>
      <c r="CY6" s="266" t="s">
        <v>305</v>
      </c>
      <c r="CZ6" s="266" t="s">
        <v>306</v>
      </c>
      <c r="DA6" s="266" t="s">
        <v>306</v>
      </c>
      <c r="DB6" s="266" t="s">
        <v>306</v>
      </c>
      <c r="DC6" s="266" t="s">
        <v>306</v>
      </c>
      <c r="DD6" s="266" t="s">
        <v>307</v>
      </c>
      <c r="DE6" s="266" t="s">
        <v>307</v>
      </c>
      <c r="DF6" s="266" t="s">
        <v>307</v>
      </c>
      <c r="DG6" s="266" t="s">
        <v>307</v>
      </c>
      <c r="DH6" s="266" t="s">
        <v>308</v>
      </c>
      <c r="DI6" s="266" t="s">
        <v>308</v>
      </c>
      <c r="DJ6" s="266" t="s">
        <v>308</v>
      </c>
      <c r="DK6" s="266" t="s">
        <v>308</v>
      </c>
      <c r="DL6" s="266" t="s">
        <v>309</v>
      </c>
      <c r="DM6" s="266" t="s">
        <v>309</v>
      </c>
      <c r="DN6" s="266"/>
      <c r="DO6" s="267" t="s">
        <v>321</v>
      </c>
      <c r="DP6" s="257">
        <v>46060</v>
      </c>
      <c r="DQ6" s="257">
        <v>46088</v>
      </c>
      <c r="DR6" s="257">
        <v>46116</v>
      </c>
      <c r="DS6" s="257">
        <v>46144</v>
      </c>
      <c r="DT6" s="257">
        <v>46172</v>
      </c>
      <c r="DU6" s="258">
        <v>46200</v>
      </c>
      <c r="DV6" s="258">
        <v>46228</v>
      </c>
      <c r="DW6" s="258">
        <v>46256</v>
      </c>
      <c r="DX6" s="258">
        <v>46284</v>
      </c>
      <c r="DY6" s="258">
        <v>46312</v>
      </c>
      <c r="DZ6" s="258">
        <v>46340</v>
      </c>
      <c r="EA6" s="258">
        <v>46368</v>
      </c>
      <c r="EB6" s="258">
        <v>46396</v>
      </c>
      <c r="EC6" s="258">
        <v>46424</v>
      </c>
      <c r="ED6" s="258">
        <v>46452</v>
      </c>
      <c r="EE6" s="258">
        <v>46480</v>
      </c>
      <c r="EF6" s="258">
        <v>46508</v>
      </c>
      <c r="EG6" s="258">
        <v>46536</v>
      </c>
      <c r="EH6" s="259">
        <v>46564</v>
      </c>
      <c r="EI6" s="259">
        <v>46592</v>
      </c>
      <c r="EJ6" s="259">
        <v>46620</v>
      </c>
      <c r="EK6" s="259">
        <v>46648</v>
      </c>
      <c r="EL6" s="259">
        <v>46676</v>
      </c>
      <c r="EM6" s="259">
        <v>46704</v>
      </c>
      <c r="EN6" s="259">
        <v>46732</v>
      </c>
      <c r="EO6" s="259">
        <v>46760</v>
      </c>
      <c r="EP6" s="270">
        <f>SUM(EP8:EP57)</f>
        <v>34899</v>
      </c>
      <c r="EQ6" s="271">
        <f>SUM(EQ8:EQ57)</f>
        <v>0</v>
      </c>
    </row>
    <row r="7" spans="1:147" s="290" customFormat="1" ht="66" customHeight="1">
      <c r="A7" s="272"/>
      <c r="B7" s="273" t="s">
        <v>322</v>
      </c>
      <c r="C7" s="273" t="s">
        <v>183</v>
      </c>
      <c r="D7" s="273" t="s">
        <v>323</v>
      </c>
      <c r="E7" s="273" t="s">
        <v>324</v>
      </c>
      <c r="F7" s="273" t="s">
        <v>182</v>
      </c>
      <c r="G7" s="480" t="s">
        <v>1355</v>
      </c>
      <c r="H7" s="480" t="s">
        <v>326</v>
      </c>
      <c r="I7" s="480" t="s">
        <v>327</v>
      </c>
      <c r="J7" s="480" t="s">
        <v>330</v>
      </c>
      <c r="K7" s="480" t="s">
        <v>1356</v>
      </c>
      <c r="L7" s="275" t="s">
        <v>331</v>
      </c>
      <c r="M7" s="275" t="s">
        <v>332</v>
      </c>
      <c r="N7" s="275" t="s">
        <v>333</v>
      </c>
      <c r="O7" s="275" t="s">
        <v>234</v>
      </c>
      <c r="P7" s="275" t="s">
        <v>336</v>
      </c>
      <c r="Q7" s="275" t="s">
        <v>337</v>
      </c>
      <c r="R7" s="275" t="s">
        <v>338</v>
      </c>
      <c r="S7" s="275" t="s">
        <v>339</v>
      </c>
      <c r="T7" s="481" t="s">
        <v>340</v>
      </c>
      <c r="U7" s="274" t="s">
        <v>250</v>
      </c>
      <c r="V7" s="274" t="s">
        <v>341</v>
      </c>
      <c r="W7" s="274" t="s">
        <v>1357</v>
      </c>
      <c r="X7" s="482">
        <v>46090</v>
      </c>
      <c r="Y7" s="405">
        <f t="shared" ref="Y7:BD7" si="0">X7+7</f>
        <v>46097</v>
      </c>
      <c r="Z7" s="405">
        <f t="shared" si="0"/>
        <v>46104</v>
      </c>
      <c r="AA7" s="405">
        <f t="shared" si="0"/>
        <v>46111</v>
      </c>
      <c r="AB7" s="405">
        <f t="shared" si="0"/>
        <v>46118</v>
      </c>
      <c r="AC7" s="405">
        <f t="shared" si="0"/>
        <v>46125</v>
      </c>
      <c r="AD7" s="405">
        <f t="shared" si="0"/>
        <v>46132</v>
      </c>
      <c r="AE7" s="405">
        <f t="shared" si="0"/>
        <v>46139</v>
      </c>
      <c r="AF7" s="405">
        <f t="shared" si="0"/>
        <v>46146</v>
      </c>
      <c r="AG7" s="405">
        <f t="shared" si="0"/>
        <v>46153</v>
      </c>
      <c r="AH7" s="405">
        <f t="shared" si="0"/>
        <v>46160</v>
      </c>
      <c r="AI7" s="405">
        <f t="shared" si="0"/>
        <v>46167</v>
      </c>
      <c r="AJ7" s="405">
        <f t="shared" si="0"/>
        <v>46174</v>
      </c>
      <c r="AK7" s="405">
        <f t="shared" si="0"/>
        <v>46181</v>
      </c>
      <c r="AL7" s="405">
        <f t="shared" si="0"/>
        <v>46188</v>
      </c>
      <c r="AM7" s="405">
        <f t="shared" si="0"/>
        <v>46195</v>
      </c>
      <c r="AN7" s="405">
        <f t="shared" si="0"/>
        <v>46202</v>
      </c>
      <c r="AO7" s="405">
        <f t="shared" si="0"/>
        <v>46209</v>
      </c>
      <c r="AP7" s="405">
        <f t="shared" si="0"/>
        <v>46216</v>
      </c>
      <c r="AQ7" s="405">
        <f t="shared" si="0"/>
        <v>46223</v>
      </c>
      <c r="AR7" s="405">
        <f t="shared" si="0"/>
        <v>46230</v>
      </c>
      <c r="AS7" s="405">
        <f t="shared" si="0"/>
        <v>46237</v>
      </c>
      <c r="AT7" s="405">
        <f t="shared" si="0"/>
        <v>46244</v>
      </c>
      <c r="AU7" s="405">
        <f t="shared" si="0"/>
        <v>46251</v>
      </c>
      <c r="AV7" s="405">
        <f t="shared" si="0"/>
        <v>46258</v>
      </c>
      <c r="AW7" s="405">
        <f t="shared" si="0"/>
        <v>46265</v>
      </c>
      <c r="AX7" s="405">
        <f t="shared" si="0"/>
        <v>46272</v>
      </c>
      <c r="AY7" s="405">
        <f t="shared" si="0"/>
        <v>46279</v>
      </c>
      <c r="AZ7" s="405">
        <f t="shared" si="0"/>
        <v>46286</v>
      </c>
      <c r="BA7" s="405">
        <f t="shared" si="0"/>
        <v>46293</v>
      </c>
      <c r="BB7" s="405">
        <f t="shared" si="0"/>
        <v>46300</v>
      </c>
      <c r="BC7" s="405">
        <f t="shared" si="0"/>
        <v>46307</v>
      </c>
      <c r="BD7" s="405">
        <f t="shared" si="0"/>
        <v>46314</v>
      </c>
      <c r="BE7" s="405">
        <f t="shared" ref="BE7:CJ7" si="1">BD7+7</f>
        <v>46321</v>
      </c>
      <c r="BF7" s="405">
        <f t="shared" si="1"/>
        <v>46328</v>
      </c>
      <c r="BG7" s="405">
        <f t="shared" si="1"/>
        <v>46335</v>
      </c>
      <c r="BH7" s="405">
        <f t="shared" si="1"/>
        <v>46342</v>
      </c>
      <c r="BI7" s="405">
        <f t="shared" si="1"/>
        <v>46349</v>
      </c>
      <c r="BJ7" s="405">
        <f t="shared" si="1"/>
        <v>46356</v>
      </c>
      <c r="BK7" s="405">
        <f t="shared" si="1"/>
        <v>46363</v>
      </c>
      <c r="BL7" s="405">
        <f t="shared" si="1"/>
        <v>46370</v>
      </c>
      <c r="BM7" s="405">
        <f t="shared" si="1"/>
        <v>46377</v>
      </c>
      <c r="BN7" s="405">
        <f t="shared" si="1"/>
        <v>46384</v>
      </c>
      <c r="BO7" s="405">
        <f t="shared" si="1"/>
        <v>46391</v>
      </c>
      <c r="BP7" s="405">
        <f t="shared" si="1"/>
        <v>46398</v>
      </c>
      <c r="BQ7" s="405">
        <f t="shared" si="1"/>
        <v>46405</v>
      </c>
      <c r="BR7" s="405">
        <f t="shared" si="1"/>
        <v>46412</v>
      </c>
      <c r="BS7" s="405">
        <f t="shared" si="1"/>
        <v>46419</v>
      </c>
      <c r="BT7" s="405">
        <f t="shared" si="1"/>
        <v>46426</v>
      </c>
      <c r="BU7" s="405">
        <f t="shared" si="1"/>
        <v>46433</v>
      </c>
      <c r="BV7" s="405">
        <f t="shared" si="1"/>
        <v>46440</v>
      </c>
      <c r="BW7" s="405">
        <f t="shared" si="1"/>
        <v>46447</v>
      </c>
      <c r="BX7" s="405">
        <f t="shared" si="1"/>
        <v>46454</v>
      </c>
      <c r="BY7" s="405">
        <f t="shared" si="1"/>
        <v>46461</v>
      </c>
      <c r="BZ7" s="405">
        <f t="shared" si="1"/>
        <v>46468</v>
      </c>
      <c r="CA7" s="405">
        <f t="shared" si="1"/>
        <v>46475</v>
      </c>
      <c r="CB7" s="405">
        <f t="shared" si="1"/>
        <v>46482</v>
      </c>
      <c r="CC7" s="405">
        <f t="shared" si="1"/>
        <v>46489</v>
      </c>
      <c r="CD7" s="405">
        <f t="shared" si="1"/>
        <v>46496</v>
      </c>
      <c r="CE7" s="405">
        <f t="shared" si="1"/>
        <v>46503</v>
      </c>
      <c r="CF7" s="405">
        <f t="shared" si="1"/>
        <v>46510</v>
      </c>
      <c r="CG7" s="405">
        <f t="shared" si="1"/>
        <v>46517</v>
      </c>
      <c r="CH7" s="405">
        <f t="shared" si="1"/>
        <v>46524</v>
      </c>
      <c r="CI7" s="405">
        <f t="shared" si="1"/>
        <v>46531</v>
      </c>
      <c r="CJ7" s="405">
        <f t="shared" si="1"/>
        <v>46538</v>
      </c>
      <c r="CK7" s="405">
        <f t="shared" ref="CK7:DN7" si="2">CJ7+7</f>
        <v>46545</v>
      </c>
      <c r="CL7" s="405">
        <f t="shared" si="2"/>
        <v>46552</v>
      </c>
      <c r="CM7" s="405">
        <f t="shared" si="2"/>
        <v>46559</v>
      </c>
      <c r="CN7" s="405">
        <f t="shared" si="2"/>
        <v>46566</v>
      </c>
      <c r="CO7" s="405">
        <f t="shared" si="2"/>
        <v>46573</v>
      </c>
      <c r="CP7" s="405">
        <f t="shared" si="2"/>
        <v>46580</v>
      </c>
      <c r="CQ7" s="405">
        <f t="shared" si="2"/>
        <v>46587</v>
      </c>
      <c r="CR7" s="405">
        <f t="shared" si="2"/>
        <v>46594</v>
      </c>
      <c r="CS7" s="405">
        <f t="shared" si="2"/>
        <v>46601</v>
      </c>
      <c r="CT7" s="405">
        <f t="shared" si="2"/>
        <v>46608</v>
      </c>
      <c r="CU7" s="405">
        <f t="shared" si="2"/>
        <v>46615</v>
      </c>
      <c r="CV7" s="405">
        <f t="shared" si="2"/>
        <v>46622</v>
      </c>
      <c r="CW7" s="405">
        <f t="shared" si="2"/>
        <v>46629</v>
      </c>
      <c r="CX7" s="405">
        <f t="shared" si="2"/>
        <v>46636</v>
      </c>
      <c r="CY7" s="405">
        <f t="shared" si="2"/>
        <v>46643</v>
      </c>
      <c r="CZ7" s="405">
        <f t="shared" si="2"/>
        <v>46650</v>
      </c>
      <c r="DA7" s="405">
        <f t="shared" si="2"/>
        <v>46657</v>
      </c>
      <c r="DB7" s="405">
        <f t="shared" si="2"/>
        <v>46664</v>
      </c>
      <c r="DC7" s="405">
        <f t="shared" si="2"/>
        <v>46671</v>
      </c>
      <c r="DD7" s="405">
        <f t="shared" si="2"/>
        <v>46678</v>
      </c>
      <c r="DE7" s="405">
        <f t="shared" si="2"/>
        <v>46685</v>
      </c>
      <c r="DF7" s="405">
        <f t="shared" si="2"/>
        <v>46692</v>
      </c>
      <c r="DG7" s="405">
        <f t="shared" si="2"/>
        <v>46699</v>
      </c>
      <c r="DH7" s="405">
        <f t="shared" si="2"/>
        <v>46706</v>
      </c>
      <c r="DI7" s="405">
        <f t="shared" si="2"/>
        <v>46713</v>
      </c>
      <c r="DJ7" s="405">
        <f t="shared" si="2"/>
        <v>46720</v>
      </c>
      <c r="DK7" s="405">
        <f t="shared" si="2"/>
        <v>46727</v>
      </c>
      <c r="DL7" s="405">
        <f t="shared" si="2"/>
        <v>46734</v>
      </c>
      <c r="DM7" s="405">
        <f t="shared" si="2"/>
        <v>46741</v>
      </c>
      <c r="DN7" s="405">
        <f t="shared" si="2"/>
        <v>46748</v>
      </c>
      <c r="DO7" s="483"/>
      <c r="DP7" s="484" t="s">
        <v>1358</v>
      </c>
      <c r="DQ7" s="484" t="s">
        <v>285</v>
      </c>
      <c r="DR7" s="484" t="s">
        <v>286</v>
      </c>
      <c r="DS7" s="484" t="s">
        <v>287</v>
      </c>
      <c r="DT7" s="484" t="s">
        <v>288</v>
      </c>
      <c r="DU7" s="288" t="s">
        <v>1359</v>
      </c>
      <c r="DV7" s="288" t="s">
        <v>290</v>
      </c>
      <c r="DW7" s="288" t="s">
        <v>291</v>
      </c>
      <c r="DX7" s="288" t="s">
        <v>292</v>
      </c>
      <c r="DY7" s="288" t="s">
        <v>293</v>
      </c>
      <c r="DZ7" s="288" t="s">
        <v>294</v>
      </c>
      <c r="EA7" s="288" t="s">
        <v>295</v>
      </c>
      <c r="EB7" s="288" t="s">
        <v>296</v>
      </c>
      <c r="EC7" s="288" t="s">
        <v>297</v>
      </c>
      <c r="ED7" s="288" t="s">
        <v>298</v>
      </c>
      <c r="EE7" s="288" t="s">
        <v>299</v>
      </c>
      <c r="EF7" s="288" t="s">
        <v>300</v>
      </c>
      <c r="EG7" s="288" t="s">
        <v>301</v>
      </c>
      <c r="EH7" s="286" t="s">
        <v>302</v>
      </c>
      <c r="EI7" s="286" t="s">
        <v>303</v>
      </c>
      <c r="EJ7" s="286" t="s">
        <v>304</v>
      </c>
      <c r="EK7" s="286" t="s">
        <v>305</v>
      </c>
      <c r="EL7" s="286" t="s">
        <v>306</v>
      </c>
      <c r="EM7" s="286" t="s">
        <v>307</v>
      </c>
      <c r="EN7" s="286" t="s">
        <v>308</v>
      </c>
      <c r="EO7" s="286" t="s">
        <v>309</v>
      </c>
      <c r="EP7" s="271" t="s">
        <v>213</v>
      </c>
      <c r="EQ7" s="271" t="s">
        <v>347</v>
      </c>
    </row>
    <row r="8" spans="1:147" s="306" customFormat="1" ht="15.75" hidden="1" customHeight="1">
      <c r="A8" s="291"/>
      <c r="B8" s="292" t="s">
        <v>348</v>
      </c>
      <c r="C8" s="292" t="s">
        <v>53</v>
      </c>
      <c r="D8" s="292" t="s">
        <v>53</v>
      </c>
      <c r="E8" s="292" t="s">
        <v>349</v>
      </c>
      <c r="F8" s="292" t="s">
        <v>186</v>
      </c>
      <c r="G8" s="292" t="s">
        <v>1360</v>
      </c>
      <c r="H8" s="292" t="s">
        <v>351</v>
      </c>
      <c r="I8" s="292" t="s">
        <v>352</v>
      </c>
      <c r="J8" s="292" t="s">
        <v>515</v>
      </c>
      <c r="K8" s="292"/>
      <c r="L8" s="292" t="str">
        <f t="shared" ref="L8:L51" si="3">_xlfn.CONCAT(C8, "-",D8)</f>
        <v>PMO-PMO</v>
      </c>
      <c r="M8" s="292" t="str">
        <f t="shared" ref="M8:M51" si="4">_xlfn.CONCAT(U8,"-",V8,"-",F8,"-",T8)</f>
        <v>Technology-Principal-US-Consulting</v>
      </c>
      <c r="N8" s="292" t="str">
        <f t="shared" ref="N8:N51" si="5">_xlfn.CONCAT(D8," - ", U8)</f>
        <v>PMO - Technology</v>
      </c>
      <c r="O8" s="485">
        <f t="shared" ref="O8:O51" si="6">P8*W8</f>
        <v>0</v>
      </c>
      <c r="P8" s="474">
        <f t="shared" ref="P8:P51" si="7">SUM(X8:DN8)</f>
        <v>0</v>
      </c>
      <c r="Q8" s="474" t="str">
        <f t="shared" ref="Q8:Q21" si="8">_xlfn.CONCAT(U8, " - ",V8)</f>
        <v>Technology - Principal</v>
      </c>
      <c r="R8" s="474" t="str">
        <f>VLOOKUP(M8,'Rate Card'!$A$1:$D$674,4,FALSE())</f>
        <v>15+ years</v>
      </c>
      <c r="S8" s="474" t="str">
        <f t="shared" ref="S8:S21" si="9">IF(F8="US", "Onshore",IF(F8="India","Offshore", "Nearshore"))</f>
        <v>Onshore</v>
      </c>
      <c r="T8" s="292" t="s">
        <v>261</v>
      </c>
      <c r="U8" s="292" t="s">
        <v>259</v>
      </c>
      <c r="V8" s="292" t="s">
        <v>242</v>
      </c>
      <c r="W8" s="486">
        <f>IFERROR(VLOOKUP(M8,'Rate Card'!$A:$G,6,FALSE()),"combination not found")</f>
        <v>383</v>
      </c>
      <c r="X8" s="474"/>
      <c r="Y8" s="474"/>
      <c r="Z8" s="474"/>
      <c r="AA8" s="474"/>
      <c r="AB8" s="474"/>
      <c r="AC8" s="474"/>
      <c r="AD8" s="474"/>
      <c r="AE8" s="474"/>
      <c r="AF8" s="474"/>
      <c r="AG8" s="474"/>
      <c r="AH8" s="474"/>
      <c r="AI8" s="474"/>
      <c r="AJ8" s="474"/>
      <c r="AK8" s="474"/>
      <c r="AL8" s="474"/>
      <c r="AM8" s="474"/>
      <c r="AN8" s="474"/>
      <c r="AO8" s="474"/>
      <c r="AP8" s="474"/>
      <c r="AQ8" s="474"/>
      <c r="AR8" s="474"/>
      <c r="AS8" s="474"/>
      <c r="AT8" s="474"/>
      <c r="AU8" s="474"/>
      <c r="AV8" s="474"/>
      <c r="AW8" s="474"/>
      <c r="AX8" s="474"/>
      <c r="AY8" s="474"/>
      <c r="AZ8" s="474"/>
      <c r="BA8" s="474"/>
      <c r="BB8" s="474"/>
      <c r="BC8" s="474"/>
      <c r="BD8" s="474"/>
      <c r="BE8" s="474"/>
      <c r="BF8" s="474"/>
      <c r="BG8" s="474"/>
      <c r="BH8" s="474"/>
      <c r="BI8" s="474"/>
      <c r="BJ8" s="474"/>
      <c r="BK8" s="474"/>
      <c r="BL8" s="474"/>
      <c r="BM8" s="474"/>
      <c r="BN8" s="474"/>
      <c r="BO8" s="474"/>
      <c r="BP8" s="474"/>
      <c r="BQ8" s="474"/>
      <c r="BR8" s="474"/>
      <c r="BS8" s="474"/>
      <c r="BT8" s="474"/>
      <c r="BU8" s="474"/>
      <c r="BV8" s="474"/>
      <c r="BW8" s="474"/>
      <c r="BX8" s="474"/>
      <c r="BY8" s="474"/>
      <c r="BZ8" s="474"/>
      <c r="CA8" s="474"/>
      <c r="CB8" s="474"/>
      <c r="CC8" s="474"/>
      <c r="CD8" s="474"/>
      <c r="CE8" s="474"/>
      <c r="CF8" s="474"/>
      <c r="CG8" s="474"/>
      <c r="CH8" s="474"/>
      <c r="CI8" s="474"/>
      <c r="CJ8" s="474"/>
      <c r="CK8" s="474"/>
      <c r="CL8" s="474"/>
      <c r="CM8" s="474"/>
      <c r="CN8" s="474"/>
      <c r="CO8" s="474"/>
      <c r="CP8" s="474"/>
      <c r="CQ8" s="474"/>
      <c r="CR8" s="474"/>
      <c r="CS8" s="474"/>
      <c r="CT8" s="474"/>
      <c r="CU8" s="474"/>
      <c r="CV8" s="474"/>
      <c r="CW8" s="474"/>
      <c r="CX8" s="474"/>
      <c r="CY8" s="474"/>
      <c r="CZ8" s="474"/>
      <c r="DA8" s="474"/>
      <c r="DB8" s="474"/>
      <c r="DC8" s="292"/>
      <c r="DD8" s="292"/>
      <c r="DE8" s="292"/>
      <c r="DF8" s="292"/>
      <c r="DG8" s="474"/>
      <c r="DH8" s="474"/>
      <c r="DI8" s="474"/>
      <c r="DJ8" s="474"/>
      <c r="DK8" s="474"/>
      <c r="DL8" s="474"/>
      <c r="DM8" s="474"/>
      <c r="DN8" s="474"/>
      <c r="DO8" s="474"/>
      <c r="DP8" s="487">
        <f t="shared" ref="DP8:DY17" si="10">SUMIF($X$6:$DN$6,DP$7,$X8:$DN8)</f>
        <v>0</v>
      </c>
      <c r="DQ8" s="487">
        <f t="shared" si="10"/>
        <v>0</v>
      </c>
      <c r="DR8" s="487">
        <f t="shared" si="10"/>
        <v>0</v>
      </c>
      <c r="DS8" s="487">
        <f t="shared" si="10"/>
        <v>0</v>
      </c>
      <c r="DT8" s="487">
        <f t="shared" si="10"/>
        <v>0</v>
      </c>
      <c r="DU8" s="302">
        <f t="shared" si="10"/>
        <v>0</v>
      </c>
      <c r="DV8" s="302">
        <f t="shared" si="10"/>
        <v>0</v>
      </c>
      <c r="DW8" s="302">
        <f t="shared" si="10"/>
        <v>0</v>
      </c>
      <c r="DX8" s="302">
        <f t="shared" si="10"/>
        <v>0</v>
      </c>
      <c r="DY8" s="302">
        <f t="shared" si="10"/>
        <v>0</v>
      </c>
      <c r="DZ8" s="302">
        <f t="shared" ref="DZ8:EI17" si="11">SUMIF($X$6:$DN$6,DZ$7,$X8:$DN8)</f>
        <v>0</v>
      </c>
      <c r="EA8" s="302">
        <f t="shared" si="11"/>
        <v>0</v>
      </c>
      <c r="EB8" s="302">
        <f t="shared" si="11"/>
        <v>0</v>
      </c>
      <c r="EC8" s="302">
        <f t="shared" si="11"/>
        <v>0</v>
      </c>
      <c r="ED8" s="302">
        <f t="shared" si="11"/>
        <v>0</v>
      </c>
      <c r="EE8" s="302">
        <f t="shared" si="11"/>
        <v>0</v>
      </c>
      <c r="EF8" s="302">
        <f t="shared" si="11"/>
        <v>0</v>
      </c>
      <c r="EG8" s="302">
        <f t="shared" si="11"/>
        <v>0</v>
      </c>
      <c r="EH8" s="301">
        <f t="shared" si="11"/>
        <v>0</v>
      </c>
      <c r="EI8" s="301">
        <f t="shared" si="11"/>
        <v>0</v>
      </c>
      <c r="EJ8" s="301">
        <f t="shared" ref="EJ8:EO17" si="12">SUMIF($X$6:$DN$6,EJ$7,$X8:$DN8)</f>
        <v>0</v>
      </c>
      <c r="EK8" s="301">
        <f t="shared" si="12"/>
        <v>0</v>
      </c>
      <c r="EL8" s="301">
        <f t="shared" si="12"/>
        <v>0</v>
      </c>
      <c r="EM8" s="301">
        <f t="shared" si="12"/>
        <v>0</v>
      </c>
      <c r="EN8" s="301">
        <f t="shared" si="12"/>
        <v>0</v>
      </c>
      <c r="EO8" s="301">
        <f t="shared" si="12"/>
        <v>0</v>
      </c>
      <c r="EP8" s="488">
        <f t="shared" ref="EP8:EP42" si="13">SUM(DP8:EO8)</f>
        <v>0</v>
      </c>
      <c r="EQ8" s="305">
        <f t="shared" ref="EQ8:EQ42" si="14">EP8-P8</f>
        <v>0</v>
      </c>
    </row>
    <row r="9" spans="1:147" s="306" customFormat="1" ht="15.75" hidden="1" customHeight="1">
      <c r="A9" s="291"/>
      <c r="B9" s="292" t="s">
        <v>348</v>
      </c>
      <c r="C9" s="292" t="s">
        <v>53</v>
      </c>
      <c r="D9" s="292" t="s">
        <v>53</v>
      </c>
      <c r="E9" s="292" t="s">
        <v>356</v>
      </c>
      <c r="F9" s="292" t="s">
        <v>186</v>
      </c>
      <c r="G9" s="292" t="s">
        <v>1360</v>
      </c>
      <c r="H9" s="292" t="s">
        <v>351</v>
      </c>
      <c r="I9" s="292" t="s">
        <v>352</v>
      </c>
      <c r="J9" s="292" t="s">
        <v>357</v>
      </c>
      <c r="K9" s="292"/>
      <c r="L9" s="292" t="str">
        <f t="shared" si="3"/>
        <v>PMO-PMO</v>
      </c>
      <c r="M9" s="292" t="str">
        <f t="shared" si="4"/>
        <v>Technology-Managing Director-US-Consulting</v>
      </c>
      <c r="N9" s="292" t="str">
        <f t="shared" si="5"/>
        <v>PMO - Technology</v>
      </c>
      <c r="O9" s="485">
        <f t="shared" si="6"/>
        <v>38300</v>
      </c>
      <c r="P9" s="474">
        <f t="shared" si="7"/>
        <v>100</v>
      </c>
      <c r="Q9" s="474" t="str">
        <f t="shared" si="8"/>
        <v>Technology - Managing Director</v>
      </c>
      <c r="R9" s="474" t="str">
        <f>VLOOKUP(M9,'Rate Card'!$A$1:$D$674,4,FALSE())</f>
        <v>10-15 years</v>
      </c>
      <c r="S9" s="474" t="str">
        <f t="shared" si="9"/>
        <v>Onshore</v>
      </c>
      <c r="T9" s="292" t="s">
        <v>261</v>
      </c>
      <c r="U9" s="292" t="s">
        <v>259</v>
      </c>
      <c r="V9" s="292" t="s">
        <v>357</v>
      </c>
      <c r="W9" s="486">
        <f>IFERROR(VLOOKUP(M9,'Rate Card'!$A:$G,6,FALSE()),"combination not found")</f>
        <v>383</v>
      </c>
      <c r="X9" s="474"/>
      <c r="Y9" s="474"/>
      <c r="Z9" s="474"/>
      <c r="AA9" s="474"/>
      <c r="AB9" s="474"/>
      <c r="AC9" s="474"/>
      <c r="AD9" s="474"/>
      <c r="AE9" s="474"/>
      <c r="AF9" s="474"/>
      <c r="AG9" s="474"/>
      <c r="AH9" s="474"/>
      <c r="AI9" s="474"/>
      <c r="AJ9" s="474"/>
      <c r="AK9" s="474"/>
      <c r="AL9" s="474"/>
      <c r="AM9" s="474"/>
      <c r="AN9" s="474"/>
      <c r="AO9" s="474"/>
      <c r="AP9" s="474"/>
      <c r="AQ9" s="474"/>
      <c r="AR9" s="474"/>
      <c r="AS9" s="474">
        <v>2</v>
      </c>
      <c r="AT9" s="474">
        <v>2</v>
      </c>
      <c r="AU9" s="474">
        <v>2</v>
      </c>
      <c r="AV9" s="474">
        <v>2</v>
      </c>
      <c r="AW9" s="474">
        <v>2</v>
      </c>
      <c r="AX9" s="474">
        <v>2</v>
      </c>
      <c r="AY9" s="474">
        <v>2</v>
      </c>
      <c r="AZ9" s="474">
        <v>2</v>
      </c>
      <c r="BA9" s="474">
        <v>2</v>
      </c>
      <c r="BB9" s="474">
        <v>2</v>
      </c>
      <c r="BC9" s="474">
        <v>2</v>
      </c>
      <c r="BD9" s="474">
        <v>2</v>
      </c>
      <c r="BE9" s="474">
        <v>2</v>
      </c>
      <c r="BF9" s="474">
        <v>2</v>
      </c>
      <c r="BG9" s="474">
        <v>2</v>
      </c>
      <c r="BH9" s="474">
        <v>2</v>
      </c>
      <c r="BI9" s="474">
        <v>2</v>
      </c>
      <c r="BJ9" s="474">
        <v>2</v>
      </c>
      <c r="BK9" s="474">
        <v>2</v>
      </c>
      <c r="BL9" s="474">
        <v>2</v>
      </c>
      <c r="BM9" s="474">
        <v>2</v>
      </c>
      <c r="BN9" s="474">
        <v>2</v>
      </c>
      <c r="BO9" s="474">
        <v>2</v>
      </c>
      <c r="BP9" s="474">
        <v>2</v>
      </c>
      <c r="BQ9" s="474">
        <v>2</v>
      </c>
      <c r="BR9" s="474">
        <v>2</v>
      </c>
      <c r="BS9" s="474">
        <v>2</v>
      </c>
      <c r="BT9" s="474">
        <v>2</v>
      </c>
      <c r="BU9" s="474">
        <v>2</v>
      </c>
      <c r="BV9" s="474">
        <v>2</v>
      </c>
      <c r="BW9" s="474">
        <v>2</v>
      </c>
      <c r="BX9" s="474">
        <v>2</v>
      </c>
      <c r="BY9" s="474">
        <v>2</v>
      </c>
      <c r="BZ9" s="474">
        <v>2</v>
      </c>
      <c r="CA9" s="474">
        <v>2</v>
      </c>
      <c r="CB9" s="474">
        <v>2</v>
      </c>
      <c r="CC9" s="474">
        <v>2</v>
      </c>
      <c r="CD9" s="474">
        <v>2</v>
      </c>
      <c r="CE9" s="474">
        <v>2</v>
      </c>
      <c r="CF9" s="474">
        <v>2</v>
      </c>
      <c r="CG9" s="474">
        <v>2</v>
      </c>
      <c r="CH9" s="474">
        <v>2</v>
      </c>
      <c r="CI9" s="474">
        <v>2</v>
      </c>
      <c r="CJ9" s="474">
        <v>2</v>
      </c>
      <c r="CK9" s="474">
        <v>2</v>
      </c>
      <c r="CL9" s="474">
        <v>2</v>
      </c>
      <c r="CM9" s="474">
        <v>2</v>
      </c>
      <c r="CN9" s="474">
        <v>2</v>
      </c>
      <c r="CO9" s="474">
        <v>2</v>
      </c>
      <c r="CP9" s="474">
        <v>2</v>
      </c>
      <c r="CQ9" s="474"/>
      <c r="CR9" s="474"/>
      <c r="CS9" s="474"/>
      <c r="CT9" s="474"/>
      <c r="CU9" s="474"/>
      <c r="CV9" s="474"/>
      <c r="CW9" s="474"/>
      <c r="CX9" s="474"/>
      <c r="CY9" s="474"/>
      <c r="CZ9" s="474"/>
      <c r="DA9" s="474"/>
      <c r="DB9" s="474"/>
      <c r="DC9" s="292"/>
      <c r="DD9" s="292"/>
      <c r="DE9" s="292"/>
      <c r="DF9" s="292"/>
      <c r="DG9" s="474"/>
      <c r="DH9" s="474"/>
      <c r="DI9" s="474"/>
      <c r="DJ9" s="474"/>
      <c r="DK9" s="474"/>
      <c r="DL9" s="474"/>
      <c r="DM9" s="474"/>
      <c r="DN9" s="474"/>
      <c r="DO9" s="474"/>
      <c r="DP9" s="487">
        <f t="shared" si="10"/>
        <v>0</v>
      </c>
      <c r="DQ9" s="487">
        <f t="shared" si="10"/>
        <v>0</v>
      </c>
      <c r="DR9" s="487">
        <f t="shared" si="10"/>
        <v>0</v>
      </c>
      <c r="DS9" s="487">
        <f t="shared" si="10"/>
        <v>0</v>
      </c>
      <c r="DT9" s="487">
        <f t="shared" si="10"/>
        <v>0</v>
      </c>
      <c r="DU9" s="302">
        <f t="shared" si="10"/>
        <v>0</v>
      </c>
      <c r="DV9" s="302">
        <f t="shared" si="10"/>
        <v>0</v>
      </c>
      <c r="DW9" s="302">
        <f t="shared" si="10"/>
        <v>6</v>
      </c>
      <c r="DX9" s="302">
        <f t="shared" si="10"/>
        <v>8</v>
      </c>
      <c r="DY9" s="302">
        <f t="shared" si="10"/>
        <v>8</v>
      </c>
      <c r="DZ9" s="302">
        <f t="shared" si="11"/>
        <v>8</v>
      </c>
      <c r="EA9" s="302">
        <f t="shared" si="11"/>
        <v>8</v>
      </c>
      <c r="EB9" s="302">
        <f t="shared" si="11"/>
        <v>8</v>
      </c>
      <c r="EC9" s="302">
        <f t="shared" si="11"/>
        <v>8</v>
      </c>
      <c r="ED9" s="302">
        <f t="shared" si="11"/>
        <v>8</v>
      </c>
      <c r="EE9" s="302">
        <f t="shared" si="11"/>
        <v>8</v>
      </c>
      <c r="EF9" s="302">
        <f t="shared" si="11"/>
        <v>8</v>
      </c>
      <c r="EG9" s="302">
        <f t="shared" si="11"/>
        <v>8</v>
      </c>
      <c r="EH9" s="301">
        <f t="shared" si="11"/>
        <v>8</v>
      </c>
      <c r="EI9" s="301">
        <f t="shared" si="11"/>
        <v>6</v>
      </c>
      <c r="EJ9" s="301">
        <f t="shared" si="12"/>
        <v>0</v>
      </c>
      <c r="EK9" s="301">
        <f t="shared" si="12"/>
        <v>0</v>
      </c>
      <c r="EL9" s="301">
        <f t="shared" si="12"/>
        <v>0</v>
      </c>
      <c r="EM9" s="301">
        <f t="shared" si="12"/>
        <v>0</v>
      </c>
      <c r="EN9" s="301">
        <f t="shared" si="12"/>
        <v>0</v>
      </c>
      <c r="EO9" s="301">
        <f t="shared" si="12"/>
        <v>0</v>
      </c>
      <c r="EP9" s="488">
        <f t="shared" si="13"/>
        <v>100</v>
      </c>
      <c r="EQ9" s="305">
        <f t="shared" si="14"/>
        <v>0</v>
      </c>
    </row>
    <row r="10" spans="1:147" s="306" customFormat="1" ht="15.75" hidden="1" customHeight="1">
      <c r="A10" s="291"/>
      <c r="B10" s="292" t="s">
        <v>348</v>
      </c>
      <c r="C10" s="292" t="s">
        <v>53</v>
      </c>
      <c r="D10" s="292" t="s">
        <v>53</v>
      </c>
      <c r="E10" s="292" t="s">
        <v>1361</v>
      </c>
      <c r="F10" s="292" t="s">
        <v>1362</v>
      </c>
      <c r="G10" s="292" t="s">
        <v>1360</v>
      </c>
      <c r="H10" s="292" t="s">
        <v>351</v>
      </c>
      <c r="I10" s="292" t="s">
        <v>352</v>
      </c>
      <c r="J10" s="292" t="s">
        <v>357</v>
      </c>
      <c r="K10" s="292"/>
      <c r="L10" s="292" t="str">
        <f t="shared" si="3"/>
        <v>PMO-PMO</v>
      </c>
      <c r="M10" s="292" t="str">
        <f t="shared" si="4"/>
        <v>Technology-Managing Director-Malaysia-Consulting</v>
      </c>
      <c r="N10" s="292" t="str">
        <f t="shared" si="5"/>
        <v>PMO - Technology</v>
      </c>
      <c r="O10" s="485">
        <f t="shared" si="6"/>
        <v>0</v>
      </c>
      <c r="P10" s="474">
        <f t="shared" si="7"/>
        <v>0</v>
      </c>
      <c r="Q10" s="474" t="str">
        <f t="shared" si="8"/>
        <v>Technology - Managing Director</v>
      </c>
      <c r="R10" s="474" t="e">
        <f>VLOOKUP(M10,'Rate Card'!$A$1:$D$674,4,FALSE())</f>
        <v>#N/A</v>
      </c>
      <c r="S10" s="474" t="str">
        <f t="shared" si="9"/>
        <v>Nearshore</v>
      </c>
      <c r="T10" s="292" t="s">
        <v>261</v>
      </c>
      <c r="U10" s="292" t="s">
        <v>259</v>
      </c>
      <c r="V10" s="292" t="s">
        <v>357</v>
      </c>
      <c r="W10" s="489">
        <v>383</v>
      </c>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4"/>
      <c r="BD10" s="474"/>
      <c r="BE10" s="474"/>
      <c r="BF10" s="474"/>
      <c r="BG10" s="474"/>
      <c r="BH10" s="474"/>
      <c r="BI10" s="474"/>
      <c r="BJ10" s="474"/>
      <c r="BK10" s="474"/>
      <c r="BL10" s="474"/>
      <c r="BM10" s="474"/>
      <c r="BN10" s="474"/>
      <c r="BO10" s="474"/>
      <c r="BP10" s="474"/>
      <c r="BQ10" s="474"/>
      <c r="BR10" s="474"/>
      <c r="BS10" s="474"/>
      <c r="BT10" s="474"/>
      <c r="BU10" s="474"/>
      <c r="BV10" s="474"/>
      <c r="BW10" s="474"/>
      <c r="BX10" s="474"/>
      <c r="BY10" s="474"/>
      <c r="BZ10" s="474"/>
      <c r="CA10" s="474"/>
      <c r="CB10" s="474"/>
      <c r="CC10" s="474"/>
      <c r="CD10" s="474"/>
      <c r="CE10" s="474"/>
      <c r="CF10" s="474"/>
      <c r="CG10" s="474"/>
      <c r="CH10" s="474"/>
      <c r="CI10" s="474"/>
      <c r="CJ10" s="474"/>
      <c r="CK10" s="474"/>
      <c r="CL10" s="474"/>
      <c r="CM10" s="474"/>
      <c r="CN10" s="474"/>
      <c r="CO10" s="474"/>
      <c r="CP10" s="474"/>
      <c r="CQ10" s="474"/>
      <c r="CR10" s="474"/>
      <c r="CS10" s="474"/>
      <c r="CT10" s="474"/>
      <c r="CU10" s="474"/>
      <c r="CV10" s="474"/>
      <c r="CW10" s="474"/>
      <c r="CX10" s="474"/>
      <c r="CY10" s="474"/>
      <c r="CZ10" s="474"/>
      <c r="DA10" s="474"/>
      <c r="DB10" s="474"/>
      <c r="DC10" s="292"/>
      <c r="DD10" s="292"/>
      <c r="DE10" s="292"/>
      <c r="DF10" s="292"/>
      <c r="DG10" s="474"/>
      <c r="DH10" s="474"/>
      <c r="DI10" s="474"/>
      <c r="DJ10" s="474"/>
      <c r="DK10" s="474"/>
      <c r="DL10" s="474"/>
      <c r="DM10" s="474"/>
      <c r="DN10" s="474"/>
      <c r="DO10" s="474"/>
      <c r="DP10" s="487">
        <f t="shared" si="10"/>
        <v>0</v>
      </c>
      <c r="DQ10" s="487">
        <f t="shared" si="10"/>
        <v>0</v>
      </c>
      <c r="DR10" s="487">
        <f t="shared" si="10"/>
        <v>0</v>
      </c>
      <c r="DS10" s="487">
        <f t="shared" si="10"/>
        <v>0</v>
      </c>
      <c r="DT10" s="487">
        <f t="shared" si="10"/>
        <v>0</v>
      </c>
      <c r="DU10" s="302">
        <f t="shared" si="10"/>
        <v>0</v>
      </c>
      <c r="DV10" s="302">
        <f t="shared" si="10"/>
        <v>0</v>
      </c>
      <c r="DW10" s="302">
        <f t="shared" si="10"/>
        <v>0</v>
      </c>
      <c r="DX10" s="302">
        <f t="shared" si="10"/>
        <v>0</v>
      </c>
      <c r="DY10" s="302">
        <f t="shared" si="10"/>
        <v>0</v>
      </c>
      <c r="DZ10" s="302">
        <f t="shared" si="11"/>
        <v>0</v>
      </c>
      <c r="EA10" s="302">
        <f t="shared" si="11"/>
        <v>0</v>
      </c>
      <c r="EB10" s="302">
        <f t="shared" si="11"/>
        <v>0</v>
      </c>
      <c r="EC10" s="302">
        <f t="shared" si="11"/>
        <v>0</v>
      </c>
      <c r="ED10" s="302">
        <f t="shared" si="11"/>
        <v>0</v>
      </c>
      <c r="EE10" s="302">
        <f t="shared" si="11"/>
        <v>0</v>
      </c>
      <c r="EF10" s="302">
        <f t="shared" si="11"/>
        <v>0</v>
      </c>
      <c r="EG10" s="302">
        <f t="shared" si="11"/>
        <v>0</v>
      </c>
      <c r="EH10" s="301">
        <f t="shared" si="11"/>
        <v>0</v>
      </c>
      <c r="EI10" s="301">
        <f t="shared" si="11"/>
        <v>0</v>
      </c>
      <c r="EJ10" s="301">
        <f t="shared" si="12"/>
        <v>0</v>
      </c>
      <c r="EK10" s="301">
        <f t="shared" si="12"/>
        <v>0</v>
      </c>
      <c r="EL10" s="301">
        <f t="shared" si="12"/>
        <v>0</v>
      </c>
      <c r="EM10" s="301">
        <f t="shared" si="12"/>
        <v>0</v>
      </c>
      <c r="EN10" s="301">
        <f t="shared" si="12"/>
        <v>0</v>
      </c>
      <c r="EO10" s="301">
        <f t="shared" si="12"/>
        <v>0</v>
      </c>
      <c r="EP10" s="488">
        <f t="shared" si="13"/>
        <v>0</v>
      </c>
      <c r="EQ10" s="305">
        <f t="shared" si="14"/>
        <v>0</v>
      </c>
    </row>
    <row r="11" spans="1:147" s="306" customFormat="1" ht="15.75" hidden="1" customHeight="1">
      <c r="A11" s="291"/>
      <c r="B11" s="292" t="s">
        <v>348</v>
      </c>
      <c r="C11" s="292" t="s">
        <v>53</v>
      </c>
      <c r="D11" s="292" t="s">
        <v>53</v>
      </c>
      <c r="E11" s="292" t="s">
        <v>774</v>
      </c>
      <c r="F11" s="292" t="s">
        <v>186</v>
      </c>
      <c r="G11" s="292" t="s">
        <v>1360</v>
      </c>
      <c r="H11" s="292" t="s">
        <v>351</v>
      </c>
      <c r="I11" s="292" t="s">
        <v>352</v>
      </c>
      <c r="J11" s="292" t="s">
        <v>1363</v>
      </c>
      <c r="K11" s="292"/>
      <c r="L11" s="292" t="str">
        <f t="shared" si="3"/>
        <v>PMO-PMO</v>
      </c>
      <c r="M11" s="292" t="str">
        <f t="shared" si="4"/>
        <v>Technology-Senior Manager-US-Consulting</v>
      </c>
      <c r="N11" s="292" t="str">
        <f t="shared" si="5"/>
        <v>PMO - Technology</v>
      </c>
      <c r="O11" s="485">
        <f t="shared" si="6"/>
        <v>547200</v>
      </c>
      <c r="P11" s="474">
        <f t="shared" si="7"/>
        <v>1600</v>
      </c>
      <c r="Q11" s="474" t="str">
        <f t="shared" si="8"/>
        <v>Technology - Senior Manager</v>
      </c>
      <c r="R11" s="474" t="str">
        <f>VLOOKUP(M11,'Rate Card'!$A$1:$D$674,4,FALSE())</f>
        <v>7-10 years</v>
      </c>
      <c r="S11" s="474" t="str">
        <f t="shared" si="9"/>
        <v>Onshore</v>
      </c>
      <c r="T11" s="292" t="s">
        <v>261</v>
      </c>
      <c r="U11" s="292" t="s">
        <v>259</v>
      </c>
      <c r="V11" s="292" t="s">
        <v>361</v>
      </c>
      <c r="W11" s="486">
        <f>IFERROR(VLOOKUP(M11,'Rate Card'!$A:$G,6,FALSE()),"combination not found")</f>
        <v>342</v>
      </c>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5">
        <v>32</v>
      </c>
      <c r="AT11" s="475">
        <v>32</v>
      </c>
      <c r="AU11" s="475">
        <v>32</v>
      </c>
      <c r="AV11" s="475">
        <v>32</v>
      </c>
      <c r="AW11" s="475">
        <v>32</v>
      </c>
      <c r="AX11" s="475">
        <v>32</v>
      </c>
      <c r="AY11" s="475">
        <v>32</v>
      </c>
      <c r="AZ11" s="475">
        <v>32</v>
      </c>
      <c r="BA11" s="475">
        <v>32</v>
      </c>
      <c r="BB11" s="475">
        <v>32</v>
      </c>
      <c r="BC11" s="475">
        <v>32</v>
      </c>
      <c r="BD11" s="475">
        <v>32</v>
      </c>
      <c r="BE11" s="475">
        <v>32</v>
      </c>
      <c r="BF11" s="475">
        <v>32</v>
      </c>
      <c r="BG11" s="475">
        <v>32</v>
      </c>
      <c r="BH11" s="475">
        <v>32</v>
      </c>
      <c r="BI11" s="475">
        <v>32</v>
      </c>
      <c r="BJ11" s="475">
        <v>32</v>
      </c>
      <c r="BK11" s="475">
        <v>32</v>
      </c>
      <c r="BL11" s="475">
        <v>32</v>
      </c>
      <c r="BM11" s="475">
        <v>32</v>
      </c>
      <c r="BN11" s="475">
        <v>32</v>
      </c>
      <c r="BO11" s="475">
        <v>32</v>
      </c>
      <c r="BP11" s="475">
        <v>32</v>
      </c>
      <c r="BQ11" s="475">
        <v>32</v>
      </c>
      <c r="BR11" s="475">
        <v>32</v>
      </c>
      <c r="BS11" s="475">
        <v>32</v>
      </c>
      <c r="BT11" s="475">
        <v>32</v>
      </c>
      <c r="BU11" s="475">
        <v>32</v>
      </c>
      <c r="BV11" s="475">
        <v>32</v>
      </c>
      <c r="BW11" s="475">
        <v>32</v>
      </c>
      <c r="BX11" s="475">
        <v>32</v>
      </c>
      <c r="BY11" s="475">
        <v>32</v>
      </c>
      <c r="BZ11" s="475">
        <v>32</v>
      </c>
      <c r="CA11" s="475">
        <v>32</v>
      </c>
      <c r="CB11" s="475">
        <v>32</v>
      </c>
      <c r="CC11" s="475">
        <v>32</v>
      </c>
      <c r="CD11" s="475">
        <v>32</v>
      </c>
      <c r="CE11" s="475">
        <v>32</v>
      </c>
      <c r="CF11" s="475">
        <v>32</v>
      </c>
      <c r="CG11" s="475">
        <v>32</v>
      </c>
      <c r="CH11" s="475">
        <v>32</v>
      </c>
      <c r="CI11" s="475">
        <v>32</v>
      </c>
      <c r="CJ11" s="475">
        <v>32</v>
      </c>
      <c r="CK11" s="475">
        <v>32</v>
      </c>
      <c r="CL11" s="475">
        <v>32</v>
      </c>
      <c r="CM11" s="475">
        <v>32</v>
      </c>
      <c r="CN11" s="475">
        <v>32</v>
      </c>
      <c r="CO11" s="475">
        <v>32</v>
      </c>
      <c r="CP11" s="475">
        <v>32</v>
      </c>
      <c r="CQ11" s="474"/>
      <c r="CR11" s="474"/>
      <c r="CS11" s="474"/>
      <c r="CT11" s="474"/>
      <c r="CU11" s="474"/>
      <c r="CV11" s="474"/>
      <c r="CW11" s="474"/>
      <c r="CX11" s="474"/>
      <c r="CY11" s="474"/>
      <c r="CZ11" s="474"/>
      <c r="DA11" s="474"/>
      <c r="DB11" s="474"/>
      <c r="DC11" s="292"/>
      <c r="DD11" s="292"/>
      <c r="DE11" s="292"/>
      <c r="DF11" s="292"/>
      <c r="DG11" s="474"/>
      <c r="DH11" s="474"/>
      <c r="DI11" s="474"/>
      <c r="DJ11" s="474"/>
      <c r="DK11" s="474"/>
      <c r="DL11" s="474"/>
      <c r="DM11" s="474"/>
      <c r="DN11" s="474"/>
      <c r="DO11" s="474"/>
      <c r="DP11" s="487">
        <f t="shared" si="10"/>
        <v>0</v>
      </c>
      <c r="DQ11" s="487">
        <f t="shared" si="10"/>
        <v>0</v>
      </c>
      <c r="DR11" s="487">
        <f t="shared" si="10"/>
        <v>0</v>
      </c>
      <c r="DS11" s="487">
        <f t="shared" si="10"/>
        <v>0</v>
      </c>
      <c r="DT11" s="487">
        <f t="shared" si="10"/>
        <v>0</v>
      </c>
      <c r="DU11" s="302">
        <f t="shared" si="10"/>
        <v>0</v>
      </c>
      <c r="DV11" s="302">
        <f t="shared" si="10"/>
        <v>0</v>
      </c>
      <c r="DW11" s="302">
        <f t="shared" si="10"/>
        <v>96</v>
      </c>
      <c r="DX11" s="302">
        <f t="shared" si="10"/>
        <v>128</v>
      </c>
      <c r="DY11" s="302">
        <f t="shared" si="10"/>
        <v>128</v>
      </c>
      <c r="DZ11" s="302">
        <f t="shared" si="11"/>
        <v>128</v>
      </c>
      <c r="EA11" s="302">
        <f t="shared" si="11"/>
        <v>128</v>
      </c>
      <c r="EB11" s="302">
        <f t="shared" si="11"/>
        <v>128</v>
      </c>
      <c r="EC11" s="302">
        <f t="shared" si="11"/>
        <v>128</v>
      </c>
      <c r="ED11" s="302">
        <f t="shared" si="11"/>
        <v>128</v>
      </c>
      <c r="EE11" s="302">
        <f t="shared" si="11"/>
        <v>128</v>
      </c>
      <c r="EF11" s="302">
        <f t="shared" si="11"/>
        <v>128</v>
      </c>
      <c r="EG11" s="302">
        <f t="shared" si="11"/>
        <v>128</v>
      </c>
      <c r="EH11" s="301">
        <f t="shared" si="11"/>
        <v>128</v>
      </c>
      <c r="EI11" s="301">
        <f t="shared" si="11"/>
        <v>96</v>
      </c>
      <c r="EJ11" s="301">
        <f t="shared" si="12"/>
        <v>0</v>
      </c>
      <c r="EK11" s="301">
        <f t="shared" si="12"/>
        <v>0</v>
      </c>
      <c r="EL11" s="301">
        <f t="shared" si="12"/>
        <v>0</v>
      </c>
      <c r="EM11" s="301">
        <f t="shared" si="12"/>
        <v>0</v>
      </c>
      <c r="EN11" s="301">
        <f t="shared" si="12"/>
        <v>0</v>
      </c>
      <c r="EO11" s="301">
        <f t="shared" si="12"/>
        <v>0</v>
      </c>
      <c r="EP11" s="488">
        <f t="shared" si="13"/>
        <v>1600</v>
      </c>
      <c r="EQ11" s="305">
        <f t="shared" si="14"/>
        <v>0</v>
      </c>
    </row>
    <row r="12" spans="1:147" s="306" customFormat="1" ht="15.75" hidden="1" customHeight="1">
      <c r="A12" s="291"/>
      <c r="B12" s="292" t="s">
        <v>348</v>
      </c>
      <c r="C12" s="292" t="s">
        <v>53</v>
      </c>
      <c r="D12" s="292" t="s">
        <v>53</v>
      </c>
      <c r="E12" s="292" t="s">
        <v>365</v>
      </c>
      <c r="F12" s="292" t="s">
        <v>184</v>
      </c>
      <c r="G12" s="292" t="s">
        <v>1364</v>
      </c>
      <c r="H12" s="292" t="s">
        <v>351</v>
      </c>
      <c r="I12" s="292" t="s">
        <v>352</v>
      </c>
      <c r="J12" s="292" t="s">
        <v>357</v>
      </c>
      <c r="K12" s="292"/>
      <c r="L12" s="292" t="str">
        <f t="shared" si="3"/>
        <v>PMO-PMO</v>
      </c>
      <c r="M12" s="292" t="str">
        <f t="shared" si="4"/>
        <v>Technology-Principal-India-Consulting</v>
      </c>
      <c r="N12" s="292" t="str">
        <f t="shared" si="5"/>
        <v>PMO - Technology</v>
      </c>
      <c r="O12" s="485">
        <f t="shared" si="6"/>
        <v>36000</v>
      </c>
      <c r="P12" s="474">
        <f t="shared" si="7"/>
        <v>200</v>
      </c>
      <c r="Q12" s="474" t="str">
        <f t="shared" si="8"/>
        <v>Technology - Principal</v>
      </c>
      <c r="R12" s="474" t="str">
        <f>VLOOKUP(M12,'Rate Card'!$A$1:$D$674,4,FALSE())</f>
        <v>15+ years</v>
      </c>
      <c r="S12" s="474" t="str">
        <f t="shared" si="9"/>
        <v>Offshore</v>
      </c>
      <c r="T12" s="292" t="s">
        <v>261</v>
      </c>
      <c r="U12" s="292" t="s">
        <v>259</v>
      </c>
      <c r="V12" s="292" t="s">
        <v>242</v>
      </c>
      <c r="W12" s="486">
        <f>IFERROR(VLOOKUP(M12,'Rate Card'!$A:$G,6,FALSE()),"combination not found")</f>
        <v>180</v>
      </c>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v>4</v>
      </c>
      <c r="AT12" s="474">
        <v>4</v>
      </c>
      <c r="AU12" s="474">
        <v>4</v>
      </c>
      <c r="AV12" s="474">
        <v>4</v>
      </c>
      <c r="AW12" s="474">
        <v>4</v>
      </c>
      <c r="AX12" s="474">
        <v>4</v>
      </c>
      <c r="AY12" s="474">
        <v>4</v>
      </c>
      <c r="AZ12" s="474">
        <v>4</v>
      </c>
      <c r="BA12" s="474">
        <v>4</v>
      </c>
      <c r="BB12" s="474">
        <v>4</v>
      </c>
      <c r="BC12" s="474">
        <v>4</v>
      </c>
      <c r="BD12" s="474">
        <v>4</v>
      </c>
      <c r="BE12" s="474">
        <v>4</v>
      </c>
      <c r="BF12" s="474">
        <v>4</v>
      </c>
      <c r="BG12" s="474">
        <v>4</v>
      </c>
      <c r="BH12" s="474">
        <v>4</v>
      </c>
      <c r="BI12" s="474">
        <v>4</v>
      </c>
      <c r="BJ12" s="474">
        <v>4</v>
      </c>
      <c r="BK12" s="474">
        <v>4</v>
      </c>
      <c r="BL12" s="474">
        <v>4</v>
      </c>
      <c r="BM12" s="474">
        <v>4</v>
      </c>
      <c r="BN12" s="474">
        <v>4</v>
      </c>
      <c r="BO12" s="474">
        <v>4</v>
      </c>
      <c r="BP12" s="474">
        <v>4</v>
      </c>
      <c r="BQ12" s="474">
        <v>4</v>
      </c>
      <c r="BR12" s="474">
        <v>4</v>
      </c>
      <c r="BS12" s="474">
        <v>4</v>
      </c>
      <c r="BT12" s="474">
        <v>4</v>
      </c>
      <c r="BU12" s="474">
        <v>4</v>
      </c>
      <c r="BV12" s="474">
        <v>4</v>
      </c>
      <c r="BW12" s="474">
        <v>4</v>
      </c>
      <c r="BX12" s="474">
        <v>4</v>
      </c>
      <c r="BY12" s="474">
        <v>4</v>
      </c>
      <c r="BZ12" s="474">
        <v>4</v>
      </c>
      <c r="CA12" s="474">
        <v>4</v>
      </c>
      <c r="CB12" s="474">
        <v>4</v>
      </c>
      <c r="CC12" s="474">
        <v>4</v>
      </c>
      <c r="CD12" s="474">
        <v>4</v>
      </c>
      <c r="CE12" s="474">
        <v>4</v>
      </c>
      <c r="CF12" s="474">
        <v>4</v>
      </c>
      <c r="CG12" s="474">
        <v>4</v>
      </c>
      <c r="CH12" s="474">
        <v>4</v>
      </c>
      <c r="CI12" s="474">
        <v>4</v>
      </c>
      <c r="CJ12" s="474">
        <v>4</v>
      </c>
      <c r="CK12" s="474">
        <v>4</v>
      </c>
      <c r="CL12" s="474">
        <v>4</v>
      </c>
      <c r="CM12" s="474">
        <v>4</v>
      </c>
      <c r="CN12" s="474">
        <v>4</v>
      </c>
      <c r="CO12" s="474">
        <v>4</v>
      </c>
      <c r="CP12" s="474">
        <v>4</v>
      </c>
      <c r="CQ12" s="474"/>
      <c r="CR12" s="474"/>
      <c r="CS12" s="474"/>
      <c r="CT12" s="474"/>
      <c r="CU12" s="474"/>
      <c r="CV12" s="474"/>
      <c r="CW12" s="474"/>
      <c r="CX12" s="474"/>
      <c r="CY12" s="474"/>
      <c r="CZ12" s="474"/>
      <c r="DA12" s="474"/>
      <c r="DB12" s="474"/>
      <c r="DC12" s="292"/>
      <c r="DD12" s="292"/>
      <c r="DE12" s="292"/>
      <c r="DF12" s="292"/>
      <c r="DG12" s="474"/>
      <c r="DH12" s="474"/>
      <c r="DI12" s="474"/>
      <c r="DJ12" s="474"/>
      <c r="DK12" s="474"/>
      <c r="DL12" s="474"/>
      <c r="DM12" s="474"/>
      <c r="DN12" s="474"/>
      <c r="DO12" s="474"/>
      <c r="DP12" s="487">
        <f t="shared" si="10"/>
        <v>0</v>
      </c>
      <c r="DQ12" s="487">
        <f t="shared" si="10"/>
        <v>0</v>
      </c>
      <c r="DR12" s="487">
        <f t="shared" si="10"/>
        <v>0</v>
      </c>
      <c r="DS12" s="487">
        <f t="shared" si="10"/>
        <v>0</v>
      </c>
      <c r="DT12" s="487">
        <f t="shared" si="10"/>
        <v>0</v>
      </c>
      <c r="DU12" s="302">
        <f t="shared" si="10"/>
        <v>0</v>
      </c>
      <c r="DV12" s="302">
        <f t="shared" si="10"/>
        <v>0</v>
      </c>
      <c r="DW12" s="302">
        <f t="shared" si="10"/>
        <v>12</v>
      </c>
      <c r="DX12" s="302">
        <f t="shared" si="10"/>
        <v>16</v>
      </c>
      <c r="DY12" s="302">
        <f t="shared" si="10"/>
        <v>16</v>
      </c>
      <c r="DZ12" s="302">
        <f t="shared" si="11"/>
        <v>16</v>
      </c>
      <c r="EA12" s="302">
        <f t="shared" si="11"/>
        <v>16</v>
      </c>
      <c r="EB12" s="302">
        <f t="shared" si="11"/>
        <v>16</v>
      </c>
      <c r="EC12" s="302">
        <f t="shared" si="11"/>
        <v>16</v>
      </c>
      <c r="ED12" s="302">
        <f t="shared" si="11"/>
        <v>16</v>
      </c>
      <c r="EE12" s="302">
        <f t="shared" si="11"/>
        <v>16</v>
      </c>
      <c r="EF12" s="302">
        <f t="shared" si="11"/>
        <v>16</v>
      </c>
      <c r="EG12" s="302">
        <f t="shared" si="11"/>
        <v>16</v>
      </c>
      <c r="EH12" s="301">
        <f t="shared" si="11"/>
        <v>16</v>
      </c>
      <c r="EI12" s="301">
        <f t="shared" si="11"/>
        <v>12</v>
      </c>
      <c r="EJ12" s="301">
        <f t="shared" si="12"/>
        <v>0</v>
      </c>
      <c r="EK12" s="301">
        <f t="shared" si="12"/>
        <v>0</v>
      </c>
      <c r="EL12" s="301">
        <f t="shared" si="12"/>
        <v>0</v>
      </c>
      <c r="EM12" s="301">
        <f t="shared" si="12"/>
        <v>0</v>
      </c>
      <c r="EN12" s="301">
        <f t="shared" si="12"/>
        <v>0</v>
      </c>
      <c r="EO12" s="301">
        <f t="shared" si="12"/>
        <v>0</v>
      </c>
      <c r="EP12" s="488">
        <f t="shared" si="13"/>
        <v>200</v>
      </c>
      <c r="EQ12" s="305">
        <f t="shared" si="14"/>
        <v>0</v>
      </c>
    </row>
    <row r="13" spans="1:147" s="306" customFormat="1" ht="15" hidden="1" customHeight="1">
      <c r="A13" s="291"/>
      <c r="B13" s="292" t="s">
        <v>348</v>
      </c>
      <c r="C13" s="292" t="s">
        <v>53</v>
      </c>
      <c r="D13" s="292" t="s">
        <v>53</v>
      </c>
      <c r="E13" s="292" t="s">
        <v>366</v>
      </c>
      <c r="F13" s="292" t="s">
        <v>184</v>
      </c>
      <c r="G13" s="292" t="s">
        <v>1364</v>
      </c>
      <c r="H13" s="292" t="s">
        <v>351</v>
      </c>
      <c r="I13" s="292" t="s">
        <v>352</v>
      </c>
      <c r="J13" s="292" t="s">
        <v>1363</v>
      </c>
      <c r="K13" s="292"/>
      <c r="L13" s="292" t="str">
        <f t="shared" si="3"/>
        <v>PMO-PMO</v>
      </c>
      <c r="M13" s="292" t="str">
        <f t="shared" si="4"/>
        <v>Technology-Senior Manager-India-Consulting</v>
      </c>
      <c r="N13" s="292" t="str">
        <f t="shared" si="5"/>
        <v>PMO - Technology</v>
      </c>
      <c r="O13" s="485">
        <f t="shared" si="6"/>
        <v>214400</v>
      </c>
      <c r="P13" s="474">
        <f t="shared" si="7"/>
        <v>1600</v>
      </c>
      <c r="Q13" s="474" t="str">
        <f t="shared" si="8"/>
        <v>Technology - Senior Manager</v>
      </c>
      <c r="R13" s="474" t="str">
        <f>VLOOKUP(M13,'Rate Card'!$A$1:$D$674,4,FALSE())</f>
        <v>7-10 years</v>
      </c>
      <c r="S13" s="474" t="str">
        <f t="shared" si="9"/>
        <v>Offshore</v>
      </c>
      <c r="T13" s="292" t="s">
        <v>261</v>
      </c>
      <c r="U13" s="292" t="s">
        <v>259</v>
      </c>
      <c r="V13" s="292" t="s">
        <v>361</v>
      </c>
      <c r="W13" s="486">
        <f>IFERROR(VLOOKUP(M13,'Rate Card'!$A:$G,6,FALSE()),"combination not found")</f>
        <v>134</v>
      </c>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v>32</v>
      </c>
      <c r="AT13" s="474">
        <v>32</v>
      </c>
      <c r="AU13" s="474">
        <v>32</v>
      </c>
      <c r="AV13" s="474">
        <v>32</v>
      </c>
      <c r="AW13" s="474">
        <v>32</v>
      </c>
      <c r="AX13" s="474">
        <v>32</v>
      </c>
      <c r="AY13" s="474">
        <v>32</v>
      </c>
      <c r="AZ13" s="474">
        <v>32</v>
      </c>
      <c r="BA13" s="474">
        <v>32</v>
      </c>
      <c r="BB13" s="474">
        <v>32</v>
      </c>
      <c r="BC13" s="474">
        <v>32</v>
      </c>
      <c r="BD13" s="474">
        <v>32</v>
      </c>
      <c r="BE13" s="474">
        <v>32</v>
      </c>
      <c r="BF13" s="474">
        <v>32</v>
      </c>
      <c r="BG13" s="474">
        <v>32</v>
      </c>
      <c r="BH13" s="474">
        <v>32</v>
      </c>
      <c r="BI13" s="474">
        <v>32</v>
      </c>
      <c r="BJ13" s="474">
        <v>32</v>
      </c>
      <c r="BK13" s="474">
        <v>32</v>
      </c>
      <c r="BL13" s="474">
        <v>32</v>
      </c>
      <c r="BM13" s="474">
        <v>32</v>
      </c>
      <c r="BN13" s="474">
        <v>32</v>
      </c>
      <c r="BO13" s="474">
        <v>32</v>
      </c>
      <c r="BP13" s="474">
        <v>32</v>
      </c>
      <c r="BQ13" s="474">
        <v>32</v>
      </c>
      <c r="BR13" s="474">
        <v>32</v>
      </c>
      <c r="BS13" s="474">
        <v>32</v>
      </c>
      <c r="BT13" s="474">
        <v>32</v>
      </c>
      <c r="BU13" s="474">
        <v>32</v>
      </c>
      <c r="BV13" s="474">
        <v>32</v>
      </c>
      <c r="BW13" s="474">
        <v>32</v>
      </c>
      <c r="BX13" s="474">
        <v>32</v>
      </c>
      <c r="BY13" s="474">
        <v>32</v>
      </c>
      <c r="BZ13" s="474">
        <v>32</v>
      </c>
      <c r="CA13" s="474">
        <v>32</v>
      </c>
      <c r="CB13" s="474">
        <v>32</v>
      </c>
      <c r="CC13" s="474">
        <v>32</v>
      </c>
      <c r="CD13" s="474">
        <v>32</v>
      </c>
      <c r="CE13" s="474">
        <v>32</v>
      </c>
      <c r="CF13" s="474">
        <v>32</v>
      </c>
      <c r="CG13" s="474">
        <v>32</v>
      </c>
      <c r="CH13" s="474">
        <v>32</v>
      </c>
      <c r="CI13" s="474">
        <v>32</v>
      </c>
      <c r="CJ13" s="474">
        <v>32</v>
      </c>
      <c r="CK13" s="474">
        <v>32</v>
      </c>
      <c r="CL13" s="474">
        <v>32</v>
      </c>
      <c r="CM13" s="474">
        <v>32</v>
      </c>
      <c r="CN13" s="474">
        <v>32</v>
      </c>
      <c r="CO13" s="474">
        <v>32</v>
      </c>
      <c r="CP13" s="474">
        <v>32</v>
      </c>
      <c r="CQ13" s="474"/>
      <c r="CR13" s="474"/>
      <c r="CS13" s="474"/>
      <c r="CT13" s="292"/>
      <c r="CU13" s="292"/>
      <c r="CV13" s="292"/>
      <c r="CW13" s="292"/>
      <c r="CX13" s="474"/>
      <c r="CY13" s="474"/>
      <c r="CZ13" s="474"/>
      <c r="DA13" s="474"/>
      <c r="DB13" s="474"/>
      <c r="DC13" s="292"/>
      <c r="DD13" s="292"/>
      <c r="DE13" s="292"/>
      <c r="DF13" s="292"/>
      <c r="DG13" s="474"/>
      <c r="DH13" s="474"/>
      <c r="DI13" s="474"/>
      <c r="DJ13" s="474"/>
      <c r="DK13" s="474"/>
      <c r="DL13" s="474"/>
      <c r="DM13" s="474"/>
      <c r="DN13" s="474"/>
      <c r="DO13" s="474"/>
      <c r="DP13" s="487">
        <f t="shared" si="10"/>
        <v>0</v>
      </c>
      <c r="DQ13" s="487">
        <f t="shared" si="10"/>
        <v>0</v>
      </c>
      <c r="DR13" s="487">
        <f t="shared" si="10"/>
        <v>0</v>
      </c>
      <c r="DS13" s="487">
        <f t="shared" si="10"/>
        <v>0</v>
      </c>
      <c r="DT13" s="487">
        <f t="shared" si="10"/>
        <v>0</v>
      </c>
      <c r="DU13" s="302">
        <f t="shared" si="10"/>
        <v>0</v>
      </c>
      <c r="DV13" s="302">
        <f t="shared" si="10"/>
        <v>0</v>
      </c>
      <c r="DW13" s="302">
        <f t="shared" si="10"/>
        <v>96</v>
      </c>
      <c r="DX13" s="302">
        <f t="shared" si="10"/>
        <v>128</v>
      </c>
      <c r="DY13" s="302">
        <f t="shared" si="10"/>
        <v>128</v>
      </c>
      <c r="DZ13" s="302">
        <f t="shared" si="11"/>
        <v>128</v>
      </c>
      <c r="EA13" s="302">
        <f t="shared" si="11"/>
        <v>128</v>
      </c>
      <c r="EB13" s="302">
        <f t="shared" si="11"/>
        <v>128</v>
      </c>
      <c r="EC13" s="302">
        <f t="shared" si="11"/>
        <v>128</v>
      </c>
      <c r="ED13" s="302">
        <f t="shared" si="11"/>
        <v>128</v>
      </c>
      <c r="EE13" s="302">
        <f t="shared" si="11"/>
        <v>128</v>
      </c>
      <c r="EF13" s="302">
        <f t="shared" si="11"/>
        <v>128</v>
      </c>
      <c r="EG13" s="302">
        <f t="shared" si="11"/>
        <v>128</v>
      </c>
      <c r="EH13" s="301">
        <f t="shared" si="11"/>
        <v>128</v>
      </c>
      <c r="EI13" s="301">
        <f t="shared" si="11"/>
        <v>96</v>
      </c>
      <c r="EJ13" s="301">
        <f t="shared" si="12"/>
        <v>0</v>
      </c>
      <c r="EK13" s="301">
        <f t="shared" si="12"/>
        <v>0</v>
      </c>
      <c r="EL13" s="301">
        <f t="shared" si="12"/>
        <v>0</v>
      </c>
      <c r="EM13" s="301">
        <f t="shared" si="12"/>
        <v>0</v>
      </c>
      <c r="EN13" s="301">
        <f t="shared" si="12"/>
        <v>0</v>
      </c>
      <c r="EO13" s="301">
        <f t="shared" si="12"/>
        <v>0</v>
      </c>
      <c r="EP13" s="488">
        <f t="shared" si="13"/>
        <v>1600</v>
      </c>
      <c r="EQ13" s="305">
        <f t="shared" si="14"/>
        <v>0</v>
      </c>
    </row>
    <row r="14" spans="1:147" s="306" customFormat="1" ht="15" hidden="1" customHeight="1">
      <c r="A14" s="291"/>
      <c r="B14" s="292" t="s">
        <v>348</v>
      </c>
      <c r="C14" s="292" t="s">
        <v>53</v>
      </c>
      <c r="D14" s="292" t="s">
        <v>53</v>
      </c>
      <c r="E14" s="292" t="s">
        <v>362</v>
      </c>
      <c r="F14" s="292" t="s">
        <v>184</v>
      </c>
      <c r="G14" s="292" t="s">
        <v>1364</v>
      </c>
      <c r="H14" s="292" t="s">
        <v>351</v>
      </c>
      <c r="I14" s="292" t="s">
        <v>352</v>
      </c>
      <c r="J14" s="292" t="s">
        <v>1365</v>
      </c>
      <c r="K14" s="292"/>
      <c r="L14" s="292" t="str">
        <f t="shared" si="3"/>
        <v>PMO-PMO</v>
      </c>
      <c r="M14" s="292" t="str">
        <f t="shared" si="4"/>
        <v>Technology-Consultant-India-Consulting</v>
      </c>
      <c r="N14" s="292" t="str">
        <f t="shared" si="5"/>
        <v>PMO - Technology</v>
      </c>
      <c r="O14" s="485">
        <f t="shared" si="6"/>
        <v>135000</v>
      </c>
      <c r="P14" s="474">
        <f t="shared" si="7"/>
        <v>2250</v>
      </c>
      <c r="Q14" s="474" t="str">
        <f t="shared" si="8"/>
        <v>Technology - Consultant</v>
      </c>
      <c r="R14" s="474" t="str">
        <f>VLOOKUP(M14,'Rate Card'!$A$1:$D$674,4,FALSE())</f>
        <v>1-3 years</v>
      </c>
      <c r="S14" s="474" t="str">
        <f t="shared" si="9"/>
        <v>Offshore</v>
      </c>
      <c r="T14" s="292" t="s">
        <v>261</v>
      </c>
      <c r="U14" s="292" t="s">
        <v>259</v>
      </c>
      <c r="V14" s="292" t="s">
        <v>368</v>
      </c>
      <c r="W14" s="486">
        <f>IFERROR(VLOOKUP(M14,'Rate Card'!$A:$G,6,FALSE()),"combination not found")</f>
        <v>60</v>
      </c>
      <c r="X14" s="474"/>
      <c r="Y14" s="474"/>
      <c r="Z14" s="474"/>
      <c r="AA14" s="474"/>
      <c r="AB14" s="474"/>
      <c r="AC14" s="474"/>
      <c r="AD14" s="474"/>
      <c r="AE14" s="474"/>
      <c r="AF14" s="474"/>
      <c r="AG14" s="474"/>
      <c r="AH14" s="474"/>
      <c r="AI14" s="474"/>
      <c r="AJ14" s="474"/>
      <c r="AK14" s="474"/>
      <c r="AL14" s="474"/>
      <c r="AM14" s="474"/>
      <c r="AN14" s="474"/>
      <c r="AO14" s="474"/>
      <c r="AP14" s="474"/>
      <c r="AQ14" s="474"/>
      <c r="AR14" s="474"/>
      <c r="AS14" s="474">
        <v>45</v>
      </c>
      <c r="AT14" s="474">
        <v>45</v>
      </c>
      <c r="AU14" s="474">
        <v>45</v>
      </c>
      <c r="AV14" s="474">
        <v>45</v>
      </c>
      <c r="AW14" s="474">
        <v>45</v>
      </c>
      <c r="AX14" s="474">
        <v>45</v>
      </c>
      <c r="AY14" s="474">
        <v>45</v>
      </c>
      <c r="AZ14" s="474">
        <v>45</v>
      </c>
      <c r="BA14" s="474">
        <v>45</v>
      </c>
      <c r="BB14" s="474">
        <v>45</v>
      </c>
      <c r="BC14" s="474">
        <v>45</v>
      </c>
      <c r="BD14" s="474">
        <v>45</v>
      </c>
      <c r="BE14" s="474">
        <v>45</v>
      </c>
      <c r="BF14" s="474">
        <v>45</v>
      </c>
      <c r="BG14" s="474">
        <v>45</v>
      </c>
      <c r="BH14" s="474">
        <v>45</v>
      </c>
      <c r="BI14" s="474">
        <v>45</v>
      </c>
      <c r="BJ14" s="474">
        <v>45</v>
      </c>
      <c r="BK14" s="474">
        <v>45</v>
      </c>
      <c r="BL14" s="474">
        <v>45</v>
      </c>
      <c r="BM14" s="474">
        <v>45</v>
      </c>
      <c r="BN14" s="474">
        <v>45</v>
      </c>
      <c r="BO14" s="474">
        <v>45</v>
      </c>
      <c r="BP14" s="474">
        <v>45</v>
      </c>
      <c r="BQ14" s="474">
        <v>45</v>
      </c>
      <c r="BR14" s="474">
        <v>45</v>
      </c>
      <c r="BS14" s="474">
        <v>45</v>
      </c>
      <c r="BT14" s="474">
        <v>45</v>
      </c>
      <c r="BU14" s="474">
        <v>45</v>
      </c>
      <c r="BV14" s="474">
        <v>45</v>
      </c>
      <c r="BW14" s="474">
        <v>45</v>
      </c>
      <c r="BX14" s="474">
        <v>45</v>
      </c>
      <c r="BY14" s="474">
        <v>45</v>
      </c>
      <c r="BZ14" s="474">
        <v>45</v>
      </c>
      <c r="CA14" s="474">
        <v>45</v>
      </c>
      <c r="CB14" s="474">
        <v>45</v>
      </c>
      <c r="CC14" s="474">
        <v>45</v>
      </c>
      <c r="CD14" s="474">
        <v>45</v>
      </c>
      <c r="CE14" s="474">
        <v>45</v>
      </c>
      <c r="CF14" s="474">
        <v>45</v>
      </c>
      <c r="CG14" s="474">
        <v>45</v>
      </c>
      <c r="CH14" s="474">
        <v>45</v>
      </c>
      <c r="CI14" s="474">
        <v>45</v>
      </c>
      <c r="CJ14" s="474">
        <v>45</v>
      </c>
      <c r="CK14" s="474">
        <v>45</v>
      </c>
      <c r="CL14" s="474">
        <v>45</v>
      </c>
      <c r="CM14" s="474">
        <v>45</v>
      </c>
      <c r="CN14" s="474">
        <v>45</v>
      </c>
      <c r="CO14" s="474">
        <v>45</v>
      </c>
      <c r="CP14" s="474">
        <v>45</v>
      </c>
      <c r="CQ14" s="474"/>
      <c r="CR14" s="474"/>
      <c r="CS14" s="474"/>
      <c r="CT14" s="474"/>
      <c r="CU14" s="474"/>
      <c r="CV14" s="474"/>
      <c r="CW14" s="474"/>
      <c r="CX14" s="474"/>
      <c r="CY14" s="474"/>
      <c r="CZ14" s="474"/>
      <c r="DA14" s="474"/>
      <c r="DB14" s="474"/>
      <c r="DC14" s="292"/>
      <c r="DD14" s="292"/>
      <c r="DE14" s="292"/>
      <c r="DF14" s="292"/>
      <c r="DG14" s="474"/>
      <c r="DH14" s="474"/>
      <c r="DI14" s="474"/>
      <c r="DJ14" s="474"/>
      <c r="DK14" s="474"/>
      <c r="DL14" s="474"/>
      <c r="DM14" s="474"/>
      <c r="DN14" s="474"/>
      <c r="DO14" s="474"/>
      <c r="DP14" s="487">
        <f t="shared" si="10"/>
        <v>0</v>
      </c>
      <c r="DQ14" s="487">
        <f t="shared" si="10"/>
        <v>0</v>
      </c>
      <c r="DR14" s="487">
        <f t="shared" si="10"/>
        <v>0</v>
      </c>
      <c r="DS14" s="487">
        <f t="shared" si="10"/>
        <v>0</v>
      </c>
      <c r="DT14" s="487">
        <f t="shared" si="10"/>
        <v>0</v>
      </c>
      <c r="DU14" s="302">
        <f t="shared" si="10"/>
        <v>0</v>
      </c>
      <c r="DV14" s="302">
        <f t="shared" si="10"/>
        <v>0</v>
      </c>
      <c r="DW14" s="302">
        <f t="shared" si="10"/>
        <v>135</v>
      </c>
      <c r="DX14" s="302">
        <f t="shared" si="10"/>
        <v>180</v>
      </c>
      <c r="DY14" s="302">
        <f t="shared" si="10"/>
        <v>180</v>
      </c>
      <c r="DZ14" s="302">
        <f t="shared" si="11"/>
        <v>180</v>
      </c>
      <c r="EA14" s="302">
        <f t="shared" si="11"/>
        <v>180</v>
      </c>
      <c r="EB14" s="302">
        <f t="shared" si="11"/>
        <v>180</v>
      </c>
      <c r="EC14" s="302">
        <f t="shared" si="11"/>
        <v>180</v>
      </c>
      <c r="ED14" s="302">
        <f t="shared" si="11"/>
        <v>180</v>
      </c>
      <c r="EE14" s="302">
        <f t="shared" si="11"/>
        <v>180</v>
      </c>
      <c r="EF14" s="302">
        <f t="shared" si="11"/>
        <v>180</v>
      </c>
      <c r="EG14" s="302">
        <f t="shared" si="11"/>
        <v>180</v>
      </c>
      <c r="EH14" s="301">
        <f t="shared" si="11"/>
        <v>180</v>
      </c>
      <c r="EI14" s="301">
        <f t="shared" si="11"/>
        <v>135</v>
      </c>
      <c r="EJ14" s="301">
        <f t="shared" si="12"/>
        <v>0</v>
      </c>
      <c r="EK14" s="301">
        <f t="shared" si="12"/>
        <v>0</v>
      </c>
      <c r="EL14" s="301">
        <f t="shared" si="12"/>
        <v>0</v>
      </c>
      <c r="EM14" s="301">
        <f t="shared" si="12"/>
        <v>0</v>
      </c>
      <c r="EN14" s="301">
        <f t="shared" si="12"/>
        <v>0</v>
      </c>
      <c r="EO14" s="301">
        <f t="shared" si="12"/>
        <v>0</v>
      </c>
      <c r="EP14" s="488">
        <f t="shared" si="13"/>
        <v>2250</v>
      </c>
      <c r="EQ14" s="305">
        <f t="shared" si="14"/>
        <v>0</v>
      </c>
    </row>
    <row r="15" spans="1:147" s="170" customFormat="1" ht="15.75" hidden="1" customHeight="1">
      <c r="A15" s="344"/>
      <c r="B15" s="292" t="s">
        <v>348</v>
      </c>
      <c r="C15" s="292" t="s">
        <v>1366</v>
      </c>
      <c r="D15" s="292" t="s">
        <v>1366</v>
      </c>
      <c r="E15" s="292" t="s">
        <v>1367</v>
      </c>
      <c r="F15" s="292" t="s">
        <v>186</v>
      </c>
      <c r="G15" s="292" t="s">
        <v>1360</v>
      </c>
      <c r="H15" s="292" t="s">
        <v>351</v>
      </c>
      <c r="I15" s="292" t="s">
        <v>352</v>
      </c>
      <c r="J15" s="292" t="s">
        <v>1363</v>
      </c>
      <c r="K15" s="292"/>
      <c r="L15" s="292" t="str">
        <f t="shared" si="3"/>
        <v>Solution Arch-Solution Arch</v>
      </c>
      <c r="M15" s="292" t="str">
        <f t="shared" si="4"/>
        <v>Technology-Senior Manager-US-Consulting</v>
      </c>
      <c r="N15" s="292" t="str">
        <f t="shared" si="5"/>
        <v>Solution Arch - Technology</v>
      </c>
      <c r="O15" s="485">
        <f t="shared" si="6"/>
        <v>0</v>
      </c>
      <c r="P15" s="474">
        <f t="shared" si="7"/>
        <v>0</v>
      </c>
      <c r="Q15" s="474" t="str">
        <f t="shared" si="8"/>
        <v>Technology - Senior Manager</v>
      </c>
      <c r="R15" s="474" t="str">
        <f>VLOOKUP(M15,'Rate Card'!$A$1:$D$674,4,FALSE())</f>
        <v>7-10 years</v>
      </c>
      <c r="S15" s="474" t="str">
        <f t="shared" si="9"/>
        <v>Onshore</v>
      </c>
      <c r="T15" s="292" t="s">
        <v>261</v>
      </c>
      <c r="U15" s="292" t="s">
        <v>259</v>
      </c>
      <c r="V15" s="292" t="s">
        <v>361</v>
      </c>
      <c r="W15" s="486">
        <f>IFERROR(VLOOKUP(M15,'Rate Card'!$A:$G,6,FALSE()),"combination not found")</f>
        <v>342</v>
      </c>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5"/>
      <c r="BF15" s="475"/>
      <c r="BG15" s="475"/>
      <c r="BH15" s="475"/>
      <c r="BI15" s="475"/>
      <c r="BJ15" s="475"/>
      <c r="BK15" s="475"/>
      <c r="BL15" s="475"/>
      <c r="BM15" s="475"/>
      <c r="BN15" s="475"/>
      <c r="BO15" s="475"/>
      <c r="BP15" s="475"/>
      <c r="BQ15" s="475"/>
      <c r="BR15" s="475"/>
      <c r="BS15" s="475"/>
      <c r="BT15" s="475"/>
      <c r="BU15" s="475"/>
      <c r="BV15" s="475"/>
      <c r="BW15" s="475"/>
      <c r="BX15" s="475"/>
      <c r="BY15" s="475"/>
      <c r="BZ15" s="475"/>
      <c r="CA15" s="475"/>
      <c r="CB15" s="475"/>
      <c r="CC15" s="475"/>
      <c r="CD15" s="475"/>
      <c r="CE15" s="475"/>
      <c r="CF15" s="475"/>
      <c r="CG15" s="475"/>
      <c r="CH15" s="475"/>
      <c r="CI15" s="475"/>
      <c r="CJ15" s="475"/>
      <c r="CK15" s="475"/>
      <c r="CL15" s="475"/>
      <c r="CM15" s="475"/>
      <c r="CN15" s="475"/>
      <c r="CO15" s="475"/>
      <c r="CP15" s="475"/>
      <c r="CQ15" s="475"/>
      <c r="CR15" s="475"/>
      <c r="CS15" s="475"/>
      <c r="CT15" s="475"/>
      <c r="CU15" s="475"/>
      <c r="CV15" s="475"/>
      <c r="CW15" s="475"/>
      <c r="CX15" s="475"/>
      <c r="CY15" s="475"/>
      <c r="CZ15" s="475"/>
      <c r="DA15" s="475"/>
      <c r="DB15" s="475"/>
      <c r="DC15" s="476"/>
      <c r="DD15" s="476"/>
      <c r="DE15" s="476"/>
      <c r="DF15" s="476"/>
      <c r="DG15" s="475"/>
      <c r="DH15" s="475"/>
      <c r="DI15" s="475"/>
      <c r="DJ15" s="475"/>
      <c r="DK15" s="475"/>
      <c r="DL15" s="475"/>
      <c r="DM15" s="475"/>
      <c r="DN15" s="475"/>
      <c r="DO15" s="475"/>
      <c r="DP15" s="487">
        <f t="shared" si="10"/>
        <v>0</v>
      </c>
      <c r="DQ15" s="487">
        <f t="shared" si="10"/>
        <v>0</v>
      </c>
      <c r="DR15" s="487">
        <f t="shared" si="10"/>
        <v>0</v>
      </c>
      <c r="DS15" s="487">
        <f t="shared" si="10"/>
        <v>0</v>
      </c>
      <c r="DT15" s="487">
        <f t="shared" si="10"/>
        <v>0</v>
      </c>
      <c r="DU15" s="302">
        <f t="shared" si="10"/>
        <v>0</v>
      </c>
      <c r="DV15" s="302">
        <f t="shared" si="10"/>
        <v>0</v>
      </c>
      <c r="DW15" s="302">
        <f t="shared" si="10"/>
        <v>0</v>
      </c>
      <c r="DX15" s="302">
        <f t="shared" si="10"/>
        <v>0</v>
      </c>
      <c r="DY15" s="302">
        <f t="shared" si="10"/>
        <v>0</v>
      </c>
      <c r="DZ15" s="302">
        <f t="shared" si="11"/>
        <v>0</v>
      </c>
      <c r="EA15" s="302">
        <f t="shared" si="11"/>
        <v>0</v>
      </c>
      <c r="EB15" s="302">
        <f t="shared" si="11"/>
        <v>0</v>
      </c>
      <c r="EC15" s="302">
        <f t="shared" si="11"/>
        <v>0</v>
      </c>
      <c r="ED15" s="302">
        <f t="shared" si="11"/>
        <v>0</v>
      </c>
      <c r="EE15" s="302">
        <f t="shared" si="11"/>
        <v>0</v>
      </c>
      <c r="EF15" s="302">
        <f t="shared" si="11"/>
        <v>0</v>
      </c>
      <c r="EG15" s="302">
        <f t="shared" si="11"/>
        <v>0</v>
      </c>
      <c r="EH15" s="301">
        <f t="shared" si="11"/>
        <v>0</v>
      </c>
      <c r="EI15" s="301">
        <f t="shared" si="11"/>
        <v>0</v>
      </c>
      <c r="EJ15" s="301">
        <f t="shared" si="12"/>
        <v>0</v>
      </c>
      <c r="EK15" s="301">
        <f t="shared" si="12"/>
        <v>0</v>
      </c>
      <c r="EL15" s="301">
        <f t="shared" si="12"/>
        <v>0</v>
      </c>
      <c r="EM15" s="301">
        <f t="shared" si="12"/>
        <v>0</v>
      </c>
      <c r="EN15" s="301">
        <f t="shared" si="12"/>
        <v>0</v>
      </c>
      <c r="EO15" s="301">
        <f t="shared" si="12"/>
        <v>0</v>
      </c>
      <c r="EP15" s="488">
        <f t="shared" si="13"/>
        <v>0</v>
      </c>
      <c r="EQ15" s="305">
        <f t="shared" si="14"/>
        <v>0</v>
      </c>
    </row>
    <row r="16" spans="1:147" s="170" customFormat="1" ht="15.75" hidden="1" customHeight="1">
      <c r="A16" s="344"/>
      <c r="B16" s="292" t="s">
        <v>348</v>
      </c>
      <c r="C16" s="292" t="s">
        <v>1366</v>
      </c>
      <c r="D16" s="292" t="s">
        <v>1366</v>
      </c>
      <c r="E16" s="292" t="s">
        <v>1368</v>
      </c>
      <c r="F16" s="292" t="s">
        <v>184</v>
      </c>
      <c r="G16" s="292" t="s">
        <v>1364</v>
      </c>
      <c r="H16" s="292" t="s">
        <v>351</v>
      </c>
      <c r="I16" s="292" t="s">
        <v>352</v>
      </c>
      <c r="J16" s="292" t="s">
        <v>364</v>
      </c>
      <c r="K16" s="292"/>
      <c r="L16" s="292" t="str">
        <f t="shared" si="3"/>
        <v>Solution Arch-Solution Arch</v>
      </c>
      <c r="M16" s="292" t="str">
        <f t="shared" si="4"/>
        <v>Technology-Manager-India-Consulting</v>
      </c>
      <c r="N16" s="292" t="str">
        <f t="shared" si="5"/>
        <v>Solution Arch - Technology</v>
      </c>
      <c r="O16" s="485">
        <f t="shared" si="6"/>
        <v>222750</v>
      </c>
      <c r="P16" s="474">
        <f t="shared" si="7"/>
        <v>2250</v>
      </c>
      <c r="Q16" s="474" t="str">
        <f t="shared" si="8"/>
        <v>Technology - Manager</v>
      </c>
      <c r="R16" s="474" t="str">
        <f>VLOOKUP(M16,'Rate Card'!$A$1:$D$674,4,FALSE())</f>
        <v>5-7 years</v>
      </c>
      <c r="S16" s="474" t="str">
        <f t="shared" si="9"/>
        <v>Offshore</v>
      </c>
      <c r="T16" s="292" t="s">
        <v>261</v>
      </c>
      <c r="U16" s="292" t="s">
        <v>259</v>
      </c>
      <c r="V16" s="292" t="s">
        <v>376</v>
      </c>
      <c r="W16" s="486">
        <f>IFERROR(VLOOKUP(M16,'Rate Card'!$A:$G,6,FALSE()),"combination not found")</f>
        <v>99</v>
      </c>
      <c r="X16" s="475"/>
      <c r="Y16" s="475"/>
      <c r="Z16" s="475"/>
      <c r="AA16" s="475"/>
      <c r="AB16" s="475"/>
      <c r="AC16" s="475"/>
      <c r="AD16" s="475"/>
      <c r="AE16" s="475"/>
      <c r="AF16" s="475"/>
      <c r="AG16" s="475"/>
      <c r="AH16" s="475"/>
      <c r="AI16" s="475"/>
      <c r="AJ16" s="475"/>
      <c r="AK16" s="475"/>
      <c r="AL16" s="475"/>
      <c r="AM16" s="475"/>
      <c r="AN16" s="475"/>
      <c r="AO16" s="475"/>
      <c r="AP16" s="475"/>
      <c r="AQ16" s="475"/>
      <c r="AR16" s="475"/>
      <c r="AS16" s="475">
        <v>45</v>
      </c>
      <c r="AT16" s="475">
        <v>45</v>
      </c>
      <c r="AU16" s="475">
        <v>45</v>
      </c>
      <c r="AV16" s="475">
        <v>45</v>
      </c>
      <c r="AW16" s="475">
        <v>45</v>
      </c>
      <c r="AX16" s="475">
        <v>45</v>
      </c>
      <c r="AY16" s="475">
        <v>45</v>
      </c>
      <c r="AZ16" s="475">
        <v>45</v>
      </c>
      <c r="BA16" s="475">
        <v>45</v>
      </c>
      <c r="BB16" s="475">
        <v>45</v>
      </c>
      <c r="BC16" s="475">
        <v>45</v>
      </c>
      <c r="BD16" s="475">
        <v>45</v>
      </c>
      <c r="BE16" s="475">
        <v>45</v>
      </c>
      <c r="BF16" s="475">
        <v>45</v>
      </c>
      <c r="BG16" s="475">
        <v>45</v>
      </c>
      <c r="BH16" s="475">
        <v>45</v>
      </c>
      <c r="BI16" s="475">
        <v>45</v>
      </c>
      <c r="BJ16" s="475">
        <v>45</v>
      </c>
      <c r="BK16" s="475">
        <v>45</v>
      </c>
      <c r="BL16" s="475">
        <v>45</v>
      </c>
      <c r="BM16" s="475">
        <v>45</v>
      </c>
      <c r="BN16" s="475">
        <v>45</v>
      </c>
      <c r="BO16" s="475">
        <v>45</v>
      </c>
      <c r="BP16" s="475">
        <v>45</v>
      </c>
      <c r="BQ16" s="475">
        <v>45</v>
      </c>
      <c r="BR16" s="475">
        <v>45</v>
      </c>
      <c r="BS16" s="475">
        <v>45</v>
      </c>
      <c r="BT16" s="475">
        <v>45</v>
      </c>
      <c r="BU16" s="475">
        <v>45</v>
      </c>
      <c r="BV16" s="475">
        <v>45</v>
      </c>
      <c r="BW16" s="475">
        <v>45</v>
      </c>
      <c r="BX16" s="475">
        <v>45</v>
      </c>
      <c r="BY16" s="475">
        <v>45</v>
      </c>
      <c r="BZ16" s="475">
        <v>45</v>
      </c>
      <c r="CA16" s="475">
        <v>45</v>
      </c>
      <c r="CB16" s="475">
        <v>45</v>
      </c>
      <c r="CC16" s="475">
        <v>45</v>
      </c>
      <c r="CD16" s="475">
        <v>45</v>
      </c>
      <c r="CE16" s="475">
        <v>45</v>
      </c>
      <c r="CF16" s="475">
        <v>45</v>
      </c>
      <c r="CG16" s="475">
        <v>45</v>
      </c>
      <c r="CH16" s="475">
        <v>45</v>
      </c>
      <c r="CI16" s="475">
        <v>45</v>
      </c>
      <c r="CJ16" s="475">
        <v>45</v>
      </c>
      <c r="CK16" s="475">
        <v>45</v>
      </c>
      <c r="CL16" s="475">
        <v>45</v>
      </c>
      <c r="CM16" s="475">
        <v>45</v>
      </c>
      <c r="CN16" s="475">
        <v>45</v>
      </c>
      <c r="CO16" s="475">
        <v>45</v>
      </c>
      <c r="CP16" s="475">
        <v>45</v>
      </c>
      <c r="CQ16" s="475"/>
      <c r="CR16" s="475"/>
      <c r="CS16" s="475"/>
      <c r="CT16" s="475"/>
      <c r="CU16" s="475"/>
      <c r="CV16" s="475"/>
      <c r="CW16" s="475"/>
      <c r="CX16" s="475"/>
      <c r="CY16" s="475"/>
      <c r="CZ16" s="475"/>
      <c r="DA16" s="475"/>
      <c r="DB16" s="475"/>
      <c r="DC16" s="476"/>
      <c r="DD16" s="476"/>
      <c r="DE16" s="476"/>
      <c r="DF16" s="476"/>
      <c r="DG16" s="475"/>
      <c r="DH16" s="475"/>
      <c r="DI16" s="475"/>
      <c r="DJ16" s="475"/>
      <c r="DK16" s="475"/>
      <c r="DL16" s="475"/>
      <c r="DM16" s="475"/>
      <c r="DN16" s="475"/>
      <c r="DO16" s="475"/>
      <c r="DP16" s="487">
        <f t="shared" si="10"/>
        <v>0</v>
      </c>
      <c r="DQ16" s="487">
        <f t="shared" si="10"/>
        <v>0</v>
      </c>
      <c r="DR16" s="487">
        <f t="shared" si="10"/>
        <v>0</v>
      </c>
      <c r="DS16" s="487">
        <f t="shared" si="10"/>
        <v>0</v>
      </c>
      <c r="DT16" s="487">
        <f t="shared" si="10"/>
        <v>0</v>
      </c>
      <c r="DU16" s="302">
        <f t="shared" si="10"/>
        <v>0</v>
      </c>
      <c r="DV16" s="302">
        <f t="shared" si="10"/>
        <v>0</v>
      </c>
      <c r="DW16" s="302">
        <f t="shared" si="10"/>
        <v>135</v>
      </c>
      <c r="DX16" s="302">
        <f t="shared" si="10"/>
        <v>180</v>
      </c>
      <c r="DY16" s="302">
        <f t="shared" si="10"/>
        <v>180</v>
      </c>
      <c r="DZ16" s="302">
        <f t="shared" si="11"/>
        <v>180</v>
      </c>
      <c r="EA16" s="302">
        <f t="shared" si="11"/>
        <v>180</v>
      </c>
      <c r="EB16" s="302">
        <f t="shared" si="11"/>
        <v>180</v>
      </c>
      <c r="EC16" s="302">
        <f t="shared" si="11"/>
        <v>180</v>
      </c>
      <c r="ED16" s="302">
        <f t="shared" si="11"/>
        <v>180</v>
      </c>
      <c r="EE16" s="302">
        <f t="shared" si="11"/>
        <v>180</v>
      </c>
      <c r="EF16" s="302">
        <f t="shared" si="11"/>
        <v>180</v>
      </c>
      <c r="EG16" s="302">
        <f t="shared" si="11"/>
        <v>180</v>
      </c>
      <c r="EH16" s="301">
        <f t="shared" si="11"/>
        <v>180</v>
      </c>
      <c r="EI16" s="301">
        <f t="shared" si="11"/>
        <v>135</v>
      </c>
      <c r="EJ16" s="301">
        <f t="shared" si="12"/>
        <v>0</v>
      </c>
      <c r="EK16" s="301">
        <f t="shared" si="12"/>
        <v>0</v>
      </c>
      <c r="EL16" s="301">
        <f t="shared" si="12"/>
        <v>0</v>
      </c>
      <c r="EM16" s="301">
        <f t="shared" si="12"/>
        <v>0</v>
      </c>
      <c r="EN16" s="301">
        <f t="shared" si="12"/>
        <v>0</v>
      </c>
      <c r="EO16" s="301">
        <f t="shared" si="12"/>
        <v>0</v>
      </c>
      <c r="EP16" s="488">
        <f t="shared" si="13"/>
        <v>2250</v>
      </c>
      <c r="EQ16" s="305">
        <f t="shared" si="14"/>
        <v>0</v>
      </c>
    </row>
    <row r="17" spans="1:147" s="170" customFormat="1" ht="15.75" customHeight="1">
      <c r="A17" s="344"/>
      <c r="B17" s="292" t="s">
        <v>85</v>
      </c>
      <c r="C17" s="292" t="s">
        <v>194</v>
      </c>
      <c r="D17" s="292" t="s">
        <v>194</v>
      </c>
      <c r="E17" s="292" t="s">
        <v>217</v>
      </c>
      <c r="F17" s="292" t="s">
        <v>184</v>
      </c>
      <c r="G17" s="292" t="s">
        <v>1364</v>
      </c>
      <c r="H17" s="292" t="s">
        <v>351</v>
      </c>
      <c r="I17" s="292" t="s">
        <v>352</v>
      </c>
      <c r="J17" s="292" t="s">
        <v>364</v>
      </c>
      <c r="K17" s="292"/>
      <c r="L17" s="292" t="str">
        <f t="shared" si="3"/>
        <v>OTC-OTC</v>
      </c>
      <c r="M17" s="292" t="str">
        <f t="shared" si="4"/>
        <v>Technology-Senior Consultant-India-Consulting</v>
      </c>
      <c r="N17" s="292" t="str">
        <f t="shared" si="5"/>
        <v>OTC - Technology</v>
      </c>
      <c r="O17" s="485">
        <f t="shared" si="6"/>
        <v>159750</v>
      </c>
      <c r="P17" s="474">
        <f t="shared" si="7"/>
        <v>2250</v>
      </c>
      <c r="Q17" s="474" t="str">
        <f t="shared" si="8"/>
        <v>Technology - Senior Consultant</v>
      </c>
      <c r="R17" s="474" t="str">
        <f>VLOOKUP(M17,'Rate Card'!$A$1:$D$674,4,FALSE())</f>
        <v>3-5 years</v>
      </c>
      <c r="S17" s="474" t="str">
        <f t="shared" si="9"/>
        <v>Offshore</v>
      </c>
      <c r="T17" s="292" t="s">
        <v>261</v>
      </c>
      <c r="U17" s="292" t="s">
        <v>259</v>
      </c>
      <c r="V17" s="292" t="s">
        <v>364</v>
      </c>
      <c r="W17" s="486">
        <f>IFERROR(VLOOKUP(M17,'Rate Card'!$A:$G,6,FALSE()),"combination not found")</f>
        <v>71</v>
      </c>
      <c r="X17" s="475"/>
      <c r="Y17" s="475"/>
      <c r="Z17" s="475"/>
      <c r="AA17" s="475"/>
      <c r="AB17" s="475"/>
      <c r="AC17" s="475"/>
      <c r="AD17" s="475"/>
      <c r="AE17" s="475"/>
      <c r="AF17" s="475"/>
      <c r="AG17" s="475"/>
      <c r="AH17" s="475"/>
      <c r="AI17" s="475"/>
      <c r="AJ17" s="475"/>
      <c r="AK17" s="475"/>
      <c r="AL17" s="475"/>
      <c r="AM17" s="475"/>
      <c r="AN17" s="475"/>
      <c r="AO17" s="475"/>
      <c r="AP17" s="475"/>
      <c r="AQ17" s="475"/>
      <c r="AR17" s="475"/>
      <c r="AS17" s="475">
        <v>45</v>
      </c>
      <c r="AT17" s="475">
        <v>45</v>
      </c>
      <c r="AU17" s="475">
        <v>45</v>
      </c>
      <c r="AV17" s="475">
        <v>45</v>
      </c>
      <c r="AW17" s="475">
        <v>45</v>
      </c>
      <c r="AX17" s="475">
        <v>45</v>
      </c>
      <c r="AY17" s="475">
        <v>45</v>
      </c>
      <c r="AZ17" s="475">
        <v>45</v>
      </c>
      <c r="BA17" s="475">
        <v>45</v>
      </c>
      <c r="BB17" s="475">
        <v>45</v>
      </c>
      <c r="BC17" s="475">
        <v>45</v>
      </c>
      <c r="BD17" s="475">
        <v>45</v>
      </c>
      <c r="BE17" s="475">
        <v>45</v>
      </c>
      <c r="BF17" s="475">
        <v>45</v>
      </c>
      <c r="BG17" s="475">
        <v>45</v>
      </c>
      <c r="BH17" s="475">
        <v>45</v>
      </c>
      <c r="BI17" s="475">
        <v>45</v>
      </c>
      <c r="BJ17" s="475">
        <v>45</v>
      </c>
      <c r="BK17" s="475">
        <v>45</v>
      </c>
      <c r="BL17" s="475">
        <v>45</v>
      </c>
      <c r="BM17" s="475">
        <v>45</v>
      </c>
      <c r="BN17" s="475">
        <v>45</v>
      </c>
      <c r="BO17" s="475">
        <v>45</v>
      </c>
      <c r="BP17" s="475">
        <v>45</v>
      </c>
      <c r="BQ17" s="475">
        <v>45</v>
      </c>
      <c r="BR17" s="475">
        <v>45</v>
      </c>
      <c r="BS17" s="475">
        <v>45</v>
      </c>
      <c r="BT17" s="475">
        <v>45</v>
      </c>
      <c r="BU17" s="475">
        <v>45</v>
      </c>
      <c r="BV17" s="475">
        <v>45</v>
      </c>
      <c r="BW17" s="475">
        <v>45</v>
      </c>
      <c r="BX17" s="475">
        <v>45</v>
      </c>
      <c r="BY17" s="475">
        <v>45</v>
      </c>
      <c r="BZ17" s="475">
        <v>45</v>
      </c>
      <c r="CA17" s="475">
        <v>45</v>
      </c>
      <c r="CB17" s="475">
        <v>45</v>
      </c>
      <c r="CC17" s="475">
        <v>45</v>
      </c>
      <c r="CD17" s="475">
        <v>45</v>
      </c>
      <c r="CE17" s="475">
        <v>45</v>
      </c>
      <c r="CF17" s="475">
        <v>45</v>
      </c>
      <c r="CG17" s="475">
        <v>45</v>
      </c>
      <c r="CH17" s="475">
        <v>45</v>
      </c>
      <c r="CI17" s="475">
        <v>45</v>
      </c>
      <c r="CJ17" s="475">
        <v>45</v>
      </c>
      <c r="CK17" s="475">
        <v>45</v>
      </c>
      <c r="CL17" s="475">
        <v>45</v>
      </c>
      <c r="CM17" s="475">
        <v>45</v>
      </c>
      <c r="CN17" s="475">
        <v>45</v>
      </c>
      <c r="CO17" s="475">
        <v>45</v>
      </c>
      <c r="CP17" s="475">
        <v>45</v>
      </c>
      <c r="CQ17" s="475"/>
      <c r="CR17" s="475"/>
      <c r="CS17" s="475"/>
      <c r="CT17" s="475"/>
      <c r="CU17" s="475"/>
      <c r="CV17" s="475"/>
      <c r="CW17" s="475"/>
      <c r="CX17" s="475"/>
      <c r="CY17" s="475"/>
      <c r="CZ17" s="475"/>
      <c r="DA17" s="475"/>
      <c r="DB17" s="475"/>
      <c r="DC17" s="476"/>
      <c r="DD17" s="476"/>
      <c r="DE17" s="476"/>
      <c r="DF17" s="476"/>
      <c r="DG17" s="475"/>
      <c r="DH17" s="475"/>
      <c r="DI17" s="475"/>
      <c r="DJ17" s="475"/>
      <c r="DK17" s="475"/>
      <c r="DL17" s="475"/>
      <c r="DM17" s="475"/>
      <c r="DN17" s="475"/>
      <c r="DO17" s="475"/>
      <c r="DP17" s="487">
        <f t="shared" si="10"/>
        <v>0</v>
      </c>
      <c r="DQ17" s="487">
        <f t="shared" si="10"/>
        <v>0</v>
      </c>
      <c r="DR17" s="487">
        <f t="shared" si="10"/>
        <v>0</v>
      </c>
      <c r="DS17" s="487">
        <f t="shared" si="10"/>
        <v>0</v>
      </c>
      <c r="DT17" s="487">
        <f t="shared" si="10"/>
        <v>0</v>
      </c>
      <c r="DU17" s="302">
        <f t="shared" si="10"/>
        <v>0</v>
      </c>
      <c r="DV17" s="302">
        <f t="shared" si="10"/>
        <v>0</v>
      </c>
      <c r="DW17" s="302">
        <f t="shared" si="10"/>
        <v>135</v>
      </c>
      <c r="DX17" s="302">
        <f t="shared" si="10"/>
        <v>180</v>
      </c>
      <c r="DY17" s="302">
        <f t="shared" si="10"/>
        <v>180</v>
      </c>
      <c r="DZ17" s="302">
        <f t="shared" si="11"/>
        <v>180</v>
      </c>
      <c r="EA17" s="302">
        <f t="shared" si="11"/>
        <v>180</v>
      </c>
      <c r="EB17" s="302">
        <f t="shared" si="11"/>
        <v>180</v>
      </c>
      <c r="EC17" s="302">
        <f t="shared" si="11"/>
        <v>180</v>
      </c>
      <c r="ED17" s="302">
        <f t="shared" si="11"/>
        <v>180</v>
      </c>
      <c r="EE17" s="302">
        <f t="shared" si="11"/>
        <v>180</v>
      </c>
      <c r="EF17" s="302">
        <f t="shared" si="11"/>
        <v>180</v>
      </c>
      <c r="EG17" s="302">
        <f t="shared" si="11"/>
        <v>180</v>
      </c>
      <c r="EH17" s="301">
        <f t="shared" si="11"/>
        <v>180</v>
      </c>
      <c r="EI17" s="301">
        <f t="shared" si="11"/>
        <v>135</v>
      </c>
      <c r="EJ17" s="301">
        <f t="shared" si="12"/>
        <v>0</v>
      </c>
      <c r="EK17" s="301">
        <f t="shared" si="12"/>
        <v>0</v>
      </c>
      <c r="EL17" s="301">
        <f t="shared" si="12"/>
        <v>0</v>
      </c>
      <c r="EM17" s="301">
        <f t="shared" si="12"/>
        <v>0</v>
      </c>
      <c r="EN17" s="301">
        <f t="shared" si="12"/>
        <v>0</v>
      </c>
      <c r="EO17" s="301">
        <f t="shared" si="12"/>
        <v>0</v>
      </c>
      <c r="EP17" s="488">
        <f t="shared" si="13"/>
        <v>2250</v>
      </c>
      <c r="EQ17" s="305">
        <f t="shared" si="14"/>
        <v>0</v>
      </c>
    </row>
    <row r="18" spans="1:147" s="170" customFormat="1" ht="15.75" customHeight="1">
      <c r="A18" s="344"/>
      <c r="B18" s="292" t="s">
        <v>85</v>
      </c>
      <c r="C18" s="292" t="s">
        <v>194</v>
      </c>
      <c r="D18" s="292" t="s">
        <v>194</v>
      </c>
      <c r="E18" s="292" t="s">
        <v>217</v>
      </c>
      <c r="F18" s="292" t="s">
        <v>184</v>
      </c>
      <c r="G18" s="292" t="s">
        <v>1364</v>
      </c>
      <c r="H18" s="292" t="s">
        <v>351</v>
      </c>
      <c r="I18" s="292" t="s">
        <v>352</v>
      </c>
      <c r="J18" s="292" t="s">
        <v>368</v>
      </c>
      <c r="K18" s="292"/>
      <c r="L18" s="292" t="str">
        <f t="shared" si="3"/>
        <v>OTC-OTC</v>
      </c>
      <c r="M18" s="292" t="str">
        <f t="shared" si="4"/>
        <v>Technology-Consultant-India-Consulting</v>
      </c>
      <c r="N18" s="292" t="str">
        <f t="shared" si="5"/>
        <v>OTC - Technology</v>
      </c>
      <c r="O18" s="485">
        <f t="shared" si="6"/>
        <v>0</v>
      </c>
      <c r="P18" s="474">
        <f t="shared" si="7"/>
        <v>0</v>
      </c>
      <c r="Q18" s="474" t="str">
        <f t="shared" si="8"/>
        <v>Technology - Consultant</v>
      </c>
      <c r="R18" s="474" t="str">
        <f>VLOOKUP(M18,'Rate Card'!$A$1:$D$674,4,FALSE())</f>
        <v>1-3 years</v>
      </c>
      <c r="S18" s="474" t="str">
        <f t="shared" si="9"/>
        <v>Offshore</v>
      </c>
      <c r="T18" s="292" t="s">
        <v>261</v>
      </c>
      <c r="U18" s="292" t="s">
        <v>259</v>
      </c>
      <c r="V18" s="292" t="s">
        <v>368</v>
      </c>
      <c r="W18" s="486">
        <f>IFERROR(VLOOKUP(M18,'Rate Card'!$A:$G,6,FALSE()),"combination not found")</f>
        <v>60</v>
      </c>
      <c r="X18" s="475"/>
      <c r="Y18" s="475"/>
      <c r="Z18" s="475"/>
      <c r="AA18" s="475"/>
      <c r="AB18" s="475"/>
      <c r="AC18" s="475"/>
      <c r="AD18" s="475"/>
      <c r="AE18" s="475"/>
      <c r="AF18" s="475"/>
      <c r="AG18" s="475"/>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5"/>
      <c r="BD18" s="475"/>
      <c r="BE18" s="475"/>
      <c r="BF18" s="475"/>
      <c r="BG18" s="475"/>
      <c r="BH18" s="475"/>
      <c r="BI18" s="475"/>
      <c r="BJ18" s="475"/>
      <c r="BK18" s="475"/>
      <c r="BL18" s="475"/>
      <c r="BM18" s="475"/>
      <c r="BN18" s="475"/>
      <c r="BO18" s="475"/>
      <c r="BP18" s="475"/>
      <c r="BQ18" s="475"/>
      <c r="BR18" s="475"/>
      <c r="BS18" s="475"/>
      <c r="BT18" s="475"/>
      <c r="BU18" s="475"/>
      <c r="BV18" s="475"/>
      <c r="BW18" s="475"/>
      <c r="BX18" s="475"/>
      <c r="BY18" s="475"/>
      <c r="BZ18" s="475"/>
      <c r="CA18" s="475"/>
      <c r="CB18" s="475"/>
      <c r="CC18" s="475"/>
      <c r="CD18" s="475"/>
      <c r="CE18" s="475"/>
      <c r="CF18" s="475"/>
      <c r="CG18" s="475"/>
      <c r="CH18" s="475"/>
      <c r="CI18" s="475"/>
      <c r="CJ18" s="475"/>
      <c r="CK18" s="475"/>
      <c r="CL18" s="475"/>
      <c r="CM18" s="475"/>
      <c r="CN18" s="475"/>
      <c r="CO18" s="475"/>
      <c r="CP18" s="475"/>
      <c r="CQ18" s="475"/>
      <c r="CR18" s="475"/>
      <c r="CS18" s="475"/>
      <c r="CT18" s="475"/>
      <c r="CU18" s="475"/>
      <c r="CV18" s="475"/>
      <c r="CW18" s="475"/>
      <c r="CX18" s="475"/>
      <c r="CY18" s="475"/>
      <c r="CZ18" s="475"/>
      <c r="DA18" s="475"/>
      <c r="DB18" s="475"/>
      <c r="DC18" s="476"/>
      <c r="DD18" s="476"/>
      <c r="DE18" s="476"/>
      <c r="DF18" s="476"/>
      <c r="DG18" s="475"/>
      <c r="DH18" s="475"/>
      <c r="DI18" s="475"/>
      <c r="DJ18" s="475"/>
      <c r="DK18" s="475"/>
      <c r="DL18" s="475"/>
      <c r="DM18" s="475"/>
      <c r="DN18" s="475"/>
      <c r="DO18" s="475"/>
      <c r="DP18" s="487">
        <f t="shared" ref="DP18:DY27" si="15">SUMIF($X$6:$DN$6,DP$7,$X18:$DN18)</f>
        <v>0</v>
      </c>
      <c r="DQ18" s="487">
        <f t="shared" si="15"/>
        <v>0</v>
      </c>
      <c r="DR18" s="487">
        <f t="shared" si="15"/>
        <v>0</v>
      </c>
      <c r="DS18" s="487">
        <f t="shared" si="15"/>
        <v>0</v>
      </c>
      <c r="DT18" s="487">
        <f t="shared" si="15"/>
        <v>0</v>
      </c>
      <c r="DU18" s="302">
        <f t="shared" si="15"/>
        <v>0</v>
      </c>
      <c r="DV18" s="302">
        <f t="shared" si="15"/>
        <v>0</v>
      </c>
      <c r="DW18" s="302">
        <f t="shared" si="15"/>
        <v>0</v>
      </c>
      <c r="DX18" s="302">
        <f t="shared" si="15"/>
        <v>0</v>
      </c>
      <c r="DY18" s="302">
        <f t="shared" si="15"/>
        <v>0</v>
      </c>
      <c r="DZ18" s="302">
        <f t="shared" ref="DZ18:EI27" si="16">SUMIF($X$6:$DN$6,DZ$7,$X18:$DN18)</f>
        <v>0</v>
      </c>
      <c r="EA18" s="302">
        <f t="shared" si="16"/>
        <v>0</v>
      </c>
      <c r="EB18" s="302">
        <f t="shared" si="16"/>
        <v>0</v>
      </c>
      <c r="EC18" s="302">
        <f t="shared" si="16"/>
        <v>0</v>
      </c>
      <c r="ED18" s="302">
        <f t="shared" si="16"/>
        <v>0</v>
      </c>
      <c r="EE18" s="302">
        <f t="shared" si="16"/>
        <v>0</v>
      </c>
      <c r="EF18" s="302">
        <f t="shared" si="16"/>
        <v>0</v>
      </c>
      <c r="EG18" s="302">
        <f t="shared" si="16"/>
        <v>0</v>
      </c>
      <c r="EH18" s="301">
        <f t="shared" si="16"/>
        <v>0</v>
      </c>
      <c r="EI18" s="301">
        <f t="shared" si="16"/>
        <v>0</v>
      </c>
      <c r="EJ18" s="301">
        <f t="shared" ref="EJ18:EO27" si="17">SUMIF($X$6:$DN$6,EJ$7,$X18:$DN18)</f>
        <v>0</v>
      </c>
      <c r="EK18" s="301">
        <f t="shared" si="17"/>
        <v>0</v>
      </c>
      <c r="EL18" s="301">
        <f t="shared" si="17"/>
        <v>0</v>
      </c>
      <c r="EM18" s="301">
        <f t="shared" si="17"/>
        <v>0</v>
      </c>
      <c r="EN18" s="301">
        <f t="shared" si="17"/>
        <v>0</v>
      </c>
      <c r="EO18" s="301">
        <f t="shared" si="17"/>
        <v>0</v>
      </c>
      <c r="EP18" s="488">
        <f t="shared" si="13"/>
        <v>0</v>
      </c>
      <c r="EQ18" s="305">
        <f t="shared" si="14"/>
        <v>0</v>
      </c>
    </row>
    <row r="19" spans="1:147" s="170" customFormat="1" ht="15.75" customHeight="1">
      <c r="A19" s="344"/>
      <c r="B19" s="292" t="s">
        <v>85</v>
      </c>
      <c r="C19" s="292" t="s">
        <v>197</v>
      </c>
      <c r="D19" s="292" t="s">
        <v>1369</v>
      </c>
      <c r="E19" s="292" t="s">
        <v>1370</v>
      </c>
      <c r="F19" s="292" t="s">
        <v>184</v>
      </c>
      <c r="G19" s="292" t="s">
        <v>1364</v>
      </c>
      <c r="H19" s="292" t="s">
        <v>351</v>
      </c>
      <c r="I19" s="292" t="s">
        <v>352</v>
      </c>
      <c r="J19" s="292" t="s">
        <v>368</v>
      </c>
      <c r="K19" s="292"/>
      <c r="L19" s="292" t="str">
        <f t="shared" si="3"/>
        <v>PTP-PTP Direct</v>
      </c>
      <c r="M19" s="292" t="str">
        <f t="shared" si="4"/>
        <v>Technology-Senior Consultant-India-Consulting</v>
      </c>
      <c r="N19" s="292" t="str">
        <f t="shared" si="5"/>
        <v>PTP Direct - Technology</v>
      </c>
      <c r="O19" s="485">
        <f t="shared" si="6"/>
        <v>156555</v>
      </c>
      <c r="P19" s="474">
        <f t="shared" si="7"/>
        <v>2205</v>
      </c>
      <c r="Q19" s="474" t="str">
        <f t="shared" si="8"/>
        <v>Technology - Senior Consultant</v>
      </c>
      <c r="R19" s="474" t="str">
        <f>VLOOKUP(M19,'Rate Card'!$A$1:$D$674,4,FALSE())</f>
        <v>3-5 years</v>
      </c>
      <c r="S19" s="474" t="str">
        <f t="shared" si="9"/>
        <v>Offshore</v>
      </c>
      <c r="T19" s="292" t="s">
        <v>261</v>
      </c>
      <c r="U19" s="292" t="s">
        <v>259</v>
      </c>
      <c r="V19" s="292" t="s">
        <v>364</v>
      </c>
      <c r="W19" s="486">
        <f>IFERROR(VLOOKUP(M19,'Rate Card'!$A:$G,6,FALSE()),"combination not found")</f>
        <v>71</v>
      </c>
      <c r="X19" s="475"/>
      <c r="Y19" s="475"/>
      <c r="Z19" s="475"/>
      <c r="AA19" s="475"/>
      <c r="AB19" s="475"/>
      <c r="AC19" s="475"/>
      <c r="AD19" s="475"/>
      <c r="AE19" s="475"/>
      <c r="AF19" s="475"/>
      <c r="AG19" s="475"/>
      <c r="AH19" s="475"/>
      <c r="AI19" s="475"/>
      <c r="AJ19" s="475"/>
      <c r="AK19" s="475"/>
      <c r="AL19" s="475"/>
      <c r="AM19" s="475"/>
      <c r="AN19" s="475"/>
      <c r="AO19" s="475"/>
      <c r="AP19" s="475"/>
      <c r="AQ19" s="475"/>
      <c r="AR19" s="475"/>
      <c r="AS19" s="475"/>
      <c r="AT19" s="475">
        <v>45</v>
      </c>
      <c r="AU19" s="475">
        <v>45</v>
      </c>
      <c r="AV19" s="475">
        <v>45</v>
      </c>
      <c r="AW19" s="475">
        <v>45</v>
      </c>
      <c r="AX19" s="475">
        <v>45</v>
      </c>
      <c r="AY19" s="475">
        <v>45</v>
      </c>
      <c r="AZ19" s="475">
        <v>45</v>
      </c>
      <c r="BA19" s="475">
        <v>45</v>
      </c>
      <c r="BB19" s="475">
        <v>45</v>
      </c>
      <c r="BC19" s="475">
        <v>45</v>
      </c>
      <c r="BD19" s="475">
        <v>45</v>
      </c>
      <c r="BE19" s="475">
        <v>45</v>
      </c>
      <c r="BF19" s="475">
        <v>45</v>
      </c>
      <c r="BG19" s="475">
        <v>45</v>
      </c>
      <c r="BH19" s="475">
        <v>45</v>
      </c>
      <c r="BI19" s="475">
        <v>45</v>
      </c>
      <c r="BJ19" s="475">
        <v>45</v>
      </c>
      <c r="BK19" s="475">
        <v>45</v>
      </c>
      <c r="BL19" s="475">
        <v>45</v>
      </c>
      <c r="BM19" s="475">
        <v>45</v>
      </c>
      <c r="BN19" s="475">
        <v>45</v>
      </c>
      <c r="BO19" s="475">
        <v>45</v>
      </c>
      <c r="BP19" s="475">
        <v>45</v>
      </c>
      <c r="BQ19" s="475">
        <v>45</v>
      </c>
      <c r="BR19" s="475">
        <v>45</v>
      </c>
      <c r="BS19" s="475">
        <v>45</v>
      </c>
      <c r="BT19" s="475">
        <v>45</v>
      </c>
      <c r="BU19" s="475">
        <v>45</v>
      </c>
      <c r="BV19" s="475">
        <v>45</v>
      </c>
      <c r="BW19" s="475">
        <v>45</v>
      </c>
      <c r="BX19" s="475">
        <v>45</v>
      </c>
      <c r="BY19" s="475">
        <v>45</v>
      </c>
      <c r="BZ19" s="475">
        <v>45</v>
      </c>
      <c r="CA19" s="475">
        <v>45</v>
      </c>
      <c r="CB19" s="475">
        <v>45</v>
      </c>
      <c r="CC19" s="475">
        <v>45</v>
      </c>
      <c r="CD19" s="475">
        <v>45</v>
      </c>
      <c r="CE19" s="475">
        <v>45</v>
      </c>
      <c r="CF19" s="475">
        <v>45</v>
      </c>
      <c r="CG19" s="475">
        <v>45</v>
      </c>
      <c r="CH19" s="475">
        <v>45</v>
      </c>
      <c r="CI19" s="475">
        <v>45</v>
      </c>
      <c r="CJ19" s="475">
        <v>45</v>
      </c>
      <c r="CK19" s="475">
        <v>45</v>
      </c>
      <c r="CL19" s="475">
        <v>45</v>
      </c>
      <c r="CM19" s="475">
        <v>45</v>
      </c>
      <c r="CN19" s="475">
        <v>45</v>
      </c>
      <c r="CO19" s="475">
        <v>45</v>
      </c>
      <c r="CP19" s="475">
        <v>45</v>
      </c>
      <c r="CQ19" s="475"/>
      <c r="CR19" s="475"/>
      <c r="CS19" s="475"/>
      <c r="CT19" s="475"/>
      <c r="CU19" s="475"/>
      <c r="CV19" s="475"/>
      <c r="CW19" s="475"/>
      <c r="CX19" s="475"/>
      <c r="CY19" s="475"/>
      <c r="CZ19" s="475"/>
      <c r="DA19" s="475"/>
      <c r="DB19" s="475"/>
      <c r="DC19" s="476"/>
      <c r="DD19" s="476"/>
      <c r="DE19" s="476"/>
      <c r="DF19" s="476"/>
      <c r="DG19" s="475"/>
      <c r="DH19" s="475"/>
      <c r="DI19" s="475"/>
      <c r="DJ19" s="475"/>
      <c r="DK19" s="475"/>
      <c r="DL19" s="475"/>
      <c r="DM19" s="475"/>
      <c r="DN19" s="475"/>
      <c r="DO19" s="475"/>
      <c r="DP19" s="487">
        <f t="shared" si="15"/>
        <v>0</v>
      </c>
      <c r="DQ19" s="487">
        <f t="shared" si="15"/>
        <v>0</v>
      </c>
      <c r="DR19" s="487">
        <f t="shared" si="15"/>
        <v>0</v>
      </c>
      <c r="DS19" s="487">
        <f t="shared" si="15"/>
        <v>0</v>
      </c>
      <c r="DT19" s="487">
        <f t="shared" si="15"/>
        <v>0</v>
      </c>
      <c r="DU19" s="302">
        <f t="shared" si="15"/>
        <v>0</v>
      </c>
      <c r="DV19" s="302">
        <f t="shared" si="15"/>
        <v>0</v>
      </c>
      <c r="DW19" s="302">
        <f t="shared" si="15"/>
        <v>90</v>
      </c>
      <c r="DX19" s="302">
        <f t="shared" si="15"/>
        <v>180</v>
      </c>
      <c r="DY19" s="302">
        <f t="shared" si="15"/>
        <v>180</v>
      </c>
      <c r="DZ19" s="302">
        <f t="shared" si="16"/>
        <v>180</v>
      </c>
      <c r="EA19" s="302">
        <f t="shared" si="16"/>
        <v>180</v>
      </c>
      <c r="EB19" s="302">
        <f t="shared" si="16"/>
        <v>180</v>
      </c>
      <c r="EC19" s="302">
        <f t="shared" si="16"/>
        <v>180</v>
      </c>
      <c r="ED19" s="302">
        <f t="shared" si="16"/>
        <v>180</v>
      </c>
      <c r="EE19" s="302">
        <f t="shared" si="16"/>
        <v>180</v>
      </c>
      <c r="EF19" s="302">
        <f t="shared" si="16"/>
        <v>180</v>
      </c>
      <c r="EG19" s="302">
        <f t="shared" si="16"/>
        <v>180</v>
      </c>
      <c r="EH19" s="301">
        <f t="shared" si="16"/>
        <v>180</v>
      </c>
      <c r="EI19" s="301">
        <f t="shared" si="16"/>
        <v>135</v>
      </c>
      <c r="EJ19" s="301">
        <f t="shared" si="17"/>
        <v>0</v>
      </c>
      <c r="EK19" s="301">
        <f t="shared" si="17"/>
        <v>0</v>
      </c>
      <c r="EL19" s="301">
        <f t="shared" si="17"/>
        <v>0</v>
      </c>
      <c r="EM19" s="301">
        <f t="shared" si="17"/>
        <v>0</v>
      </c>
      <c r="EN19" s="301">
        <f t="shared" si="17"/>
        <v>0</v>
      </c>
      <c r="EO19" s="301">
        <f t="shared" si="17"/>
        <v>0</v>
      </c>
      <c r="EP19" s="488">
        <f t="shared" si="13"/>
        <v>2205</v>
      </c>
      <c r="EQ19" s="305">
        <f t="shared" si="14"/>
        <v>0</v>
      </c>
    </row>
    <row r="20" spans="1:147" s="170" customFormat="1" ht="15.75" customHeight="1">
      <c r="A20" s="344"/>
      <c r="B20" s="292" t="s">
        <v>85</v>
      </c>
      <c r="C20" s="292" t="s">
        <v>197</v>
      </c>
      <c r="D20" s="292" t="s">
        <v>1369</v>
      </c>
      <c r="E20" s="292" t="s">
        <v>1370</v>
      </c>
      <c r="F20" s="292" t="s">
        <v>184</v>
      </c>
      <c r="G20" s="292" t="s">
        <v>1364</v>
      </c>
      <c r="H20" s="292" t="s">
        <v>351</v>
      </c>
      <c r="I20" s="292" t="s">
        <v>352</v>
      </c>
      <c r="J20" s="292" t="s">
        <v>368</v>
      </c>
      <c r="K20" s="292"/>
      <c r="L20" s="292" t="str">
        <f t="shared" si="3"/>
        <v>PTP-PTP Direct</v>
      </c>
      <c r="M20" s="292" t="str">
        <f t="shared" si="4"/>
        <v>Technology-Consultant-India-Consulting</v>
      </c>
      <c r="N20" s="292" t="str">
        <f t="shared" si="5"/>
        <v>PTP Direct - Technology</v>
      </c>
      <c r="O20" s="485">
        <f t="shared" si="6"/>
        <v>116100</v>
      </c>
      <c r="P20" s="474">
        <f t="shared" si="7"/>
        <v>1935</v>
      </c>
      <c r="Q20" s="474" t="str">
        <f t="shared" si="8"/>
        <v>Technology - Consultant</v>
      </c>
      <c r="R20" s="474" t="str">
        <f>VLOOKUP(M20,'Rate Card'!$A$1:$D$674,4,FALSE())</f>
        <v>1-3 years</v>
      </c>
      <c r="S20" s="474" t="str">
        <f t="shared" si="9"/>
        <v>Offshore</v>
      </c>
      <c r="T20" s="292" t="s">
        <v>261</v>
      </c>
      <c r="U20" s="292" t="s">
        <v>259</v>
      </c>
      <c r="V20" s="292" t="s">
        <v>368</v>
      </c>
      <c r="W20" s="486">
        <f>IFERROR(VLOOKUP(M20,'Rate Card'!$A:$G,6,FALSE()),"combination not found")</f>
        <v>60</v>
      </c>
      <c r="X20" s="475"/>
      <c r="Y20" s="475"/>
      <c r="Z20" s="475"/>
      <c r="AA20" s="475"/>
      <c r="AB20" s="475"/>
      <c r="AC20" s="475"/>
      <c r="AD20" s="475"/>
      <c r="AE20" s="475"/>
      <c r="AF20" s="475"/>
      <c r="AG20" s="475"/>
      <c r="AH20" s="475"/>
      <c r="AI20" s="475"/>
      <c r="AJ20" s="475"/>
      <c r="AK20" s="475"/>
      <c r="AL20" s="475"/>
      <c r="AM20" s="475"/>
      <c r="AN20" s="475"/>
      <c r="AO20" s="475"/>
      <c r="AP20" s="475"/>
      <c r="AQ20" s="475"/>
      <c r="AR20" s="475"/>
      <c r="AS20" s="475"/>
      <c r="AT20" s="475"/>
      <c r="AU20" s="475"/>
      <c r="AV20" s="475"/>
      <c r="AW20" s="475"/>
      <c r="AX20" s="475"/>
      <c r="AY20" s="475"/>
      <c r="AZ20" s="475">
        <v>45</v>
      </c>
      <c r="BA20" s="475">
        <v>45</v>
      </c>
      <c r="BB20" s="475">
        <v>45</v>
      </c>
      <c r="BC20" s="475">
        <v>45</v>
      </c>
      <c r="BD20" s="475">
        <v>45</v>
      </c>
      <c r="BE20" s="475">
        <v>45</v>
      </c>
      <c r="BF20" s="475">
        <v>45</v>
      </c>
      <c r="BG20" s="475">
        <v>45</v>
      </c>
      <c r="BH20" s="475">
        <v>45</v>
      </c>
      <c r="BI20" s="475">
        <v>45</v>
      </c>
      <c r="BJ20" s="475">
        <v>45</v>
      </c>
      <c r="BK20" s="475">
        <v>45</v>
      </c>
      <c r="BL20" s="475">
        <v>45</v>
      </c>
      <c r="BM20" s="475">
        <v>45</v>
      </c>
      <c r="BN20" s="475">
        <v>45</v>
      </c>
      <c r="BO20" s="475">
        <v>45</v>
      </c>
      <c r="BP20" s="475">
        <v>45</v>
      </c>
      <c r="BQ20" s="475">
        <v>45</v>
      </c>
      <c r="BR20" s="475">
        <v>45</v>
      </c>
      <c r="BS20" s="475">
        <v>45</v>
      </c>
      <c r="BT20" s="475">
        <v>45</v>
      </c>
      <c r="BU20" s="475">
        <v>45</v>
      </c>
      <c r="BV20" s="475">
        <v>45</v>
      </c>
      <c r="BW20" s="475">
        <v>45</v>
      </c>
      <c r="BX20" s="475">
        <v>45</v>
      </c>
      <c r="BY20" s="475">
        <v>45</v>
      </c>
      <c r="BZ20" s="475">
        <v>45</v>
      </c>
      <c r="CA20" s="475">
        <v>45</v>
      </c>
      <c r="CB20" s="475">
        <v>45</v>
      </c>
      <c r="CC20" s="475">
        <v>45</v>
      </c>
      <c r="CD20" s="475">
        <v>45</v>
      </c>
      <c r="CE20" s="475">
        <v>45</v>
      </c>
      <c r="CF20" s="475">
        <v>45</v>
      </c>
      <c r="CG20" s="475">
        <v>45</v>
      </c>
      <c r="CH20" s="475">
        <v>45</v>
      </c>
      <c r="CI20" s="475">
        <v>45</v>
      </c>
      <c r="CJ20" s="475">
        <v>45</v>
      </c>
      <c r="CK20" s="475">
        <v>45</v>
      </c>
      <c r="CL20" s="475">
        <v>45</v>
      </c>
      <c r="CM20" s="475">
        <v>45</v>
      </c>
      <c r="CN20" s="475">
        <v>45</v>
      </c>
      <c r="CO20" s="475">
        <v>45</v>
      </c>
      <c r="CP20" s="475">
        <v>45</v>
      </c>
      <c r="CQ20" s="475"/>
      <c r="CR20" s="475"/>
      <c r="CS20" s="475"/>
      <c r="CT20" s="475"/>
      <c r="CU20" s="475"/>
      <c r="CV20" s="475"/>
      <c r="CW20" s="475"/>
      <c r="CX20" s="475"/>
      <c r="CY20" s="475"/>
      <c r="CZ20" s="475"/>
      <c r="DA20" s="475"/>
      <c r="DB20" s="475"/>
      <c r="DC20" s="476"/>
      <c r="DD20" s="476"/>
      <c r="DE20" s="476"/>
      <c r="DF20" s="476"/>
      <c r="DG20" s="475"/>
      <c r="DH20" s="475"/>
      <c r="DI20" s="475"/>
      <c r="DJ20" s="475"/>
      <c r="DK20" s="475"/>
      <c r="DL20" s="475"/>
      <c r="DM20" s="475"/>
      <c r="DN20" s="475"/>
      <c r="DO20" s="475"/>
      <c r="DP20" s="487">
        <f t="shared" si="15"/>
        <v>0</v>
      </c>
      <c r="DQ20" s="487">
        <f t="shared" si="15"/>
        <v>0</v>
      </c>
      <c r="DR20" s="487">
        <f t="shared" si="15"/>
        <v>0</v>
      </c>
      <c r="DS20" s="487">
        <f t="shared" si="15"/>
        <v>0</v>
      </c>
      <c r="DT20" s="487">
        <f t="shared" si="15"/>
        <v>0</v>
      </c>
      <c r="DU20" s="302">
        <f t="shared" si="15"/>
        <v>0</v>
      </c>
      <c r="DV20" s="302">
        <f t="shared" si="15"/>
        <v>0</v>
      </c>
      <c r="DW20" s="302">
        <f t="shared" si="15"/>
        <v>0</v>
      </c>
      <c r="DX20" s="302">
        <f t="shared" si="15"/>
        <v>0</v>
      </c>
      <c r="DY20" s="302">
        <f t="shared" si="15"/>
        <v>180</v>
      </c>
      <c r="DZ20" s="302">
        <f t="shared" si="16"/>
        <v>180</v>
      </c>
      <c r="EA20" s="302">
        <f t="shared" si="16"/>
        <v>180</v>
      </c>
      <c r="EB20" s="302">
        <f t="shared" si="16"/>
        <v>180</v>
      </c>
      <c r="EC20" s="302">
        <f t="shared" si="16"/>
        <v>180</v>
      </c>
      <c r="ED20" s="302">
        <f t="shared" si="16"/>
        <v>180</v>
      </c>
      <c r="EE20" s="302">
        <f t="shared" si="16"/>
        <v>180</v>
      </c>
      <c r="EF20" s="302">
        <f t="shared" si="16"/>
        <v>180</v>
      </c>
      <c r="EG20" s="302">
        <f t="shared" si="16"/>
        <v>180</v>
      </c>
      <c r="EH20" s="301">
        <f t="shared" si="16"/>
        <v>180</v>
      </c>
      <c r="EI20" s="301">
        <f t="shared" si="16"/>
        <v>135</v>
      </c>
      <c r="EJ20" s="301">
        <f t="shared" si="17"/>
        <v>0</v>
      </c>
      <c r="EK20" s="301">
        <f t="shared" si="17"/>
        <v>0</v>
      </c>
      <c r="EL20" s="301">
        <f t="shared" si="17"/>
        <v>0</v>
      </c>
      <c r="EM20" s="301">
        <f t="shared" si="17"/>
        <v>0</v>
      </c>
      <c r="EN20" s="301">
        <f t="shared" si="17"/>
        <v>0</v>
      </c>
      <c r="EO20" s="301">
        <f t="shared" si="17"/>
        <v>0</v>
      </c>
      <c r="EP20" s="488">
        <f t="shared" si="13"/>
        <v>1935</v>
      </c>
      <c r="EQ20" s="305">
        <f t="shared" si="14"/>
        <v>0</v>
      </c>
    </row>
    <row r="21" spans="1:147" s="170" customFormat="1" ht="15.75" customHeight="1">
      <c r="A21" s="344"/>
      <c r="B21" s="292" t="s">
        <v>85</v>
      </c>
      <c r="C21" s="292" t="s">
        <v>195</v>
      </c>
      <c r="D21" s="292" t="s">
        <v>1371</v>
      </c>
      <c r="E21" s="292" t="s">
        <v>1372</v>
      </c>
      <c r="F21" s="292" t="s">
        <v>184</v>
      </c>
      <c r="G21" s="292" t="s">
        <v>1364</v>
      </c>
      <c r="H21" s="292" t="s">
        <v>351</v>
      </c>
      <c r="I21" s="292" t="s">
        <v>352</v>
      </c>
      <c r="J21" s="292" t="s">
        <v>376</v>
      </c>
      <c r="K21" s="292"/>
      <c r="L21" s="292" t="str">
        <f t="shared" si="3"/>
        <v>PTD-Manufacturing</v>
      </c>
      <c r="M21" s="292" t="str">
        <f t="shared" si="4"/>
        <v>Technology-Manager-India-Consulting</v>
      </c>
      <c r="N21" s="292" t="str">
        <f t="shared" si="5"/>
        <v>Manufacturing - Technology</v>
      </c>
      <c r="O21" s="485">
        <f t="shared" si="6"/>
        <v>198000</v>
      </c>
      <c r="P21" s="474">
        <f t="shared" si="7"/>
        <v>2000</v>
      </c>
      <c r="Q21" s="474" t="str">
        <f t="shared" si="8"/>
        <v>Technology - Manager</v>
      </c>
      <c r="R21" s="474" t="str">
        <f>VLOOKUP(M21,'Rate Card'!$A$1:$D$674,4,FALSE())</f>
        <v>5-7 years</v>
      </c>
      <c r="S21" s="474" t="str">
        <f t="shared" si="9"/>
        <v>Offshore</v>
      </c>
      <c r="T21" s="292" t="s">
        <v>261</v>
      </c>
      <c r="U21" s="292" t="s">
        <v>259</v>
      </c>
      <c r="V21" s="292" t="s">
        <v>376</v>
      </c>
      <c r="W21" s="486">
        <f>IFERROR(VLOOKUP(M21,'Rate Card'!$A:$G,6,FALSE()),"combination not found")</f>
        <v>99</v>
      </c>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v>40</v>
      </c>
      <c r="AT21" s="475">
        <v>40</v>
      </c>
      <c r="AU21" s="475">
        <v>40</v>
      </c>
      <c r="AV21" s="475">
        <v>40</v>
      </c>
      <c r="AW21" s="475">
        <v>40</v>
      </c>
      <c r="AX21" s="475">
        <v>40</v>
      </c>
      <c r="AY21" s="475">
        <v>40</v>
      </c>
      <c r="AZ21" s="475">
        <v>40</v>
      </c>
      <c r="BA21" s="475">
        <v>40</v>
      </c>
      <c r="BB21" s="475">
        <v>40</v>
      </c>
      <c r="BC21" s="475">
        <v>40</v>
      </c>
      <c r="BD21" s="475">
        <v>40</v>
      </c>
      <c r="BE21" s="475">
        <v>40</v>
      </c>
      <c r="BF21" s="475">
        <v>40</v>
      </c>
      <c r="BG21" s="475">
        <v>40</v>
      </c>
      <c r="BH21" s="475">
        <v>40</v>
      </c>
      <c r="BI21" s="475">
        <v>40</v>
      </c>
      <c r="BJ21" s="475">
        <v>40</v>
      </c>
      <c r="BK21" s="475">
        <v>40</v>
      </c>
      <c r="BL21" s="475">
        <v>40</v>
      </c>
      <c r="BM21" s="475">
        <v>40</v>
      </c>
      <c r="BN21" s="475">
        <v>40</v>
      </c>
      <c r="BO21" s="475">
        <v>40</v>
      </c>
      <c r="BP21" s="475">
        <v>40</v>
      </c>
      <c r="BQ21" s="475">
        <v>40</v>
      </c>
      <c r="BR21" s="475">
        <v>40</v>
      </c>
      <c r="BS21" s="475">
        <v>40</v>
      </c>
      <c r="BT21" s="475">
        <v>40</v>
      </c>
      <c r="BU21" s="475">
        <v>40</v>
      </c>
      <c r="BV21" s="475">
        <v>40</v>
      </c>
      <c r="BW21" s="475">
        <v>40</v>
      </c>
      <c r="BX21" s="475">
        <v>40</v>
      </c>
      <c r="BY21" s="475">
        <v>40</v>
      </c>
      <c r="BZ21" s="475">
        <v>40</v>
      </c>
      <c r="CA21" s="475">
        <v>40</v>
      </c>
      <c r="CB21" s="475">
        <v>40</v>
      </c>
      <c r="CC21" s="475">
        <v>40</v>
      </c>
      <c r="CD21" s="475">
        <v>40</v>
      </c>
      <c r="CE21" s="475">
        <v>40</v>
      </c>
      <c r="CF21" s="475">
        <v>40</v>
      </c>
      <c r="CG21" s="475">
        <v>40</v>
      </c>
      <c r="CH21" s="475">
        <v>40</v>
      </c>
      <c r="CI21" s="475">
        <v>40</v>
      </c>
      <c r="CJ21" s="475">
        <v>40</v>
      </c>
      <c r="CK21" s="475">
        <v>40</v>
      </c>
      <c r="CL21" s="475">
        <v>40</v>
      </c>
      <c r="CM21" s="475">
        <v>40</v>
      </c>
      <c r="CN21" s="475">
        <v>40</v>
      </c>
      <c r="CO21" s="475">
        <v>40</v>
      </c>
      <c r="CP21" s="475">
        <v>40</v>
      </c>
      <c r="CQ21" s="475"/>
      <c r="CR21" s="475"/>
      <c r="CS21" s="475"/>
      <c r="CT21" s="475"/>
      <c r="CU21" s="475"/>
      <c r="CV21" s="475"/>
      <c r="CW21" s="475"/>
      <c r="CX21" s="475"/>
      <c r="CY21" s="475"/>
      <c r="CZ21" s="475"/>
      <c r="DA21" s="475"/>
      <c r="DB21" s="475"/>
      <c r="DC21" s="476"/>
      <c r="DD21" s="476"/>
      <c r="DE21" s="476"/>
      <c r="DF21" s="476"/>
      <c r="DG21" s="475"/>
      <c r="DH21" s="475"/>
      <c r="DI21" s="475"/>
      <c r="DJ21" s="475"/>
      <c r="DK21" s="475"/>
      <c r="DL21" s="475"/>
      <c r="DM21" s="475"/>
      <c r="DN21" s="475"/>
      <c r="DO21" s="475"/>
      <c r="DP21" s="487">
        <f t="shared" si="15"/>
        <v>0</v>
      </c>
      <c r="DQ21" s="487">
        <f t="shared" si="15"/>
        <v>0</v>
      </c>
      <c r="DR21" s="487">
        <f t="shared" si="15"/>
        <v>0</v>
      </c>
      <c r="DS21" s="487">
        <f t="shared" si="15"/>
        <v>0</v>
      </c>
      <c r="DT21" s="487">
        <f t="shared" si="15"/>
        <v>0</v>
      </c>
      <c r="DU21" s="302">
        <f t="shared" si="15"/>
        <v>0</v>
      </c>
      <c r="DV21" s="302">
        <f t="shared" si="15"/>
        <v>0</v>
      </c>
      <c r="DW21" s="302">
        <f t="shared" si="15"/>
        <v>120</v>
      </c>
      <c r="DX21" s="302">
        <f t="shared" si="15"/>
        <v>160</v>
      </c>
      <c r="DY21" s="302">
        <f t="shared" si="15"/>
        <v>160</v>
      </c>
      <c r="DZ21" s="302">
        <f t="shared" si="16"/>
        <v>160</v>
      </c>
      <c r="EA21" s="302">
        <f t="shared" si="16"/>
        <v>160</v>
      </c>
      <c r="EB21" s="302">
        <f t="shared" si="16"/>
        <v>160</v>
      </c>
      <c r="EC21" s="302">
        <f t="shared" si="16"/>
        <v>160</v>
      </c>
      <c r="ED21" s="302">
        <f t="shared" si="16"/>
        <v>160</v>
      </c>
      <c r="EE21" s="302">
        <f t="shared" si="16"/>
        <v>160</v>
      </c>
      <c r="EF21" s="302">
        <f t="shared" si="16"/>
        <v>160</v>
      </c>
      <c r="EG21" s="302">
        <f t="shared" si="16"/>
        <v>160</v>
      </c>
      <c r="EH21" s="301">
        <f t="shared" si="16"/>
        <v>160</v>
      </c>
      <c r="EI21" s="301">
        <f t="shared" si="16"/>
        <v>120</v>
      </c>
      <c r="EJ21" s="301">
        <f t="shared" si="17"/>
        <v>0</v>
      </c>
      <c r="EK21" s="301">
        <f t="shared" si="17"/>
        <v>0</v>
      </c>
      <c r="EL21" s="301">
        <f t="shared" si="17"/>
        <v>0</v>
      </c>
      <c r="EM21" s="301">
        <f t="shared" si="17"/>
        <v>0</v>
      </c>
      <c r="EN21" s="301">
        <f t="shared" si="17"/>
        <v>0</v>
      </c>
      <c r="EO21" s="301">
        <f t="shared" si="17"/>
        <v>0</v>
      </c>
      <c r="EP21" s="488">
        <f t="shared" si="13"/>
        <v>2000</v>
      </c>
      <c r="EQ21" s="305">
        <f t="shared" si="14"/>
        <v>0</v>
      </c>
    </row>
    <row r="22" spans="1:147" s="170" customFormat="1" ht="15.75" customHeight="1">
      <c r="A22" s="344"/>
      <c r="B22" s="292" t="s">
        <v>85</v>
      </c>
      <c r="C22" s="292" t="s">
        <v>195</v>
      </c>
      <c r="D22" s="292" t="s">
        <v>1371</v>
      </c>
      <c r="E22" s="292" t="s">
        <v>1373</v>
      </c>
      <c r="F22" s="292" t="s">
        <v>184</v>
      </c>
      <c r="G22" s="292" t="s">
        <v>1364</v>
      </c>
      <c r="H22" s="292" t="s">
        <v>351</v>
      </c>
      <c r="I22" s="292" t="s">
        <v>352</v>
      </c>
      <c r="J22" s="292" t="s">
        <v>1374</v>
      </c>
      <c r="K22" s="292"/>
      <c r="L22" s="292" t="str">
        <f t="shared" si="3"/>
        <v>PTD-Manufacturing</v>
      </c>
      <c r="M22" s="292" t="str">
        <f t="shared" si="4"/>
        <v>Technology-Senior Consultant-India-Consulting</v>
      </c>
      <c r="N22" s="292" t="str">
        <f t="shared" si="5"/>
        <v>Manufacturing - Technology</v>
      </c>
      <c r="O22" s="485">
        <f t="shared" si="6"/>
        <v>159750</v>
      </c>
      <c r="P22" s="474">
        <f t="shared" si="7"/>
        <v>2250</v>
      </c>
      <c r="Q22" s="474"/>
      <c r="R22" s="474"/>
      <c r="S22" s="474"/>
      <c r="T22" s="292" t="s">
        <v>261</v>
      </c>
      <c r="U22" s="292" t="s">
        <v>259</v>
      </c>
      <c r="V22" s="292" t="s">
        <v>364</v>
      </c>
      <c r="W22" s="486">
        <f>IFERROR(VLOOKUP(M22,'Rate Card'!$A:$G,6,FALSE()),"combination not found")</f>
        <v>71</v>
      </c>
      <c r="X22" s="475"/>
      <c r="Y22" s="475"/>
      <c r="Z22" s="475"/>
      <c r="AA22" s="475"/>
      <c r="AB22" s="475"/>
      <c r="AC22" s="475"/>
      <c r="AD22" s="475"/>
      <c r="AE22" s="475"/>
      <c r="AF22" s="475"/>
      <c r="AG22" s="475"/>
      <c r="AH22" s="475"/>
      <c r="AI22" s="475"/>
      <c r="AJ22" s="475"/>
      <c r="AK22" s="475"/>
      <c r="AL22" s="475"/>
      <c r="AM22" s="475"/>
      <c r="AN22" s="475"/>
      <c r="AO22" s="475"/>
      <c r="AP22" s="475"/>
      <c r="AQ22" s="475"/>
      <c r="AR22" s="475"/>
      <c r="AS22" s="475">
        <v>45</v>
      </c>
      <c r="AT22" s="475">
        <v>45</v>
      </c>
      <c r="AU22" s="475">
        <v>45</v>
      </c>
      <c r="AV22" s="475">
        <v>45</v>
      </c>
      <c r="AW22" s="475">
        <v>45</v>
      </c>
      <c r="AX22" s="475">
        <v>45</v>
      </c>
      <c r="AY22" s="475">
        <v>45</v>
      </c>
      <c r="AZ22" s="475">
        <v>45</v>
      </c>
      <c r="BA22" s="475">
        <v>45</v>
      </c>
      <c r="BB22" s="475">
        <v>45</v>
      </c>
      <c r="BC22" s="475">
        <v>45</v>
      </c>
      <c r="BD22" s="475">
        <v>45</v>
      </c>
      <c r="BE22" s="475">
        <v>45</v>
      </c>
      <c r="BF22" s="475">
        <v>45</v>
      </c>
      <c r="BG22" s="475">
        <v>45</v>
      </c>
      <c r="BH22" s="475">
        <v>45</v>
      </c>
      <c r="BI22" s="475">
        <v>45</v>
      </c>
      <c r="BJ22" s="475">
        <v>45</v>
      </c>
      <c r="BK22" s="475">
        <v>45</v>
      </c>
      <c r="BL22" s="475">
        <v>45</v>
      </c>
      <c r="BM22" s="475">
        <v>45</v>
      </c>
      <c r="BN22" s="475">
        <v>45</v>
      </c>
      <c r="BO22" s="475">
        <v>45</v>
      </c>
      <c r="BP22" s="475">
        <v>45</v>
      </c>
      <c r="BQ22" s="475">
        <v>45</v>
      </c>
      <c r="BR22" s="475">
        <v>45</v>
      </c>
      <c r="BS22" s="475">
        <v>45</v>
      </c>
      <c r="BT22" s="475">
        <v>45</v>
      </c>
      <c r="BU22" s="475">
        <v>45</v>
      </c>
      <c r="BV22" s="475">
        <v>45</v>
      </c>
      <c r="BW22" s="475">
        <v>45</v>
      </c>
      <c r="BX22" s="475">
        <v>45</v>
      </c>
      <c r="BY22" s="475">
        <v>45</v>
      </c>
      <c r="BZ22" s="475">
        <v>45</v>
      </c>
      <c r="CA22" s="475">
        <v>45</v>
      </c>
      <c r="CB22" s="475">
        <v>45</v>
      </c>
      <c r="CC22" s="475">
        <v>45</v>
      </c>
      <c r="CD22" s="475">
        <v>45</v>
      </c>
      <c r="CE22" s="475">
        <v>45</v>
      </c>
      <c r="CF22" s="475">
        <v>45</v>
      </c>
      <c r="CG22" s="475">
        <v>45</v>
      </c>
      <c r="CH22" s="475">
        <v>45</v>
      </c>
      <c r="CI22" s="475">
        <v>45</v>
      </c>
      <c r="CJ22" s="475">
        <v>45</v>
      </c>
      <c r="CK22" s="475">
        <v>45</v>
      </c>
      <c r="CL22" s="475">
        <v>45</v>
      </c>
      <c r="CM22" s="475">
        <v>45</v>
      </c>
      <c r="CN22" s="475">
        <v>45</v>
      </c>
      <c r="CO22" s="475">
        <v>45</v>
      </c>
      <c r="CP22" s="475">
        <v>45</v>
      </c>
      <c r="CQ22" s="475"/>
      <c r="CR22" s="475"/>
      <c r="CS22" s="475"/>
      <c r="CT22" s="475"/>
      <c r="CU22" s="475"/>
      <c r="CV22" s="475"/>
      <c r="CW22" s="475"/>
      <c r="CX22" s="475"/>
      <c r="CY22" s="475"/>
      <c r="CZ22" s="475"/>
      <c r="DA22" s="475"/>
      <c r="DB22" s="475"/>
      <c r="DC22" s="476"/>
      <c r="DD22" s="476"/>
      <c r="DE22" s="476"/>
      <c r="DF22" s="476"/>
      <c r="DG22" s="475"/>
      <c r="DH22" s="475"/>
      <c r="DI22" s="475"/>
      <c r="DJ22" s="475"/>
      <c r="DK22" s="475"/>
      <c r="DL22" s="475"/>
      <c r="DM22" s="475"/>
      <c r="DN22" s="475"/>
      <c r="DO22" s="475"/>
      <c r="DP22" s="487">
        <f t="shared" si="15"/>
        <v>0</v>
      </c>
      <c r="DQ22" s="487">
        <f t="shared" si="15"/>
        <v>0</v>
      </c>
      <c r="DR22" s="487">
        <f t="shared" si="15"/>
        <v>0</v>
      </c>
      <c r="DS22" s="487">
        <f t="shared" si="15"/>
        <v>0</v>
      </c>
      <c r="DT22" s="487">
        <f t="shared" si="15"/>
        <v>0</v>
      </c>
      <c r="DU22" s="302">
        <f t="shared" si="15"/>
        <v>0</v>
      </c>
      <c r="DV22" s="302">
        <f t="shared" si="15"/>
        <v>0</v>
      </c>
      <c r="DW22" s="302">
        <f t="shared" si="15"/>
        <v>135</v>
      </c>
      <c r="DX22" s="302">
        <f t="shared" si="15"/>
        <v>180</v>
      </c>
      <c r="DY22" s="302">
        <f t="shared" si="15"/>
        <v>180</v>
      </c>
      <c r="DZ22" s="302">
        <f t="shared" si="16"/>
        <v>180</v>
      </c>
      <c r="EA22" s="302">
        <f t="shared" si="16"/>
        <v>180</v>
      </c>
      <c r="EB22" s="302">
        <f t="shared" si="16"/>
        <v>180</v>
      </c>
      <c r="EC22" s="302">
        <f t="shared" si="16"/>
        <v>180</v>
      </c>
      <c r="ED22" s="302">
        <f t="shared" si="16"/>
        <v>180</v>
      </c>
      <c r="EE22" s="302">
        <f t="shared" si="16"/>
        <v>180</v>
      </c>
      <c r="EF22" s="302">
        <f t="shared" si="16"/>
        <v>180</v>
      </c>
      <c r="EG22" s="302">
        <f t="shared" si="16"/>
        <v>180</v>
      </c>
      <c r="EH22" s="301">
        <f t="shared" si="16"/>
        <v>180</v>
      </c>
      <c r="EI22" s="301">
        <f t="shared" si="16"/>
        <v>135</v>
      </c>
      <c r="EJ22" s="301">
        <f t="shared" si="17"/>
        <v>0</v>
      </c>
      <c r="EK22" s="301">
        <f t="shared" si="17"/>
        <v>0</v>
      </c>
      <c r="EL22" s="301">
        <f t="shared" si="17"/>
        <v>0</v>
      </c>
      <c r="EM22" s="301">
        <f t="shared" si="17"/>
        <v>0</v>
      </c>
      <c r="EN22" s="301">
        <f t="shared" si="17"/>
        <v>0</v>
      </c>
      <c r="EO22" s="301">
        <f t="shared" si="17"/>
        <v>0</v>
      </c>
      <c r="EP22" s="488">
        <f t="shared" si="13"/>
        <v>2250</v>
      </c>
      <c r="EQ22" s="305">
        <f t="shared" si="14"/>
        <v>0</v>
      </c>
    </row>
    <row r="23" spans="1:147" s="170" customFormat="1" ht="15.75" customHeight="1">
      <c r="A23" s="344"/>
      <c r="B23" s="292" t="s">
        <v>85</v>
      </c>
      <c r="C23" s="292" t="s">
        <v>195</v>
      </c>
      <c r="D23" s="292" t="s">
        <v>1371</v>
      </c>
      <c r="E23" s="292" t="s">
        <v>1375</v>
      </c>
      <c r="F23" s="292" t="s">
        <v>184</v>
      </c>
      <c r="G23" s="292" t="s">
        <v>1364</v>
      </c>
      <c r="H23" s="292" t="s">
        <v>351</v>
      </c>
      <c r="I23" s="292" t="s">
        <v>352</v>
      </c>
      <c r="J23" s="292" t="s">
        <v>368</v>
      </c>
      <c r="K23" s="292"/>
      <c r="L23" s="292" t="str">
        <f t="shared" si="3"/>
        <v>PTD-Manufacturing</v>
      </c>
      <c r="M23" s="292" t="str">
        <f t="shared" si="4"/>
        <v>Technology-Consultant-India-Consulting</v>
      </c>
      <c r="N23" s="292" t="str">
        <f t="shared" si="5"/>
        <v>Manufacturing - Technology</v>
      </c>
      <c r="O23" s="485">
        <f t="shared" si="6"/>
        <v>0</v>
      </c>
      <c r="P23" s="474">
        <f t="shared" si="7"/>
        <v>0</v>
      </c>
      <c r="Q23" s="474"/>
      <c r="R23" s="474"/>
      <c r="S23" s="474"/>
      <c r="T23" s="292" t="s">
        <v>261</v>
      </c>
      <c r="U23" s="292" t="s">
        <v>259</v>
      </c>
      <c r="V23" s="292" t="s">
        <v>368</v>
      </c>
      <c r="W23" s="486">
        <f>IFERROR(VLOOKUP(M23,'Rate Card'!$A:$G,6,FALSE()),"combination not found")</f>
        <v>60</v>
      </c>
      <c r="X23" s="475"/>
      <c r="Y23" s="475"/>
      <c r="Z23" s="475"/>
      <c r="AA23" s="475"/>
      <c r="AB23" s="475"/>
      <c r="AC23" s="475"/>
      <c r="AD23" s="475"/>
      <c r="AE23" s="475"/>
      <c r="AF23" s="475"/>
      <c r="AG23" s="475"/>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5"/>
      <c r="BD23" s="475"/>
      <c r="BE23" s="475"/>
      <c r="BF23" s="475"/>
      <c r="BG23" s="475"/>
      <c r="BH23" s="475"/>
      <c r="BI23" s="475"/>
      <c r="BJ23" s="475"/>
      <c r="BK23" s="475"/>
      <c r="BL23" s="475"/>
      <c r="BM23" s="475"/>
      <c r="BN23" s="475"/>
      <c r="BO23" s="475"/>
      <c r="BP23" s="475"/>
      <c r="BQ23" s="475"/>
      <c r="BR23" s="475"/>
      <c r="BS23" s="475"/>
      <c r="BT23" s="475"/>
      <c r="BU23" s="475"/>
      <c r="BV23" s="475"/>
      <c r="BW23" s="475"/>
      <c r="BX23" s="475"/>
      <c r="BY23" s="475"/>
      <c r="BZ23" s="475"/>
      <c r="CA23" s="475"/>
      <c r="CB23" s="475"/>
      <c r="CC23" s="475"/>
      <c r="CD23" s="475"/>
      <c r="CE23" s="475"/>
      <c r="CF23" s="475"/>
      <c r="CG23" s="475"/>
      <c r="CH23" s="475"/>
      <c r="CI23" s="475"/>
      <c r="CJ23" s="475"/>
      <c r="CK23" s="475"/>
      <c r="CL23" s="475"/>
      <c r="CM23" s="475"/>
      <c r="CN23" s="475"/>
      <c r="CO23" s="475"/>
      <c r="CP23" s="475"/>
      <c r="CQ23" s="475"/>
      <c r="CR23" s="475"/>
      <c r="CS23" s="475"/>
      <c r="CT23" s="475"/>
      <c r="CU23" s="475"/>
      <c r="CV23" s="475"/>
      <c r="CW23" s="475"/>
      <c r="CX23" s="475"/>
      <c r="CY23" s="475"/>
      <c r="CZ23" s="475"/>
      <c r="DA23" s="475"/>
      <c r="DB23" s="475"/>
      <c r="DC23" s="476"/>
      <c r="DD23" s="476"/>
      <c r="DE23" s="476"/>
      <c r="DF23" s="476"/>
      <c r="DG23" s="475"/>
      <c r="DH23" s="475"/>
      <c r="DI23" s="475"/>
      <c r="DJ23" s="475"/>
      <c r="DK23" s="475"/>
      <c r="DL23" s="475"/>
      <c r="DM23" s="475"/>
      <c r="DN23" s="475"/>
      <c r="DO23" s="475"/>
      <c r="DP23" s="487">
        <f t="shared" si="15"/>
        <v>0</v>
      </c>
      <c r="DQ23" s="487">
        <f t="shared" si="15"/>
        <v>0</v>
      </c>
      <c r="DR23" s="487">
        <f t="shared" si="15"/>
        <v>0</v>
      </c>
      <c r="DS23" s="487">
        <f t="shared" si="15"/>
        <v>0</v>
      </c>
      <c r="DT23" s="487">
        <f t="shared" si="15"/>
        <v>0</v>
      </c>
      <c r="DU23" s="302">
        <f t="shared" si="15"/>
        <v>0</v>
      </c>
      <c r="DV23" s="302">
        <f t="shared" si="15"/>
        <v>0</v>
      </c>
      <c r="DW23" s="302">
        <f t="shared" si="15"/>
        <v>0</v>
      </c>
      <c r="DX23" s="302">
        <f t="shared" si="15"/>
        <v>0</v>
      </c>
      <c r="DY23" s="302">
        <f t="shared" si="15"/>
        <v>0</v>
      </c>
      <c r="DZ23" s="302">
        <f t="shared" si="16"/>
        <v>0</v>
      </c>
      <c r="EA23" s="302">
        <f t="shared" si="16"/>
        <v>0</v>
      </c>
      <c r="EB23" s="302">
        <f t="shared" si="16"/>
        <v>0</v>
      </c>
      <c r="EC23" s="302">
        <f t="shared" si="16"/>
        <v>0</v>
      </c>
      <c r="ED23" s="302">
        <f t="shared" si="16"/>
        <v>0</v>
      </c>
      <c r="EE23" s="302">
        <f t="shared" si="16"/>
        <v>0</v>
      </c>
      <c r="EF23" s="302">
        <f t="shared" si="16"/>
        <v>0</v>
      </c>
      <c r="EG23" s="302">
        <f t="shared" si="16"/>
        <v>0</v>
      </c>
      <c r="EH23" s="301">
        <f t="shared" si="16"/>
        <v>0</v>
      </c>
      <c r="EI23" s="301">
        <f t="shared" si="16"/>
        <v>0</v>
      </c>
      <c r="EJ23" s="301">
        <f t="shared" si="17"/>
        <v>0</v>
      </c>
      <c r="EK23" s="301">
        <f t="shared" si="17"/>
        <v>0</v>
      </c>
      <c r="EL23" s="301">
        <f t="shared" si="17"/>
        <v>0</v>
      </c>
      <c r="EM23" s="301">
        <f t="shared" si="17"/>
        <v>0</v>
      </c>
      <c r="EN23" s="301">
        <f t="shared" si="17"/>
        <v>0</v>
      </c>
      <c r="EO23" s="301">
        <f t="shared" si="17"/>
        <v>0</v>
      </c>
      <c r="EP23" s="488">
        <f t="shared" si="13"/>
        <v>0</v>
      </c>
      <c r="EQ23" s="305">
        <f t="shared" si="14"/>
        <v>0</v>
      </c>
    </row>
    <row r="24" spans="1:147" s="170" customFormat="1" ht="15.75" customHeight="1">
      <c r="A24" s="344"/>
      <c r="B24" s="292" t="s">
        <v>85</v>
      </c>
      <c r="C24" s="292" t="s">
        <v>195</v>
      </c>
      <c r="D24" s="292" t="s">
        <v>1371</v>
      </c>
      <c r="E24" s="292" t="s">
        <v>1375</v>
      </c>
      <c r="F24" s="292" t="s">
        <v>184</v>
      </c>
      <c r="G24" s="292" t="s">
        <v>1364</v>
      </c>
      <c r="H24" s="292" t="s">
        <v>351</v>
      </c>
      <c r="I24" s="292" t="s">
        <v>352</v>
      </c>
      <c r="J24" s="292" t="s">
        <v>1374</v>
      </c>
      <c r="K24" s="292"/>
      <c r="L24" s="292" t="str">
        <f t="shared" si="3"/>
        <v>PTD-Manufacturing</v>
      </c>
      <c r="M24" s="292" t="str">
        <f t="shared" si="4"/>
        <v>Technology-Senior Consultant-India-Consulting</v>
      </c>
      <c r="N24" s="292" t="str">
        <f t="shared" si="5"/>
        <v>Manufacturing - Technology</v>
      </c>
      <c r="O24" s="485">
        <f t="shared" si="6"/>
        <v>146970</v>
      </c>
      <c r="P24" s="474">
        <f t="shared" si="7"/>
        <v>2070</v>
      </c>
      <c r="Q24" s="474"/>
      <c r="R24" s="474"/>
      <c r="S24" s="474"/>
      <c r="T24" s="292" t="s">
        <v>261</v>
      </c>
      <c r="U24" s="292" t="s">
        <v>259</v>
      </c>
      <c r="V24" s="292" t="s">
        <v>364</v>
      </c>
      <c r="W24" s="486">
        <f>IFERROR(VLOOKUP(M24,'Rate Card'!$A:$G,6,FALSE()),"combination not found")</f>
        <v>71</v>
      </c>
      <c r="X24" s="475"/>
      <c r="Y24" s="475"/>
      <c r="Z24" s="475"/>
      <c r="AA24" s="475"/>
      <c r="AB24" s="475"/>
      <c r="AC24" s="475"/>
      <c r="AD24" s="475"/>
      <c r="AE24" s="475"/>
      <c r="AF24" s="475"/>
      <c r="AG24" s="475"/>
      <c r="AH24" s="475"/>
      <c r="AI24" s="475"/>
      <c r="AJ24" s="475"/>
      <c r="AK24" s="475"/>
      <c r="AL24" s="475"/>
      <c r="AM24" s="475"/>
      <c r="AN24" s="475"/>
      <c r="AO24" s="475"/>
      <c r="AP24" s="475"/>
      <c r="AQ24" s="475"/>
      <c r="AR24" s="475"/>
      <c r="AS24" s="475"/>
      <c r="AT24" s="475"/>
      <c r="AU24" s="475"/>
      <c r="AV24" s="475"/>
      <c r="AW24" s="475">
        <v>45</v>
      </c>
      <c r="AX24" s="475">
        <v>45</v>
      </c>
      <c r="AY24" s="475">
        <v>45</v>
      </c>
      <c r="AZ24" s="475">
        <v>45</v>
      </c>
      <c r="BA24" s="475">
        <v>45</v>
      </c>
      <c r="BB24" s="475">
        <v>45</v>
      </c>
      <c r="BC24" s="475">
        <v>45</v>
      </c>
      <c r="BD24" s="475">
        <v>45</v>
      </c>
      <c r="BE24" s="475">
        <v>45</v>
      </c>
      <c r="BF24" s="475">
        <v>45</v>
      </c>
      <c r="BG24" s="475">
        <v>45</v>
      </c>
      <c r="BH24" s="475">
        <v>45</v>
      </c>
      <c r="BI24" s="475">
        <v>45</v>
      </c>
      <c r="BJ24" s="475">
        <v>45</v>
      </c>
      <c r="BK24" s="475">
        <v>45</v>
      </c>
      <c r="BL24" s="475">
        <v>45</v>
      </c>
      <c r="BM24" s="475">
        <v>45</v>
      </c>
      <c r="BN24" s="475">
        <v>45</v>
      </c>
      <c r="BO24" s="475">
        <v>45</v>
      </c>
      <c r="BP24" s="475">
        <v>45</v>
      </c>
      <c r="BQ24" s="475">
        <v>45</v>
      </c>
      <c r="BR24" s="475">
        <v>45</v>
      </c>
      <c r="BS24" s="475">
        <v>45</v>
      </c>
      <c r="BT24" s="475">
        <v>45</v>
      </c>
      <c r="BU24" s="475">
        <v>45</v>
      </c>
      <c r="BV24" s="475">
        <v>45</v>
      </c>
      <c r="BW24" s="475">
        <v>45</v>
      </c>
      <c r="BX24" s="475">
        <v>45</v>
      </c>
      <c r="BY24" s="475">
        <v>45</v>
      </c>
      <c r="BZ24" s="475">
        <v>45</v>
      </c>
      <c r="CA24" s="475">
        <v>45</v>
      </c>
      <c r="CB24" s="475">
        <v>45</v>
      </c>
      <c r="CC24" s="475">
        <v>45</v>
      </c>
      <c r="CD24" s="475">
        <v>45</v>
      </c>
      <c r="CE24" s="475">
        <v>45</v>
      </c>
      <c r="CF24" s="475">
        <v>45</v>
      </c>
      <c r="CG24" s="475">
        <v>45</v>
      </c>
      <c r="CH24" s="475">
        <v>45</v>
      </c>
      <c r="CI24" s="475">
        <v>45</v>
      </c>
      <c r="CJ24" s="475">
        <v>45</v>
      </c>
      <c r="CK24" s="475">
        <v>45</v>
      </c>
      <c r="CL24" s="475">
        <v>45</v>
      </c>
      <c r="CM24" s="475">
        <v>45</v>
      </c>
      <c r="CN24" s="475">
        <v>45</v>
      </c>
      <c r="CO24" s="475">
        <v>45</v>
      </c>
      <c r="CP24" s="475">
        <v>45</v>
      </c>
      <c r="CQ24" s="475"/>
      <c r="CR24" s="475"/>
      <c r="CS24" s="475"/>
      <c r="CT24" s="475"/>
      <c r="CU24" s="475"/>
      <c r="CV24" s="475"/>
      <c r="CW24" s="475"/>
      <c r="CX24" s="475"/>
      <c r="CY24" s="475"/>
      <c r="CZ24" s="475"/>
      <c r="DA24" s="475"/>
      <c r="DB24" s="475"/>
      <c r="DC24" s="476"/>
      <c r="DD24" s="476"/>
      <c r="DE24" s="476"/>
      <c r="DF24" s="476"/>
      <c r="DG24" s="475"/>
      <c r="DH24" s="475"/>
      <c r="DI24" s="475"/>
      <c r="DJ24" s="475"/>
      <c r="DK24" s="475"/>
      <c r="DL24" s="475"/>
      <c r="DM24" s="475"/>
      <c r="DN24" s="475"/>
      <c r="DO24" s="475"/>
      <c r="DP24" s="487">
        <f t="shared" si="15"/>
        <v>0</v>
      </c>
      <c r="DQ24" s="487">
        <f t="shared" si="15"/>
        <v>0</v>
      </c>
      <c r="DR24" s="487">
        <f t="shared" si="15"/>
        <v>0</v>
      </c>
      <c r="DS24" s="487">
        <f t="shared" si="15"/>
        <v>0</v>
      </c>
      <c r="DT24" s="487">
        <f t="shared" si="15"/>
        <v>0</v>
      </c>
      <c r="DU24" s="302">
        <f t="shared" si="15"/>
        <v>0</v>
      </c>
      <c r="DV24" s="302">
        <f t="shared" si="15"/>
        <v>0</v>
      </c>
      <c r="DW24" s="302">
        <f t="shared" si="15"/>
        <v>0</v>
      </c>
      <c r="DX24" s="302">
        <f t="shared" si="15"/>
        <v>135</v>
      </c>
      <c r="DY24" s="302">
        <f t="shared" si="15"/>
        <v>180</v>
      </c>
      <c r="DZ24" s="302">
        <f t="shared" si="16"/>
        <v>180</v>
      </c>
      <c r="EA24" s="302">
        <f t="shared" si="16"/>
        <v>180</v>
      </c>
      <c r="EB24" s="302">
        <f t="shared" si="16"/>
        <v>180</v>
      </c>
      <c r="EC24" s="302">
        <f t="shared" si="16"/>
        <v>180</v>
      </c>
      <c r="ED24" s="302">
        <f t="shared" si="16"/>
        <v>180</v>
      </c>
      <c r="EE24" s="302">
        <f t="shared" si="16"/>
        <v>180</v>
      </c>
      <c r="EF24" s="302">
        <f t="shared" si="16"/>
        <v>180</v>
      </c>
      <c r="EG24" s="302">
        <f t="shared" si="16"/>
        <v>180</v>
      </c>
      <c r="EH24" s="301">
        <f t="shared" si="16"/>
        <v>180</v>
      </c>
      <c r="EI24" s="301">
        <f t="shared" si="16"/>
        <v>135</v>
      </c>
      <c r="EJ24" s="301">
        <f t="shared" si="17"/>
        <v>0</v>
      </c>
      <c r="EK24" s="301">
        <f t="shared" si="17"/>
        <v>0</v>
      </c>
      <c r="EL24" s="301">
        <f t="shared" si="17"/>
        <v>0</v>
      </c>
      <c r="EM24" s="301">
        <f t="shared" si="17"/>
        <v>0</v>
      </c>
      <c r="EN24" s="301">
        <f t="shared" si="17"/>
        <v>0</v>
      </c>
      <c r="EO24" s="301">
        <f t="shared" si="17"/>
        <v>0</v>
      </c>
      <c r="EP24" s="488">
        <f t="shared" si="13"/>
        <v>2070</v>
      </c>
      <c r="EQ24" s="305">
        <f t="shared" si="14"/>
        <v>0</v>
      </c>
    </row>
    <row r="25" spans="1:147" s="170" customFormat="1" ht="15.75" customHeight="1">
      <c r="A25" s="344"/>
      <c r="B25" s="292" t="s">
        <v>85</v>
      </c>
      <c r="C25" s="292" t="s">
        <v>195</v>
      </c>
      <c r="D25" s="292" t="s">
        <v>1376</v>
      </c>
      <c r="E25" s="292" t="s">
        <v>1377</v>
      </c>
      <c r="F25" s="292" t="s">
        <v>184</v>
      </c>
      <c r="G25" s="292" t="s">
        <v>1364</v>
      </c>
      <c r="H25" s="292" t="s">
        <v>351</v>
      </c>
      <c r="I25" s="292" t="s">
        <v>352</v>
      </c>
      <c r="J25" s="292" t="s">
        <v>368</v>
      </c>
      <c r="K25" s="292"/>
      <c r="L25" s="292" t="str">
        <f t="shared" si="3"/>
        <v>PTD-Logistics / Warehouse</v>
      </c>
      <c r="M25" s="292" t="str">
        <f t="shared" si="4"/>
        <v>Technology-Consultant-India-Consulting</v>
      </c>
      <c r="N25" s="292" t="str">
        <f t="shared" si="5"/>
        <v>Logistics / Warehouse - Technology</v>
      </c>
      <c r="O25" s="485">
        <f t="shared" si="6"/>
        <v>124200</v>
      </c>
      <c r="P25" s="474">
        <f t="shared" si="7"/>
        <v>2070</v>
      </c>
      <c r="Q25" s="474"/>
      <c r="R25" s="474"/>
      <c r="S25" s="474"/>
      <c r="T25" s="292" t="s">
        <v>261</v>
      </c>
      <c r="U25" s="292" t="s">
        <v>259</v>
      </c>
      <c r="V25" s="292" t="s">
        <v>368</v>
      </c>
      <c r="W25" s="486">
        <f>IFERROR(VLOOKUP(M25,'Rate Card'!$A:$G,6,FALSE()),"combination not found")</f>
        <v>60</v>
      </c>
      <c r="X25" s="475"/>
      <c r="Y25" s="475"/>
      <c r="Z25" s="475"/>
      <c r="AA25" s="475"/>
      <c r="AB25" s="475"/>
      <c r="AC25" s="475"/>
      <c r="AD25" s="475"/>
      <c r="AE25" s="475"/>
      <c r="AF25" s="475"/>
      <c r="AG25" s="475"/>
      <c r="AH25" s="475"/>
      <c r="AI25" s="475"/>
      <c r="AJ25" s="475"/>
      <c r="AK25" s="475"/>
      <c r="AL25" s="475"/>
      <c r="AM25" s="475"/>
      <c r="AN25" s="475"/>
      <c r="AO25" s="475"/>
      <c r="AP25" s="475"/>
      <c r="AQ25" s="475"/>
      <c r="AR25" s="475"/>
      <c r="AS25" s="475"/>
      <c r="AT25" s="475"/>
      <c r="AU25" s="475"/>
      <c r="AV25" s="475"/>
      <c r="AW25" s="475">
        <v>45</v>
      </c>
      <c r="AX25" s="475">
        <v>45</v>
      </c>
      <c r="AY25" s="475">
        <v>45</v>
      </c>
      <c r="AZ25" s="475">
        <v>45</v>
      </c>
      <c r="BA25" s="475">
        <v>45</v>
      </c>
      <c r="BB25" s="475">
        <v>45</v>
      </c>
      <c r="BC25" s="475">
        <v>45</v>
      </c>
      <c r="BD25" s="475">
        <v>45</v>
      </c>
      <c r="BE25" s="475">
        <v>45</v>
      </c>
      <c r="BF25" s="475">
        <v>45</v>
      </c>
      <c r="BG25" s="475">
        <v>45</v>
      </c>
      <c r="BH25" s="475">
        <v>45</v>
      </c>
      <c r="BI25" s="475">
        <v>45</v>
      </c>
      <c r="BJ25" s="475">
        <v>45</v>
      </c>
      <c r="BK25" s="475">
        <v>45</v>
      </c>
      <c r="BL25" s="475">
        <v>45</v>
      </c>
      <c r="BM25" s="475">
        <v>45</v>
      </c>
      <c r="BN25" s="475">
        <v>45</v>
      </c>
      <c r="BO25" s="475">
        <v>45</v>
      </c>
      <c r="BP25" s="475">
        <v>45</v>
      </c>
      <c r="BQ25" s="475">
        <v>45</v>
      </c>
      <c r="BR25" s="475">
        <v>45</v>
      </c>
      <c r="BS25" s="475">
        <v>45</v>
      </c>
      <c r="BT25" s="475">
        <v>45</v>
      </c>
      <c r="BU25" s="475">
        <v>45</v>
      </c>
      <c r="BV25" s="475">
        <v>45</v>
      </c>
      <c r="BW25" s="475">
        <v>45</v>
      </c>
      <c r="BX25" s="475">
        <v>45</v>
      </c>
      <c r="BY25" s="475">
        <v>45</v>
      </c>
      <c r="BZ25" s="475">
        <v>45</v>
      </c>
      <c r="CA25" s="475">
        <v>45</v>
      </c>
      <c r="CB25" s="475">
        <v>45</v>
      </c>
      <c r="CC25" s="475">
        <v>45</v>
      </c>
      <c r="CD25" s="475">
        <v>45</v>
      </c>
      <c r="CE25" s="475">
        <v>45</v>
      </c>
      <c r="CF25" s="475">
        <v>45</v>
      </c>
      <c r="CG25" s="475">
        <v>45</v>
      </c>
      <c r="CH25" s="475">
        <v>45</v>
      </c>
      <c r="CI25" s="475">
        <v>45</v>
      </c>
      <c r="CJ25" s="475">
        <v>45</v>
      </c>
      <c r="CK25" s="475">
        <v>45</v>
      </c>
      <c r="CL25" s="475">
        <v>45</v>
      </c>
      <c r="CM25" s="475">
        <v>45</v>
      </c>
      <c r="CN25" s="475">
        <v>45</v>
      </c>
      <c r="CO25" s="475">
        <v>45</v>
      </c>
      <c r="CP25" s="475">
        <v>45</v>
      </c>
      <c r="CQ25" s="475"/>
      <c r="CR25" s="475"/>
      <c r="CS25" s="475"/>
      <c r="CT25" s="475"/>
      <c r="CU25" s="475"/>
      <c r="CV25" s="475"/>
      <c r="CW25" s="475"/>
      <c r="CX25" s="475"/>
      <c r="CY25" s="475"/>
      <c r="CZ25" s="475"/>
      <c r="DA25" s="475"/>
      <c r="DB25" s="475"/>
      <c r="DC25" s="476"/>
      <c r="DD25" s="476"/>
      <c r="DE25" s="476"/>
      <c r="DF25" s="476"/>
      <c r="DG25" s="475"/>
      <c r="DH25" s="475"/>
      <c r="DI25" s="475"/>
      <c r="DJ25" s="475"/>
      <c r="DK25" s="475"/>
      <c r="DL25" s="475"/>
      <c r="DM25" s="475"/>
      <c r="DN25" s="475"/>
      <c r="DO25" s="475"/>
      <c r="DP25" s="487">
        <f t="shared" si="15"/>
        <v>0</v>
      </c>
      <c r="DQ25" s="487">
        <f t="shared" si="15"/>
        <v>0</v>
      </c>
      <c r="DR25" s="487">
        <f t="shared" si="15"/>
        <v>0</v>
      </c>
      <c r="DS25" s="487">
        <f t="shared" si="15"/>
        <v>0</v>
      </c>
      <c r="DT25" s="487">
        <f t="shared" si="15"/>
        <v>0</v>
      </c>
      <c r="DU25" s="302">
        <f t="shared" si="15"/>
        <v>0</v>
      </c>
      <c r="DV25" s="302">
        <f t="shared" si="15"/>
        <v>0</v>
      </c>
      <c r="DW25" s="302">
        <f t="shared" si="15"/>
        <v>0</v>
      </c>
      <c r="DX25" s="302">
        <f t="shared" si="15"/>
        <v>135</v>
      </c>
      <c r="DY25" s="302">
        <f t="shared" si="15"/>
        <v>180</v>
      </c>
      <c r="DZ25" s="302">
        <f t="shared" si="16"/>
        <v>180</v>
      </c>
      <c r="EA25" s="302">
        <f t="shared" si="16"/>
        <v>180</v>
      </c>
      <c r="EB25" s="302">
        <f t="shared" si="16"/>
        <v>180</v>
      </c>
      <c r="EC25" s="302">
        <f t="shared" si="16"/>
        <v>180</v>
      </c>
      <c r="ED25" s="302">
        <f t="shared" si="16"/>
        <v>180</v>
      </c>
      <c r="EE25" s="302">
        <f t="shared" si="16"/>
        <v>180</v>
      </c>
      <c r="EF25" s="302">
        <f t="shared" si="16"/>
        <v>180</v>
      </c>
      <c r="EG25" s="302">
        <f t="shared" si="16"/>
        <v>180</v>
      </c>
      <c r="EH25" s="301">
        <f t="shared" si="16"/>
        <v>180</v>
      </c>
      <c r="EI25" s="301">
        <f t="shared" si="16"/>
        <v>135</v>
      </c>
      <c r="EJ25" s="301">
        <f t="shared" si="17"/>
        <v>0</v>
      </c>
      <c r="EK25" s="301">
        <f t="shared" si="17"/>
        <v>0</v>
      </c>
      <c r="EL25" s="301">
        <f t="shared" si="17"/>
        <v>0</v>
      </c>
      <c r="EM25" s="301">
        <f t="shared" si="17"/>
        <v>0</v>
      </c>
      <c r="EN25" s="301">
        <f t="shared" si="17"/>
        <v>0</v>
      </c>
      <c r="EO25" s="301">
        <f t="shared" si="17"/>
        <v>0</v>
      </c>
      <c r="EP25" s="488">
        <f t="shared" si="13"/>
        <v>2070</v>
      </c>
      <c r="EQ25" s="305">
        <f t="shared" si="14"/>
        <v>0</v>
      </c>
    </row>
    <row r="26" spans="1:147" s="170" customFormat="1" ht="15.75" hidden="1" customHeight="1">
      <c r="A26" s="344"/>
      <c r="B26" s="292" t="s">
        <v>348</v>
      </c>
      <c r="C26" s="292" t="s">
        <v>255</v>
      </c>
      <c r="D26" s="292" t="s">
        <v>255</v>
      </c>
      <c r="E26" s="292" t="s">
        <v>1378</v>
      </c>
      <c r="F26" s="292" t="s">
        <v>184</v>
      </c>
      <c r="G26" s="292" t="s">
        <v>1364</v>
      </c>
      <c r="H26" s="292" t="s">
        <v>351</v>
      </c>
      <c r="I26" s="292" t="s">
        <v>352</v>
      </c>
      <c r="J26" s="292" t="s">
        <v>1374</v>
      </c>
      <c r="K26" s="292"/>
      <c r="L26" s="292" t="str">
        <f t="shared" si="3"/>
        <v>Development-Development</v>
      </c>
      <c r="M26" s="292" t="str">
        <f t="shared" si="4"/>
        <v>Solution Architect-Lead-India-Technology</v>
      </c>
      <c r="N26" s="292" t="str">
        <f t="shared" si="5"/>
        <v>Development - Solution Architect</v>
      </c>
      <c r="O26" s="485">
        <f t="shared" si="6"/>
        <v>111600</v>
      </c>
      <c r="P26" s="474">
        <f t="shared" si="7"/>
        <v>1800</v>
      </c>
      <c r="Q26" s="474" t="str">
        <f t="shared" ref="Q26:Q33" si="18">_xlfn.CONCAT(U26, " - ",V26)</f>
        <v>Solution Architect - Lead</v>
      </c>
      <c r="R26" s="474" t="str">
        <f>VLOOKUP(M26,'Rate Card'!$A$1:$D$674,4,FALSE())</f>
        <v>9-12 years</v>
      </c>
      <c r="S26" s="474" t="str">
        <f t="shared" ref="S26:S34" si="19">IF(F26="US", "Onshore",IF(F26="India","Offshore", "Nearshore"))</f>
        <v>Offshore</v>
      </c>
      <c r="T26" s="292" t="s">
        <v>259</v>
      </c>
      <c r="U26" s="292" t="s">
        <v>369</v>
      </c>
      <c r="V26" s="292" t="s">
        <v>241</v>
      </c>
      <c r="W26" s="486">
        <f>IFERROR(VLOOKUP(M26,'Rate Card'!$A:$G,6,FALSE()),"combination not found")</f>
        <v>62</v>
      </c>
      <c r="X26" s="475"/>
      <c r="Y26" s="475"/>
      <c r="Z26" s="475"/>
      <c r="AA26" s="475"/>
      <c r="AB26" s="475"/>
      <c r="AC26" s="475"/>
      <c r="AD26" s="475"/>
      <c r="AE26" s="475"/>
      <c r="AF26" s="475"/>
      <c r="AG26" s="475"/>
      <c r="AH26" s="475"/>
      <c r="AI26" s="475"/>
      <c r="AJ26" s="475"/>
      <c r="AK26" s="475"/>
      <c r="AL26" s="475"/>
      <c r="AM26" s="475"/>
      <c r="AN26" s="475"/>
      <c r="AO26" s="475"/>
      <c r="AP26" s="475"/>
      <c r="AQ26" s="475"/>
      <c r="AR26" s="475"/>
      <c r="AS26" s="475"/>
      <c r="AT26" s="475"/>
      <c r="AU26" s="475"/>
      <c r="AV26" s="475"/>
      <c r="AW26" s="475"/>
      <c r="AX26" s="475"/>
      <c r="AY26" s="475"/>
      <c r="AZ26" s="475">
        <v>45</v>
      </c>
      <c r="BA26" s="475">
        <v>45</v>
      </c>
      <c r="BB26" s="475">
        <v>45</v>
      </c>
      <c r="BC26" s="475">
        <v>45</v>
      </c>
      <c r="BD26" s="475">
        <v>45</v>
      </c>
      <c r="BE26" s="475">
        <v>45</v>
      </c>
      <c r="BF26" s="475">
        <v>45</v>
      </c>
      <c r="BG26" s="475">
        <v>45</v>
      </c>
      <c r="BH26" s="475">
        <v>45</v>
      </c>
      <c r="BI26" s="475">
        <v>45</v>
      </c>
      <c r="BJ26" s="475">
        <v>45</v>
      </c>
      <c r="BK26" s="475">
        <v>45</v>
      </c>
      <c r="BL26" s="475">
        <v>45</v>
      </c>
      <c r="BM26" s="475">
        <v>45</v>
      </c>
      <c r="BN26" s="475">
        <v>45</v>
      </c>
      <c r="BO26" s="475">
        <v>45</v>
      </c>
      <c r="BP26" s="475">
        <v>45</v>
      </c>
      <c r="BQ26" s="475">
        <v>45</v>
      </c>
      <c r="BR26" s="475">
        <v>45</v>
      </c>
      <c r="BS26" s="475">
        <v>45</v>
      </c>
      <c r="BT26" s="475">
        <v>45</v>
      </c>
      <c r="BU26" s="475">
        <v>45</v>
      </c>
      <c r="BV26" s="475">
        <v>45</v>
      </c>
      <c r="BW26" s="475">
        <v>45</v>
      </c>
      <c r="BX26" s="475">
        <v>45</v>
      </c>
      <c r="BY26" s="475">
        <v>45</v>
      </c>
      <c r="BZ26" s="475">
        <v>45</v>
      </c>
      <c r="CA26" s="475">
        <v>45</v>
      </c>
      <c r="CB26" s="475">
        <v>45</v>
      </c>
      <c r="CC26" s="475">
        <v>45</v>
      </c>
      <c r="CD26" s="475">
        <v>45</v>
      </c>
      <c r="CE26" s="475">
        <v>45</v>
      </c>
      <c r="CF26" s="475">
        <v>45</v>
      </c>
      <c r="CG26" s="475">
        <v>45</v>
      </c>
      <c r="CH26" s="475">
        <v>45</v>
      </c>
      <c r="CI26" s="475">
        <v>45</v>
      </c>
      <c r="CJ26" s="475">
        <v>45</v>
      </c>
      <c r="CK26" s="475">
        <v>45</v>
      </c>
      <c r="CL26" s="475">
        <v>45</v>
      </c>
      <c r="CM26" s="475">
        <v>45</v>
      </c>
      <c r="CN26" s="475"/>
      <c r="CO26" s="475"/>
      <c r="CP26" s="475"/>
      <c r="CQ26" s="475"/>
      <c r="CR26" s="475"/>
      <c r="CS26" s="475"/>
      <c r="CT26" s="475"/>
      <c r="CU26" s="475"/>
      <c r="CV26" s="475"/>
      <c r="CW26" s="475"/>
      <c r="CX26" s="475"/>
      <c r="CY26" s="475"/>
      <c r="CZ26" s="475"/>
      <c r="DA26" s="475"/>
      <c r="DB26" s="475"/>
      <c r="DC26" s="476"/>
      <c r="DD26" s="476"/>
      <c r="DE26" s="476"/>
      <c r="DF26" s="476"/>
      <c r="DG26" s="475"/>
      <c r="DH26" s="475"/>
      <c r="DI26" s="475"/>
      <c r="DJ26" s="475"/>
      <c r="DK26" s="475"/>
      <c r="DL26" s="475"/>
      <c r="DM26" s="475"/>
      <c r="DN26" s="475"/>
      <c r="DO26" s="475"/>
      <c r="DP26" s="487">
        <f t="shared" si="15"/>
        <v>0</v>
      </c>
      <c r="DQ26" s="487">
        <f t="shared" si="15"/>
        <v>0</v>
      </c>
      <c r="DR26" s="487">
        <f t="shared" si="15"/>
        <v>0</v>
      </c>
      <c r="DS26" s="487">
        <f t="shared" si="15"/>
        <v>0</v>
      </c>
      <c r="DT26" s="487">
        <f t="shared" si="15"/>
        <v>0</v>
      </c>
      <c r="DU26" s="302">
        <f t="shared" si="15"/>
        <v>0</v>
      </c>
      <c r="DV26" s="302">
        <f t="shared" si="15"/>
        <v>0</v>
      </c>
      <c r="DW26" s="302">
        <f t="shared" si="15"/>
        <v>0</v>
      </c>
      <c r="DX26" s="302">
        <f t="shared" si="15"/>
        <v>0</v>
      </c>
      <c r="DY26" s="302">
        <f t="shared" si="15"/>
        <v>180</v>
      </c>
      <c r="DZ26" s="302">
        <f t="shared" si="16"/>
        <v>180</v>
      </c>
      <c r="EA26" s="302">
        <f t="shared" si="16"/>
        <v>180</v>
      </c>
      <c r="EB26" s="302">
        <f t="shared" si="16"/>
        <v>180</v>
      </c>
      <c r="EC26" s="302">
        <f t="shared" si="16"/>
        <v>180</v>
      </c>
      <c r="ED26" s="302">
        <f t="shared" si="16"/>
        <v>180</v>
      </c>
      <c r="EE26" s="302">
        <f t="shared" si="16"/>
        <v>180</v>
      </c>
      <c r="EF26" s="302">
        <f t="shared" si="16"/>
        <v>180</v>
      </c>
      <c r="EG26" s="302">
        <f t="shared" si="16"/>
        <v>180</v>
      </c>
      <c r="EH26" s="301">
        <f t="shared" si="16"/>
        <v>180</v>
      </c>
      <c r="EI26" s="301">
        <f t="shared" si="16"/>
        <v>0</v>
      </c>
      <c r="EJ26" s="301">
        <f t="shared" si="17"/>
        <v>0</v>
      </c>
      <c r="EK26" s="301">
        <f t="shared" si="17"/>
        <v>0</v>
      </c>
      <c r="EL26" s="301">
        <f t="shared" si="17"/>
        <v>0</v>
      </c>
      <c r="EM26" s="301">
        <f t="shared" si="17"/>
        <v>0</v>
      </c>
      <c r="EN26" s="301">
        <f t="shared" si="17"/>
        <v>0</v>
      </c>
      <c r="EO26" s="301">
        <f t="shared" si="17"/>
        <v>0</v>
      </c>
      <c r="EP26" s="488">
        <f t="shared" si="13"/>
        <v>1800</v>
      </c>
      <c r="EQ26" s="305">
        <f t="shared" si="14"/>
        <v>0</v>
      </c>
    </row>
    <row r="27" spans="1:147" s="170" customFormat="1" ht="15.75" hidden="1" customHeight="1">
      <c r="A27" s="344"/>
      <c r="B27" s="292" t="s">
        <v>348</v>
      </c>
      <c r="C27" s="292" t="s">
        <v>255</v>
      </c>
      <c r="D27" s="292" t="s">
        <v>255</v>
      </c>
      <c r="E27" s="292" t="s">
        <v>1379</v>
      </c>
      <c r="F27" s="292" t="s">
        <v>184</v>
      </c>
      <c r="G27" s="292" t="s">
        <v>1364</v>
      </c>
      <c r="H27" s="292" t="s">
        <v>351</v>
      </c>
      <c r="I27" s="292" t="s">
        <v>352</v>
      </c>
      <c r="J27" s="292" t="s">
        <v>368</v>
      </c>
      <c r="K27" s="292"/>
      <c r="L27" s="292" t="str">
        <f t="shared" si="3"/>
        <v>Development-Development</v>
      </c>
      <c r="M27" s="292" t="str">
        <f t="shared" si="4"/>
        <v>Systems Implementation Consultant-Senior-India-Technology</v>
      </c>
      <c r="N27" s="292" t="str">
        <f t="shared" si="5"/>
        <v>Development - Systems Implementation Consultant</v>
      </c>
      <c r="O27" s="485">
        <f t="shared" si="6"/>
        <v>73440</v>
      </c>
      <c r="P27" s="474">
        <f t="shared" si="7"/>
        <v>1530</v>
      </c>
      <c r="Q27" s="474" t="str">
        <f t="shared" si="18"/>
        <v>Systems Implementation Consultant - Senior</v>
      </c>
      <c r="R27" s="474" t="str">
        <f>VLOOKUP(M27,'Rate Card'!$A$1:$D$674,4,FALSE())</f>
        <v>6-9 years</v>
      </c>
      <c r="S27" s="474" t="str">
        <f t="shared" si="19"/>
        <v>Offshore</v>
      </c>
      <c r="T27" s="292" t="s">
        <v>259</v>
      </c>
      <c r="U27" s="292" t="s">
        <v>833</v>
      </c>
      <c r="V27" s="292" t="s">
        <v>243</v>
      </c>
      <c r="W27" s="486">
        <f>IFERROR(VLOOKUP(M27,'Rate Card'!$A:$G,6,FALSE()),"combination not found")</f>
        <v>48</v>
      </c>
      <c r="X27" s="475"/>
      <c r="Y27" s="475"/>
      <c r="Z27" s="475"/>
      <c r="AA27" s="475"/>
      <c r="AB27" s="475"/>
      <c r="AC27" s="475"/>
      <c r="AD27" s="475"/>
      <c r="AE27" s="475"/>
      <c r="AF27" s="475"/>
      <c r="AG27" s="475"/>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5"/>
      <c r="BD27" s="475">
        <v>45</v>
      </c>
      <c r="BE27" s="475">
        <v>45</v>
      </c>
      <c r="BF27" s="475">
        <v>45</v>
      </c>
      <c r="BG27" s="475">
        <v>45</v>
      </c>
      <c r="BH27" s="475">
        <v>45</v>
      </c>
      <c r="BI27" s="475">
        <v>45</v>
      </c>
      <c r="BJ27" s="475">
        <v>45</v>
      </c>
      <c r="BK27" s="475">
        <v>45</v>
      </c>
      <c r="BL27" s="475">
        <v>45</v>
      </c>
      <c r="BM27" s="475">
        <v>45</v>
      </c>
      <c r="BN27" s="475">
        <v>45</v>
      </c>
      <c r="BO27" s="475">
        <v>45</v>
      </c>
      <c r="BP27" s="475">
        <v>45</v>
      </c>
      <c r="BQ27" s="475">
        <v>45</v>
      </c>
      <c r="BR27" s="475">
        <v>45</v>
      </c>
      <c r="BS27" s="475">
        <v>45</v>
      </c>
      <c r="BT27" s="475">
        <v>45</v>
      </c>
      <c r="BU27" s="475">
        <v>45</v>
      </c>
      <c r="BV27" s="475">
        <v>45</v>
      </c>
      <c r="BW27" s="475">
        <v>45</v>
      </c>
      <c r="BX27" s="475">
        <v>45</v>
      </c>
      <c r="BY27" s="475">
        <v>45</v>
      </c>
      <c r="BZ27" s="475">
        <v>45</v>
      </c>
      <c r="CA27" s="475">
        <v>45</v>
      </c>
      <c r="CB27" s="475">
        <v>45</v>
      </c>
      <c r="CC27" s="475">
        <v>45</v>
      </c>
      <c r="CD27" s="475">
        <v>45</v>
      </c>
      <c r="CE27" s="475">
        <v>45</v>
      </c>
      <c r="CF27" s="475">
        <v>45</v>
      </c>
      <c r="CG27" s="475">
        <v>45</v>
      </c>
      <c r="CH27" s="475">
        <v>45</v>
      </c>
      <c r="CI27" s="475">
        <v>45</v>
      </c>
      <c r="CJ27" s="475">
        <v>45</v>
      </c>
      <c r="CK27" s="475">
        <v>45</v>
      </c>
      <c r="CL27" s="475"/>
      <c r="CM27" s="475"/>
      <c r="CN27" s="475"/>
      <c r="CO27" s="475"/>
      <c r="CP27" s="475"/>
      <c r="CQ27" s="475"/>
      <c r="CR27" s="475"/>
      <c r="CS27" s="475"/>
      <c r="CT27" s="475"/>
      <c r="CU27" s="475"/>
      <c r="CV27" s="475"/>
      <c r="CW27" s="475"/>
      <c r="CX27" s="475"/>
      <c r="CY27" s="475"/>
      <c r="CZ27" s="475"/>
      <c r="DA27" s="475"/>
      <c r="DB27" s="475"/>
      <c r="DC27" s="476"/>
      <c r="DD27" s="476"/>
      <c r="DE27" s="476"/>
      <c r="DF27" s="476"/>
      <c r="DG27" s="475"/>
      <c r="DH27" s="475"/>
      <c r="DI27" s="475"/>
      <c r="DJ27" s="475"/>
      <c r="DK27" s="475"/>
      <c r="DL27" s="475"/>
      <c r="DM27" s="475"/>
      <c r="DN27" s="475"/>
      <c r="DO27" s="475"/>
      <c r="DP27" s="487">
        <f t="shared" si="15"/>
        <v>0</v>
      </c>
      <c r="DQ27" s="487">
        <f t="shared" si="15"/>
        <v>0</v>
      </c>
      <c r="DR27" s="487">
        <f t="shared" si="15"/>
        <v>0</v>
      </c>
      <c r="DS27" s="487">
        <f t="shared" si="15"/>
        <v>0</v>
      </c>
      <c r="DT27" s="487">
        <f t="shared" si="15"/>
        <v>0</v>
      </c>
      <c r="DU27" s="302">
        <f t="shared" si="15"/>
        <v>0</v>
      </c>
      <c r="DV27" s="302">
        <f t="shared" si="15"/>
        <v>0</v>
      </c>
      <c r="DW27" s="302">
        <f t="shared" si="15"/>
        <v>0</v>
      </c>
      <c r="DX27" s="302">
        <f t="shared" si="15"/>
        <v>0</v>
      </c>
      <c r="DY27" s="302">
        <f t="shared" si="15"/>
        <v>0</v>
      </c>
      <c r="DZ27" s="302">
        <f t="shared" si="16"/>
        <v>180</v>
      </c>
      <c r="EA27" s="302">
        <f t="shared" si="16"/>
        <v>180</v>
      </c>
      <c r="EB27" s="302">
        <f t="shared" si="16"/>
        <v>180</v>
      </c>
      <c r="EC27" s="302">
        <f t="shared" si="16"/>
        <v>180</v>
      </c>
      <c r="ED27" s="302">
        <f t="shared" si="16"/>
        <v>180</v>
      </c>
      <c r="EE27" s="302">
        <f t="shared" si="16"/>
        <v>180</v>
      </c>
      <c r="EF27" s="302">
        <f t="shared" si="16"/>
        <v>180</v>
      </c>
      <c r="EG27" s="302">
        <f t="shared" si="16"/>
        <v>180</v>
      </c>
      <c r="EH27" s="301">
        <f t="shared" si="16"/>
        <v>90</v>
      </c>
      <c r="EI27" s="301">
        <f t="shared" si="16"/>
        <v>0</v>
      </c>
      <c r="EJ27" s="301">
        <f t="shared" si="17"/>
        <v>0</v>
      </c>
      <c r="EK27" s="301">
        <f t="shared" si="17"/>
        <v>0</v>
      </c>
      <c r="EL27" s="301">
        <f t="shared" si="17"/>
        <v>0</v>
      </c>
      <c r="EM27" s="301">
        <f t="shared" si="17"/>
        <v>0</v>
      </c>
      <c r="EN27" s="301">
        <f t="shared" si="17"/>
        <v>0</v>
      </c>
      <c r="EO27" s="301">
        <f t="shared" si="17"/>
        <v>0</v>
      </c>
      <c r="EP27" s="488">
        <f t="shared" si="13"/>
        <v>1530</v>
      </c>
      <c r="EQ27" s="305">
        <f t="shared" si="14"/>
        <v>0</v>
      </c>
    </row>
    <row r="28" spans="1:147" s="170" customFormat="1" ht="15.75" hidden="1" customHeight="1">
      <c r="A28" s="344"/>
      <c r="B28" s="292" t="s">
        <v>348</v>
      </c>
      <c r="C28" s="292" t="s">
        <v>102</v>
      </c>
      <c r="D28" s="292" t="s">
        <v>102</v>
      </c>
      <c r="E28" s="292" t="s">
        <v>1380</v>
      </c>
      <c r="F28" s="292" t="s">
        <v>184</v>
      </c>
      <c r="G28" s="292" t="s">
        <v>1364</v>
      </c>
      <c r="H28" s="292" t="s">
        <v>351</v>
      </c>
      <c r="I28" s="292" t="s">
        <v>352</v>
      </c>
      <c r="J28" s="292" t="s">
        <v>361</v>
      </c>
      <c r="K28" s="292"/>
      <c r="L28" s="292" t="str">
        <f t="shared" si="3"/>
        <v>Data-Data</v>
      </c>
      <c r="M28" s="292" t="str">
        <f t="shared" si="4"/>
        <v>Data Integration Architect-Senior-India-Technology</v>
      </c>
      <c r="N28" s="292" t="str">
        <f t="shared" si="5"/>
        <v>Data - Data Integration Architect</v>
      </c>
      <c r="O28" s="485">
        <f t="shared" si="6"/>
        <v>85260</v>
      </c>
      <c r="P28" s="474">
        <f t="shared" si="7"/>
        <v>1740</v>
      </c>
      <c r="Q28" s="474" t="str">
        <f t="shared" si="18"/>
        <v>Data Integration Architect - Senior</v>
      </c>
      <c r="R28" s="474" t="str">
        <f>VLOOKUP(M28,'Rate Card'!$A$1:$D$674,4,FALSE())</f>
        <v>6-9 years</v>
      </c>
      <c r="S28" s="474" t="str">
        <f t="shared" si="19"/>
        <v>Offshore</v>
      </c>
      <c r="T28" s="292" t="s">
        <v>259</v>
      </c>
      <c r="U28" s="292" t="s">
        <v>640</v>
      </c>
      <c r="V28" s="292" t="s">
        <v>243</v>
      </c>
      <c r="W28" s="486">
        <f>IFERROR(VLOOKUP(M28,'Rate Card'!$A:$G,6,FALSE()),"combination not found")</f>
        <v>49</v>
      </c>
      <c r="X28" s="475"/>
      <c r="Y28" s="475"/>
      <c r="Z28" s="475"/>
      <c r="AA28" s="475"/>
      <c r="AB28" s="475"/>
      <c r="AC28" s="475"/>
      <c r="AD28" s="475"/>
      <c r="AE28" s="475"/>
      <c r="AF28" s="475"/>
      <c r="AG28" s="475"/>
      <c r="AH28" s="475"/>
      <c r="AI28" s="475"/>
      <c r="AJ28" s="475"/>
      <c r="AK28" s="475"/>
      <c r="AL28" s="475"/>
      <c r="AM28" s="475"/>
      <c r="AN28" s="475"/>
      <c r="AO28" s="475"/>
      <c r="AP28" s="475"/>
      <c r="AQ28" s="475"/>
      <c r="AR28" s="475"/>
      <c r="AS28" s="475"/>
      <c r="AT28" s="475"/>
      <c r="AU28" s="475"/>
      <c r="AV28" s="475"/>
      <c r="AW28" s="475"/>
      <c r="AX28" s="475"/>
      <c r="AY28" s="475"/>
      <c r="AZ28" s="475"/>
      <c r="BA28" s="475"/>
      <c r="BB28" s="475">
        <v>45</v>
      </c>
      <c r="BC28" s="475">
        <v>45</v>
      </c>
      <c r="BD28" s="475">
        <v>45</v>
      </c>
      <c r="BE28" s="475">
        <v>45</v>
      </c>
      <c r="BF28" s="475">
        <v>45</v>
      </c>
      <c r="BG28" s="475">
        <v>45</v>
      </c>
      <c r="BH28" s="475">
        <v>45</v>
      </c>
      <c r="BI28" s="475">
        <v>45</v>
      </c>
      <c r="BJ28" s="475">
        <v>45</v>
      </c>
      <c r="BK28" s="475">
        <v>45</v>
      </c>
      <c r="BL28" s="475">
        <v>45</v>
      </c>
      <c r="BM28" s="475">
        <v>45</v>
      </c>
      <c r="BN28" s="475">
        <v>45</v>
      </c>
      <c r="BO28" s="475">
        <v>45</v>
      </c>
      <c r="BP28" s="475">
        <v>45</v>
      </c>
      <c r="BQ28" s="475">
        <v>45</v>
      </c>
      <c r="BR28" s="475">
        <v>45</v>
      </c>
      <c r="BS28" s="475">
        <v>45</v>
      </c>
      <c r="BT28" s="475">
        <v>45</v>
      </c>
      <c r="BU28" s="475">
        <v>45</v>
      </c>
      <c r="BV28" s="475">
        <v>45</v>
      </c>
      <c r="BW28" s="475">
        <v>45</v>
      </c>
      <c r="BX28" s="475">
        <v>45</v>
      </c>
      <c r="BY28" s="475">
        <v>45</v>
      </c>
      <c r="BZ28" s="475">
        <v>45</v>
      </c>
      <c r="CA28" s="475">
        <v>45</v>
      </c>
      <c r="CB28" s="475">
        <v>45</v>
      </c>
      <c r="CC28" s="475">
        <v>45</v>
      </c>
      <c r="CD28" s="475">
        <v>45</v>
      </c>
      <c r="CE28" s="475">
        <v>45</v>
      </c>
      <c r="CF28" s="475">
        <v>45</v>
      </c>
      <c r="CG28" s="475">
        <v>45</v>
      </c>
      <c r="CH28" s="475">
        <v>45</v>
      </c>
      <c r="CI28" s="475">
        <v>45</v>
      </c>
      <c r="CJ28" s="475">
        <v>45</v>
      </c>
      <c r="CK28" s="475">
        <v>45</v>
      </c>
      <c r="CL28" s="475">
        <v>24</v>
      </c>
      <c r="CM28" s="475">
        <v>24</v>
      </c>
      <c r="CN28" s="475">
        <v>24</v>
      </c>
      <c r="CO28" s="475">
        <v>24</v>
      </c>
      <c r="CP28" s="475">
        <v>24</v>
      </c>
      <c r="CQ28" s="475"/>
      <c r="CR28" s="475"/>
      <c r="CS28" s="475"/>
      <c r="CT28" s="475"/>
      <c r="CU28" s="475"/>
      <c r="CV28" s="475"/>
      <c r="CW28" s="475"/>
      <c r="CX28" s="475"/>
      <c r="CY28" s="475"/>
      <c r="CZ28" s="475"/>
      <c r="DA28" s="475"/>
      <c r="DB28" s="475"/>
      <c r="DC28" s="476"/>
      <c r="DD28" s="476"/>
      <c r="DE28" s="476"/>
      <c r="DF28" s="476"/>
      <c r="DG28" s="475"/>
      <c r="DH28" s="475"/>
      <c r="DI28" s="475"/>
      <c r="DJ28" s="475"/>
      <c r="DK28" s="475"/>
      <c r="DL28" s="475"/>
      <c r="DM28" s="475"/>
      <c r="DN28" s="475"/>
      <c r="DO28" s="475"/>
      <c r="DP28" s="487">
        <f t="shared" ref="DP28:DY42" si="20">SUMIF($X$6:$DN$6,DP$7,$X28:$DN28)</f>
        <v>0</v>
      </c>
      <c r="DQ28" s="487">
        <f t="shared" si="20"/>
        <v>0</v>
      </c>
      <c r="DR28" s="487">
        <f t="shared" si="20"/>
        <v>0</v>
      </c>
      <c r="DS28" s="487">
        <f t="shared" si="20"/>
        <v>0</v>
      </c>
      <c r="DT28" s="487">
        <f t="shared" si="20"/>
        <v>0</v>
      </c>
      <c r="DU28" s="302">
        <f t="shared" si="20"/>
        <v>0</v>
      </c>
      <c r="DV28" s="302">
        <f t="shared" si="20"/>
        <v>0</v>
      </c>
      <c r="DW28" s="302">
        <f t="shared" si="20"/>
        <v>0</v>
      </c>
      <c r="DX28" s="302">
        <f t="shared" si="20"/>
        <v>0</v>
      </c>
      <c r="DY28" s="302">
        <f t="shared" si="20"/>
        <v>90</v>
      </c>
      <c r="DZ28" s="302">
        <f t="shared" ref="DZ28:EI42" si="21">SUMIF($X$6:$DN$6,DZ$7,$X28:$DN28)</f>
        <v>180</v>
      </c>
      <c r="EA28" s="302">
        <f t="shared" si="21"/>
        <v>180</v>
      </c>
      <c r="EB28" s="302">
        <f t="shared" si="21"/>
        <v>180</v>
      </c>
      <c r="EC28" s="302">
        <f t="shared" si="21"/>
        <v>180</v>
      </c>
      <c r="ED28" s="302">
        <f t="shared" si="21"/>
        <v>180</v>
      </c>
      <c r="EE28" s="302">
        <f t="shared" si="21"/>
        <v>180</v>
      </c>
      <c r="EF28" s="302">
        <f t="shared" si="21"/>
        <v>180</v>
      </c>
      <c r="EG28" s="302">
        <f t="shared" si="21"/>
        <v>180</v>
      </c>
      <c r="EH28" s="301">
        <f t="shared" si="21"/>
        <v>138</v>
      </c>
      <c r="EI28" s="301">
        <f t="shared" si="21"/>
        <v>72</v>
      </c>
      <c r="EJ28" s="301">
        <f t="shared" ref="EJ28:EO42" si="22">SUMIF($X$6:$DN$6,EJ$7,$X28:$DN28)</f>
        <v>0</v>
      </c>
      <c r="EK28" s="301">
        <f t="shared" si="22"/>
        <v>0</v>
      </c>
      <c r="EL28" s="301">
        <f t="shared" si="22"/>
        <v>0</v>
      </c>
      <c r="EM28" s="301">
        <f t="shared" si="22"/>
        <v>0</v>
      </c>
      <c r="EN28" s="301">
        <f t="shared" si="22"/>
        <v>0</v>
      </c>
      <c r="EO28" s="301">
        <f t="shared" si="22"/>
        <v>0</v>
      </c>
      <c r="EP28" s="488">
        <f t="shared" si="13"/>
        <v>1740</v>
      </c>
      <c r="EQ28" s="305">
        <f t="shared" si="14"/>
        <v>0</v>
      </c>
    </row>
    <row r="29" spans="1:147" s="170" customFormat="1" ht="15.75" hidden="1" customHeight="1">
      <c r="A29" s="344"/>
      <c r="B29" s="292" t="s">
        <v>348</v>
      </c>
      <c r="C29" s="292" t="s">
        <v>102</v>
      </c>
      <c r="D29" s="292" t="s">
        <v>102</v>
      </c>
      <c r="E29" s="292" t="s">
        <v>1380</v>
      </c>
      <c r="F29" s="292" t="s">
        <v>184</v>
      </c>
      <c r="G29" s="292" t="s">
        <v>1364</v>
      </c>
      <c r="H29" s="292" t="s">
        <v>351</v>
      </c>
      <c r="I29" s="292" t="s">
        <v>352</v>
      </c>
      <c r="J29" s="292" t="s">
        <v>376</v>
      </c>
      <c r="K29" s="292"/>
      <c r="L29" s="292" t="str">
        <f t="shared" si="3"/>
        <v>Data-Data</v>
      </c>
      <c r="M29" s="292" t="str">
        <f t="shared" si="4"/>
        <v>Data Integration Architect-Senior-India-Technology</v>
      </c>
      <c r="N29" s="292" t="str">
        <f t="shared" si="5"/>
        <v>Data - Data Integration Architect</v>
      </c>
      <c r="O29" s="485">
        <f t="shared" si="6"/>
        <v>85260</v>
      </c>
      <c r="P29" s="474">
        <f t="shared" si="7"/>
        <v>1740</v>
      </c>
      <c r="Q29" s="474" t="str">
        <f t="shared" si="18"/>
        <v>Data Integration Architect - Senior</v>
      </c>
      <c r="R29" s="474" t="str">
        <f>VLOOKUP(M29,'Rate Card'!$A$1:$D$674,4,FALSE())</f>
        <v>6-9 years</v>
      </c>
      <c r="S29" s="474" t="str">
        <f t="shared" si="19"/>
        <v>Offshore</v>
      </c>
      <c r="T29" s="292" t="s">
        <v>259</v>
      </c>
      <c r="U29" s="292" t="s">
        <v>640</v>
      </c>
      <c r="V29" s="292" t="s">
        <v>243</v>
      </c>
      <c r="W29" s="486">
        <f>IFERROR(VLOOKUP(M29,'Rate Card'!$A:$G,6,FALSE()),"combination not found")</f>
        <v>49</v>
      </c>
      <c r="X29" s="475"/>
      <c r="Y29" s="475"/>
      <c r="Z29" s="475"/>
      <c r="AA29" s="475"/>
      <c r="AB29" s="475"/>
      <c r="AC29" s="475"/>
      <c r="AD29" s="475"/>
      <c r="AE29" s="475"/>
      <c r="AF29" s="475"/>
      <c r="AG29" s="475"/>
      <c r="AH29" s="475"/>
      <c r="AI29" s="475"/>
      <c r="AJ29" s="475"/>
      <c r="AK29" s="475"/>
      <c r="AL29" s="475"/>
      <c r="AM29" s="475"/>
      <c r="AN29" s="475"/>
      <c r="AO29" s="475"/>
      <c r="AP29" s="475"/>
      <c r="AQ29" s="475"/>
      <c r="AR29" s="475"/>
      <c r="AS29" s="475"/>
      <c r="AT29" s="475"/>
      <c r="AU29" s="475"/>
      <c r="AV29" s="475"/>
      <c r="AW29" s="475"/>
      <c r="AX29" s="475"/>
      <c r="AY29" s="475"/>
      <c r="AZ29" s="475"/>
      <c r="BA29" s="475"/>
      <c r="BB29" s="475">
        <v>45</v>
      </c>
      <c r="BC29" s="475">
        <v>45</v>
      </c>
      <c r="BD29" s="475">
        <v>45</v>
      </c>
      <c r="BE29" s="475">
        <v>45</v>
      </c>
      <c r="BF29" s="475">
        <v>45</v>
      </c>
      <c r="BG29" s="475">
        <v>45</v>
      </c>
      <c r="BH29" s="475">
        <v>45</v>
      </c>
      <c r="BI29" s="475">
        <v>45</v>
      </c>
      <c r="BJ29" s="475">
        <v>45</v>
      </c>
      <c r="BK29" s="475">
        <v>45</v>
      </c>
      <c r="BL29" s="475">
        <v>45</v>
      </c>
      <c r="BM29" s="475">
        <v>45</v>
      </c>
      <c r="BN29" s="475">
        <v>45</v>
      </c>
      <c r="BO29" s="475">
        <v>45</v>
      </c>
      <c r="BP29" s="475">
        <v>45</v>
      </c>
      <c r="BQ29" s="475">
        <v>45</v>
      </c>
      <c r="BR29" s="475">
        <v>45</v>
      </c>
      <c r="BS29" s="475">
        <v>45</v>
      </c>
      <c r="BT29" s="475">
        <v>45</v>
      </c>
      <c r="BU29" s="475">
        <v>45</v>
      </c>
      <c r="BV29" s="475">
        <v>45</v>
      </c>
      <c r="BW29" s="475">
        <v>45</v>
      </c>
      <c r="BX29" s="475">
        <v>45</v>
      </c>
      <c r="BY29" s="475">
        <v>45</v>
      </c>
      <c r="BZ29" s="475">
        <v>45</v>
      </c>
      <c r="CA29" s="475">
        <v>45</v>
      </c>
      <c r="CB29" s="475">
        <v>45</v>
      </c>
      <c r="CC29" s="475">
        <v>45</v>
      </c>
      <c r="CD29" s="475">
        <v>45</v>
      </c>
      <c r="CE29" s="475">
        <v>45</v>
      </c>
      <c r="CF29" s="475">
        <v>45</v>
      </c>
      <c r="CG29" s="475">
        <v>45</v>
      </c>
      <c r="CH29" s="475">
        <v>45</v>
      </c>
      <c r="CI29" s="475">
        <v>45</v>
      </c>
      <c r="CJ29" s="475">
        <v>45</v>
      </c>
      <c r="CK29" s="475">
        <v>45</v>
      </c>
      <c r="CL29" s="475">
        <v>24</v>
      </c>
      <c r="CM29" s="475">
        <v>24</v>
      </c>
      <c r="CN29" s="475">
        <v>24</v>
      </c>
      <c r="CO29" s="475">
        <v>24</v>
      </c>
      <c r="CP29" s="475">
        <v>24</v>
      </c>
      <c r="CQ29" s="475"/>
      <c r="CR29" s="475"/>
      <c r="CS29" s="475"/>
      <c r="CT29" s="475"/>
      <c r="CU29" s="475"/>
      <c r="CV29" s="475"/>
      <c r="CW29" s="475"/>
      <c r="CX29" s="475"/>
      <c r="CY29" s="475"/>
      <c r="CZ29" s="475"/>
      <c r="DA29" s="475"/>
      <c r="DB29" s="475"/>
      <c r="DC29" s="476"/>
      <c r="DD29" s="476"/>
      <c r="DE29" s="476"/>
      <c r="DF29" s="476"/>
      <c r="DG29" s="475"/>
      <c r="DH29" s="475"/>
      <c r="DI29" s="475"/>
      <c r="DJ29" s="475"/>
      <c r="DK29" s="475"/>
      <c r="DL29" s="475"/>
      <c r="DM29" s="475"/>
      <c r="DN29" s="475"/>
      <c r="DO29" s="475"/>
      <c r="DP29" s="487">
        <f t="shared" si="20"/>
        <v>0</v>
      </c>
      <c r="DQ29" s="487">
        <f t="shared" si="20"/>
        <v>0</v>
      </c>
      <c r="DR29" s="487">
        <f t="shared" si="20"/>
        <v>0</v>
      </c>
      <c r="DS29" s="487">
        <f t="shared" si="20"/>
        <v>0</v>
      </c>
      <c r="DT29" s="487">
        <f t="shared" si="20"/>
        <v>0</v>
      </c>
      <c r="DU29" s="302">
        <f t="shared" si="20"/>
        <v>0</v>
      </c>
      <c r="DV29" s="302">
        <f t="shared" si="20"/>
        <v>0</v>
      </c>
      <c r="DW29" s="302">
        <f t="shared" si="20"/>
        <v>0</v>
      </c>
      <c r="DX29" s="302">
        <f t="shared" si="20"/>
        <v>0</v>
      </c>
      <c r="DY29" s="302">
        <f t="shared" si="20"/>
        <v>90</v>
      </c>
      <c r="DZ29" s="302">
        <f t="shared" si="21"/>
        <v>180</v>
      </c>
      <c r="EA29" s="302">
        <f t="shared" si="21"/>
        <v>180</v>
      </c>
      <c r="EB29" s="302">
        <f t="shared" si="21"/>
        <v>180</v>
      </c>
      <c r="EC29" s="302">
        <f t="shared" si="21"/>
        <v>180</v>
      </c>
      <c r="ED29" s="302">
        <f t="shared" si="21"/>
        <v>180</v>
      </c>
      <c r="EE29" s="302">
        <f t="shared" si="21"/>
        <v>180</v>
      </c>
      <c r="EF29" s="302">
        <f t="shared" si="21"/>
        <v>180</v>
      </c>
      <c r="EG29" s="302">
        <f t="shared" si="21"/>
        <v>180</v>
      </c>
      <c r="EH29" s="301">
        <f t="shared" si="21"/>
        <v>138</v>
      </c>
      <c r="EI29" s="301">
        <f t="shared" si="21"/>
        <v>72</v>
      </c>
      <c r="EJ29" s="301">
        <f t="shared" si="22"/>
        <v>0</v>
      </c>
      <c r="EK29" s="301">
        <f t="shared" si="22"/>
        <v>0</v>
      </c>
      <c r="EL29" s="301">
        <f t="shared" si="22"/>
        <v>0</v>
      </c>
      <c r="EM29" s="301">
        <f t="shared" si="22"/>
        <v>0</v>
      </c>
      <c r="EN29" s="301">
        <f t="shared" si="22"/>
        <v>0</v>
      </c>
      <c r="EO29" s="301">
        <f t="shared" si="22"/>
        <v>0</v>
      </c>
      <c r="EP29" s="488">
        <f t="shared" si="13"/>
        <v>1740</v>
      </c>
      <c r="EQ29" s="305">
        <f t="shared" si="14"/>
        <v>0</v>
      </c>
    </row>
    <row r="30" spans="1:147" s="170" customFormat="1" ht="14.25" hidden="1" customHeight="1">
      <c r="A30" s="344"/>
      <c r="B30" s="292" t="s">
        <v>348</v>
      </c>
      <c r="C30" s="292" t="s">
        <v>102</v>
      </c>
      <c r="D30" s="292" t="s">
        <v>102</v>
      </c>
      <c r="E30" s="292" t="s">
        <v>1342</v>
      </c>
      <c r="F30" s="292" t="s">
        <v>184</v>
      </c>
      <c r="G30" s="292" t="s">
        <v>1364</v>
      </c>
      <c r="H30" s="292" t="s">
        <v>351</v>
      </c>
      <c r="I30" s="292" t="s">
        <v>352</v>
      </c>
      <c r="J30" s="292" t="s">
        <v>1374</v>
      </c>
      <c r="K30" s="292"/>
      <c r="L30" s="292" t="str">
        <f t="shared" si="3"/>
        <v>Data-Data</v>
      </c>
      <c r="M30" s="292" t="str">
        <f t="shared" si="4"/>
        <v>Data Integration Architect-Lead-India-Technology</v>
      </c>
      <c r="N30" s="292" t="str">
        <f t="shared" si="5"/>
        <v>Data - Data Integration Architect</v>
      </c>
      <c r="O30" s="485">
        <f t="shared" si="6"/>
        <v>35360</v>
      </c>
      <c r="P30" s="474">
        <f t="shared" si="7"/>
        <v>680</v>
      </c>
      <c r="Q30" s="474" t="str">
        <f t="shared" si="18"/>
        <v>Data Integration Architect - Lead</v>
      </c>
      <c r="R30" s="474" t="str">
        <f>VLOOKUP(M30,'Rate Card'!$A$1:$D$674,4,FALSE())</f>
        <v>9-12 years</v>
      </c>
      <c r="S30" s="474" t="str">
        <f t="shared" si="19"/>
        <v>Offshore</v>
      </c>
      <c r="T30" s="292" t="s">
        <v>259</v>
      </c>
      <c r="U30" s="292" t="s">
        <v>640</v>
      </c>
      <c r="V30" s="292" t="s">
        <v>241</v>
      </c>
      <c r="W30" s="486">
        <f>IFERROR(VLOOKUP(M30,'Rate Card'!$A:$G,6,FALSE()),"combination not found")</f>
        <v>52</v>
      </c>
      <c r="X30" s="475"/>
      <c r="Y30" s="475"/>
      <c r="Z30" s="475"/>
      <c r="AA30" s="475"/>
      <c r="AB30" s="475"/>
      <c r="AC30" s="475"/>
      <c r="AD30" s="475"/>
      <c r="AE30" s="475"/>
      <c r="AF30" s="475"/>
      <c r="AG30" s="475"/>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5"/>
      <c r="BD30" s="475">
        <v>20</v>
      </c>
      <c r="BE30" s="475">
        <v>20</v>
      </c>
      <c r="BF30" s="475">
        <v>20</v>
      </c>
      <c r="BG30" s="475">
        <v>20</v>
      </c>
      <c r="BH30" s="475">
        <v>20</v>
      </c>
      <c r="BI30" s="475">
        <v>20</v>
      </c>
      <c r="BJ30" s="475">
        <v>20</v>
      </c>
      <c r="BK30" s="475">
        <v>20</v>
      </c>
      <c r="BL30" s="475">
        <v>20</v>
      </c>
      <c r="BM30" s="475">
        <v>20</v>
      </c>
      <c r="BN30" s="475">
        <v>20</v>
      </c>
      <c r="BO30" s="475">
        <v>20</v>
      </c>
      <c r="BP30" s="475">
        <v>20</v>
      </c>
      <c r="BQ30" s="475">
        <v>20</v>
      </c>
      <c r="BR30" s="475">
        <v>20</v>
      </c>
      <c r="BS30" s="475">
        <v>20</v>
      </c>
      <c r="BT30" s="475">
        <v>20</v>
      </c>
      <c r="BU30" s="475">
        <v>20</v>
      </c>
      <c r="BV30" s="475">
        <v>20</v>
      </c>
      <c r="BW30" s="475">
        <v>20</v>
      </c>
      <c r="BX30" s="475">
        <v>20</v>
      </c>
      <c r="BY30" s="475">
        <v>20</v>
      </c>
      <c r="BZ30" s="475">
        <v>20</v>
      </c>
      <c r="CA30" s="475">
        <v>20</v>
      </c>
      <c r="CB30" s="475">
        <v>20</v>
      </c>
      <c r="CC30" s="475">
        <v>20</v>
      </c>
      <c r="CD30" s="475">
        <v>20</v>
      </c>
      <c r="CE30" s="475">
        <v>20</v>
      </c>
      <c r="CF30" s="475">
        <v>20</v>
      </c>
      <c r="CG30" s="475">
        <v>20</v>
      </c>
      <c r="CH30" s="475">
        <v>20</v>
      </c>
      <c r="CI30" s="475">
        <v>20</v>
      </c>
      <c r="CJ30" s="475">
        <v>20</v>
      </c>
      <c r="CK30" s="475">
        <v>20</v>
      </c>
      <c r="CL30" s="475"/>
      <c r="CM30" s="475"/>
      <c r="CN30" s="475"/>
      <c r="CO30" s="475"/>
      <c r="CP30" s="475"/>
      <c r="CQ30" s="475"/>
      <c r="CR30" s="475"/>
      <c r="CS30" s="475"/>
      <c r="CT30" s="475"/>
      <c r="CU30" s="475"/>
      <c r="CV30" s="475"/>
      <c r="CW30" s="475"/>
      <c r="CX30" s="475"/>
      <c r="CY30" s="475"/>
      <c r="CZ30" s="475"/>
      <c r="DA30" s="475"/>
      <c r="DB30" s="475"/>
      <c r="DC30" s="476"/>
      <c r="DD30" s="476"/>
      <c r="DE30" s="476"/>
      <c r="DF30" s="476"/>
      <c r="DG30" s="475"/>
      <c r="DH30" s="475"/>
      <c r="DI30" s="475"/>
      <c r="DJ30" s="475"/>
      <c r="DK30" s="475"/>
      <c r="DL30" s="475"/>
      <c r="DM30" s="475"/>
      <c r="DN30" s="475"/>
      <c r="DO30" s="475"/>
      <c r="DP30" s="487">
        <f t="shared" si="20"/>
        <v>0</v>
      </c>
      <c r="DQ30" s="487">
        <f t="shared" si="20"/>
        <v>0</v>
      </c>
      <c r="DR30" s="487">
        <f t="shared" si="20"/>
        <v>0</v>
      </c>
      <c r="DS30" s="487">
        <f t="shared" si="20"/>
        <v>0</v>
      </c>
      <c r="DT30" s="487">
        <f t="shared" si="20"/>
        <v>0</v>
      </c>
      <c r="DU30" s="302">
        <f t="shared" si="20"/>
        <v>0</v>
      </c>
      <c r="DV30" s="302">
        <f t="shared" si="20"/>
        <v>0</v>
      </c>
      <c r="DW30" s="302">
        <f t="shared" si="20"/>
        <v>0</v>
      </c>
      <c r="DX30" s="302">
        <f t="shared" si="20"/>
        <v>0</v>
      </c>
      <c r="DY30" s="302">
        <f t="shared" si="20"/>
        <v>0</v>
      </c>
      <c r="DZ30" s="302">
        <f t="shared" si="21"/>
        <v>80</v>
      </c>
      <c r="EA30" s="302">
        <f t="shared" si="21"/>
        <v>80</v>
      </c>
      <c r="EB30" s="302">
        <f t="shared" si="21"/>
        <v>80</v>
      </c>
      <c r="EC30" s="302">
        <f t="shared" si="21"/>
        <v>80</v>
      </c>
      <c r="ED30" s="302">
        <f t="shared" si="21"/>
        <v>80</v>
      </c>
      <c r="EE30" s="302">
        <f t="shared" si="21"/>
        <v>80</v>
      </c>
      <c r="EF30" s="302">
        <f t="shared" si="21"/>
        <v>80</v>
      </c>
      <c r="EG30" s="302">
        <f t="shared" si="21"/>
        <v>80</v>
      </c>
      <c r="EH30" s="301">
        <f t="shared" si="21"/>
        <v>40</v>
      </c>
      <c r="EI30" s="301">
        <f t="shared" si="21"/>
        <v>0</v>
      </c>
      <c r="EJ30" s="301">
        <f t="shared" si="22"/>
        <v>0</v>
      </c>
      <c r="EK30" s="301">
        <f t="shared" si="22"/>
        <v>0</v>
      </c>
      <c r="EL30" s="301">
        <f t="shared" si="22"/>
        <v>0</v>
      </c>
      <c r="EM30" s="301">
        <f t="shared" si="22"/>
        <v>0</v>
      </c>
      <c r="EN30" s="301">
        <f t="shared" si="22"/>
        <v>0</v>
      </c>
      <c r="EO30" s="301">
        <f t="shared" si="22"/>
        <v>0</v>
      </c>
      <c r="EP30" s="488">
        <f t="shared" si="13"/>
        <v>680</v>
      </c>
      <c r="EQ30" s="305">
        <f t="shared" si="14"/>
        <v>0</v>
      </c>
    </row>
    <row r="31" spans="1:147" s="170" customFormat="1" ht="14.25" hidden="1" customHeight="1">
      <c r="A31" s="344"/>
      <c r="B31" s="292" t="s">
        <v>348</v>
      </c>
      <c r="C31" s="292" t="s">
        <v>159</v>
      </c>
      <c r="D31" s="292" t="s">
        <v>159</v>
      </c>
      <c r="E31" s="292" t="s">
        <v>356</v>
      </c>
      <c r="F31" s="292" t="s">
        <v>186</v>
      </c>
      <c r="G31" s="292" t="s">
        <v>1360</v>
      </c>
      <c r="H31" s="292" t="s">
        <v>473</v>
      </c>
      <c r="I31" s="292" t="s">
        <v>474</v>
      </c>
      <c r="J31" s="292" t="s">
        <v>357</v>
      </c>
      <c r="K31" s="292"/>
      <c r="L31" s="292" t="str">
        <f t="shared" si="3"/>
        <v>Security-Security</v>
      </c>
      <c r="M31" s="292" t="str">
        <f t="shared" si="4"/>
        <v>Cyber Security -Managing Director-US-Consulting</v>
      </c>
      <c r="N31" s="292" t="str">
        <f t="shared" si="5"/>
        <v xml:space="preserve">Security - Cyber Security </v>
      </c>
      <c r="O31" s="485">
        <f t="shared" si="6"/>
        <v>0</v>
      </c>
      <c r="P31" s="474">
        <f t="shared" si="7"/>
        <v>0</v>
      </c>
      <c r="Q31" s="474" t="str">
        <f t="shared" si="18"/>
        <v>Cyber Security  - Managing Director</v>
      </c>
      <c r="R31" s="474"/>
      <c r="S31" s="474" t="str">
        <f t="shared" si="19"/>
        <v>Onshore</v>
      </c>
      <c r="T31" s="292" t="s">
        <v>261</v>
      </c>
      <c r="U31" s="292" t="s">
        <v>477</v>
      </c>
      <c r="V31" s="292" t="s">
        <v>357</v>
      </c>
      <c r="W31" s="486">
        <f>IFERROR(VLOOKUP(M31,'Rate Card'!$A:$G,6,FALSE()),"combination not found")</f>
        <v>437</v>
      </c>
      <c r="X31" s="475"/>
      <c r="Y31" s="475"/>
      <c r="Z31" s="475"/>
      <c r="AA31" s="475"/>
      <c r="AB31" s="475"/>
      <c r="AC31" s="475"/>
      <c r="AD31" s="475"/>
      <c r="AE31" s="475"/>
      <c r="AF31" s="475"/>
      <c r="AG31" s="475"/>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5"/>
      <c r="BD31" s="475"/>
      <c r="BE31" s="475"/>
      <c r="BF31" s="475"/>
      <c r="BG31" s="475"/>
      <c r="BH31" s="475"/>
      <c r="BI31" s="475"/>
      <c r="BJ31" s="475"/>
      <c r="BK31" s="475"/>
      <c r="BL31" s="475"/>
      <c r="BM31" s="475"/>
      <c r="BN31" s="475"/>
      <c r="BO31" s="475"/>
      <c r="BP31" s="475"/>
      <c r="BQ31" s="475"/>
      <c r="BR31" s="475"/>
      <c r="BS31" s="475"/>
      <c r="BT31" s="475"/>
      <c r="BU31" s="475"/>
      <c r="BV31" s="475"/>
      <c r="BW31" s="475"/>
      <c r="BX31" s="475"/>
      <c r="BY31" s="475"/>
      <c r="BZ31" s="475"/>
      <c r="CA31" s="475"/>
      <c r="CB31" s="475"/>
      <c r="CC31" s="475"/>
      <c r="CD31" s="475"/>
      <c r="CE31" s="475"/>
      <c r="CF31" s="475"/>
      <c r="CG31" s="475"/>
      <c r="CH31" s="475"/>
      <c r="CI31" s="475"/>
      <c r="CJ31" s="475"/>
      <c r="CK31" s="475"/>
      <c r="CL31" s="475"/>
      <c r="CM31" s="475"/>
      <c r="CN31" s="475"/>
      <c r="CO31" s="475"/>
      <c r="CP31" s="475"/>
      <c r="CQ31" s="475"/>
      <c r="CR31" s="475"/>
      <c r="CS31" s="475"/>
      <c r="CT31" s="475"/>
      <c r="CU31" s="475"/>
      <c r="CV31" s="475"/>
      <c r="CW31" s="475"/>
      <c r="CX31" s="475"/>
      <c r="CY31" s="475"/>
      <c r="CZ31" s="475"/>
      <c r="DA31" s="475"/>
      <c r="DB31" s="475"/>
      <c r="DC31" s="476"/>
      <c r="DD31" s="476"/>
      <c r="DE31" s="476"/>
      <c r="DF31" s="476"/>
      <c r="DG31" s="475"/>
      <c r="DH31" s="475"/>
      <c r="DI31" s="475"/>
      <c r="DJ31" s="475"/>
      <c r="DK31" s="475"/>
      <c r="DL31" s="475"/>
      <c r="DM31" s="475"/>
      <c r="DN31" s="475"/>
      <c r="DO31" s="475"/>
      <c r="DP31" s="487">
        <f t="shared" si="20"/>
        <v>0</v>
      </c>
      <c r="DQ31" s="487">
        <f t="shared" si="20"/>
        <v>0</v>
      </c>
      <c r="DR31" s="487">
        <f t="shared" si="20"/>
        <v>0</v>
      </c>
      <c r="DS31" s="487">
        <f t="shared" si="20"/>
        <v>0</v>
      </c>
      <c r="DT31" s="487">
        <f t="shared" si="20"/>
        <v>0</v>
      </c>
      <c r="DU31" s="302">
        <f t="shared" si="20"/>
        <v>0</v>
      </c>
      <c r="DV31" s="302">
        <f t="shared" si="20"/>
        <v>0</v>
      </c>
      <c r="DW31" s="302">
        <f t="shared" si="20"/>
        <v>0</v>
      </c>
      <c r="DX31" s="302">
        <f t="shared" si="20"/>
        <v>0</v>
      </c>
      <c r="DY31" s="302">
        <f t="shared" si="20"/>
        <v>0</v>
      </c>
      <c r="DZ31" s="302">
        <f t="shared" si="21"/>
        <v>0</v>
      </c>
      <c r="EA31" s="302">
        <f t="shared" si="21"/>
        <v>0</v>
      </c>
      <c r="EB31" s="302">
        <f t="shared" si="21"/>
        <v>0</v>
      </c>
      <c r="EC31" s="302">
        <f t="shared" si="21"/>
        <v>0</v>
      </c>
      <c r="ED31" s="302">
        <f t="shared" si="21"/>
        <v>0</v>
      </c>
      <c r="EE31" s="302">
        <f t="shared" si="21"/>
        <v>0</v>
      </c>
      <c r="EF31" s="302">
        <f t="shared" si="21"/>
        <v>0</v>
      </c>
      <c r="EG31" s="302">
        <f t="shared" si="21"/>
        <v>0</v>
      </c>
      <c r="EH31" s="301">
        <f t="shared" si="21"/>
        <v>0</v>
      </c>
      <c r="EI31" s="301">
        <f t="shared" si="21"/>
        <v>0</v>
      </c>
      <c r="EJ31" s="301">
        <f t="shared" si="22"/>
        <v>0</v>
      </c>
      <c r="EK31" s="301">
        <f t="shared" si="22"/>
        <v>0</v>
      </c>
      <c r="EL31" s="301">
        <f t="shared" si="22"/>
        <v>0</v>
      </c>
      <c r="EM31" s="301">
        <f t="shared" si="22"/>
        <v>0</v>
      </c>
      <c r="EN31" s="301">
        <f t="shared" si="22"/>
        <v>0</v>
      </c>
      <c r="EO31" s="301">
        <f t="shared" si="22"/>
        <v>0</v>
      </c>
      <c r="EP31" s="488">
        <f t="shared" si="13"/>
        <v>0</v>
      </c>
      <c r="EQ31" s="305">
        <f t="shared" si="14"/>
        <v>0</v>
      </c>
    </row>
    <row r="32" spans="1:147" s="170" customFormat="1" ht="14.25" hidden="1" customHeight="1">
      <c r="A32" s="344"/>
      <c r="B32" s="292" t="s">
        <v>348</v>
      </c>
      <c r="C32" s="292" t="s">
        <v>159</v>
      </c>
      <c r="D32" s="292" t="s">
        <v>159</v>
      </c>
      <c r="E32" s="292" t="s">
        <v>1344</v>
      </c>
      <c r="F32" s="292" t="s">
        <v>184</v>
      </c>
      <c r="G32" s="292" t="s">
        <v>1364</v>
      </c>
      <c r="H32" s="292" t="s">
        <v>473</v>
      </c>
      <c r="I32" s="292" t="s">
        <v>474</v>
      </c>
      <c r="J32" s="292" t="s">
        <v>376</v>
      </c>
      <c r="K32" s="292"/>
      <c r="L32" s="292" t="str">
        <f t="shared" si="3"/>
        <v>Security-Security</v>
      </c>
      <c r="M32" s="292" t="str">
        <f t="shared" si="4"/>
        <v>Cyber Security -Manager-India-Consulting</v>
      </c>
      <c r="N32" s="292" t="str">
        <f t="shared" si="5"/>
        <v xml:space="preserve">Security - Cyber Security </v>
      </c>
      <c r="O32" s="485">
        <f t="shared" si="6"/>
        <v>13462</v>
      </c>
      <c r="P32" s="474">
        <f t="shared" si="7"/>
        <v>106</v>
      </c>
      <c r="Q32" s="474" t="str">
        <f t="shared" si="18"/>
        <v>Cyber Security  - Manager</v>
      </c>
      <c r="R32" s="474"/>
      <c r="S32" s="474" t="str">
        <f t="shared" si="19"/>
        <v>Offshore</v>
      </c>
      <c r="T32" s="292" t="s">
        <v>261</v>
      </c>
      <c r="U32" s="292" t="s">
        <v>477</v>
      </c>
      <c r="V32" s="292" t="s">
        <v>376</v>
      </c>
      <c r="W32" s="486">
        <f>IFERROR(VLOOKUP(M32,'Rate Card'!$A:$G,6,FALSE()),"combination not found")</f>
        <v>127</v>
      </c>
      <c r="X32" s="475"/>
      <c r="Y32" s="475"/>
      <c r="Z32" s="475"/>
      <c r="AA32" s="475"/>
      <c r="AB32" s="475"/>
      <c r="AC32" s="475"/>
      <c r="AD32" s="475"/>
      <c r="AE32" s="475"/>
      <c r="AF32" s="475"/>
      <c r="AG32" s="475"/>
      <c r="AH32" s="475"/>
      <c r="AI32" s="475"/>
      <c r="AJ32" s="475"/>
      <c r="AK32" s="475"/>
      <c r="AL32" s="475"/>
      <c r="AM32" s="475"/>
      <c r="AN32" s="475"/>
      <c r="AO32" s="475"/>
      <c r="AP32" s="475"/>
      <c r="AQ32" s="475"/>
      <c r="AR32" s="475"/>
      <c r="AS32" s="475"/>
      <c r="AT32" s="475"/>
      <c r="AU32" s="475"/>
      <c r="AV32" s="475"/>
      <c r="AW32" s="475">
        <v>4</v>
      </c>
      <c r="AX32" s="475">
        <v>4</v>
      </c>
      <c r="AY32" s="475">
        <v>4</v>
      </c>
      <c r="AZ32" s="475">
        <v>4</v>
      </c>
      <c r="BA32" s="475">
        <v>4</v>
      </c>
      <c r="BB32" s="475">
        <v>4</v>
      </c>
      <c r="BC32" s="475">
        <v>4</v>
      </c>
      <c r="BD32" s="475">
        <v>2</v>
      </c>
      <c r="BE32" s="475">
        <v>2</v>
      </c>
      <c r="BF32" s="475">
        <v>2</v>
      </c>
      <c r="BG32" s="475">
        <v>2</v>
      </c>
      <c r="BH32" s="475">
        <v>2</v>
      </c>
      <c r="BI32" s="475">
        <v>2</v>
      </c>
      <c r="BJ32" s="475">
        <v>2</v>
      </c>
      <c r="BK32" s="475">
        <v>2</v>
      </c>
      <c r="BL32" s="475">
        <v>2</v>
      </c>
      <c r="BM32" s="475">
        <v>2</v>
      </c>
      <c r="BN32" s="475">
        <v>2</v>
      </c>
      <c r="BO32" s="475">
        <v>2</v>
      </c>
      <c r="BP32" s="475">
        <v>2</v>
      </c>
      <c r="BQ32" s="475">
        <v>2</v>
      </c>
      <c r="BR32" s="475">
        <v>2</v>
      </c>
      <c r="BS32" s="475">
        <v>2</v>
      </c>
      <c r="BT32" s="475">
        <v>2</v>
      </c>
      <c r="BU32" s="475">
        <v>2</v>
      </c>
      <c r="BV32" s="475">
        <v>2</v>
      </c>
      <c r="BW32" s="475">
        <v>2</v>
      </c>
      <c r="BX32" s="475">
        <v>2</v>
      </c>
      <c r="BY32" s="475">
        <v>2</v>
      </c>
      <c r="BZ32" s="475">
        <v>2</v>
      </c>
      <c r="CA32" s="475">
        <v>2</v>
      </c>
      <c r="CB32" s="475">
        <v>2</v>
      </c>
      <c r="CC32" s="475">
        <v>2</v>
      </c>
      <c r="CD32" s="475">
        <v>2</v>
      </c>
      <c r="CE32" s="475">
        <v>2</v>
      </c>
      <c r="CF32" s="475">
        <v>2</v>
      </c>
      <c r="CG32" s="475">
        <v>2</v>
      </c>
      <c r="CH32" s="475">
        <v>2</v>
      </c>
      <c r="CI32" s="475">
        <v>2</v>
      </c>
      <c r="CJ32" s="475">
        <v>2</v>
      </c>
      <c r="CK32" s="475">
        <v>2</v>
      </c>
      <c r="CL32" s="475">
        <v>2</v>
      </c>
      <c r="CM32" s="475">
        <v>2</v>
      </c>
      <c r="CN32" s="475">
        <v>2</v>
      </c>
      <c r="CO32" s="475">
        <v>2</v>
      </c>
      <c r="CP32" s="475">
        <v>2</v>
      </c>
      <c r="CQ32" s="475"/>
      <c r="CR32" s="475"/>
      <c r="CS32" s="475"/>
      <c r="CT32" s="475"/>
      <c r="CU32" s="475"/>
      <c r="CV32" s="475"/>
      <c r="CW32" s="475"/>
      <c r="CX32" s="475"/>
      <c r="CY32" s="475"/>
      <c r="CZ32" s="475"/>
      <c r="DA32" s="475"/>
      <c r="DB32" s="475"/>
      <c r="DC32" s="476"/>
      <c r="DD32" s="476"/>
      <c r="DE32" s="476"/>
      <c r="DF32" s="476"/>
      <c r="DG32" s="475"/>
      <c r="DH32" s="475"/>
      <c r="DI32" s="475"/>
      <c r="DJ32" s="475"/>
      <c r="DK32" s="475"/>
      <c r="DL32" s="475"/>
      <c r="DM32" s="475"/>
      <c r="DN32" s="475"/>
      <c r="DO32" s="475"/>
      <c r="DP32" s="487">
        <f t="shared" si="20"/>
        <v>0</v>
      </c>
      <c r="DQ32" s="487">
        <f t="shared" si="20"/>
        <v>0</v>
      </c>
      <c r="DR32" s="487">
        <f t="shared" si="20"/>
        <v>0</v>
      </c>
      <c r="DS32" s="487">
        <f t="shared" si="20"/>
        <v>0</v>
      </c>
      <c r="DT32" s="487">
        <f t="shared" si="20"/>
        <v>0</v>
      </c>
      <c r="DU32" s="302">
        <f t="shared" si="20"/>
        <v>0</v>
      </c>
      <c r="DV32" s="302">
        <f t="shared" si="20"/>
        <v>0</v>
      </c>
      <c r="DW32" s="302">
        <f t="shared" si="20"/>
        <v>0</v>
      </c>
      <c r="DX32" s="302">
        <f t="shared" si="20"/>
        <v>12</v>
      </c>
      <c r="DY32" s="302">
        <f t="shared" si="20"/>
        <v>16</v>
      </c>
      <c r="DZ32" s="302">
        <f t="shared" si="21"/>
        <v>8</v>
      </c>
      <c r="EA32" s="302">
        <f t="shared" si="21"/>
        <v>8</v>
      </c>
      <c r="EB32" s="302">
        <f t="shared" si="21"/>
        <v>8</v>
      </c>
      <c r="EC32" s="302">
        <f t="shared" si="21"/>
        <v>8</v>
      </c>
      <c r="ED32" s="302">
        <f t="shared" si="21"/>
        <v>8</v>
      </c>
      <c r="EE32" s="302">
        <f t="shared" si="21"/>
        <v>8</v>
      </c>
      <c r="EF32" s="302">
        <f t="shared" si="21"/>
        <v>8</v>
      </c>
      <c r="EG32" s="302">
        <f t="shared" si="21"/>
        <v>8</v>
      </c>
      <c r="EH32" s="301">
        <f t="shared" si="21"/>
        <v>8</v>
      </c>
      <c r="EI32" s="301">
        <f t="shared" si="21"/>
        <v>6</v>
      </c>
      <c r="EJ32" s="301">
        <f t="shared" si="22"/>
        <v>0</v>
      </c>
      <c r="EK32" s="301">
        <f t="shared" si="22"/>
        <v>0</v>
      </c>
      <c r="EL32" s="301">
        <f t="shared" si="22"/>
        <v>0</v>
      </c>
      <c r="EM32" s="301">
        <f t="shared" si="22"/>
        <v>0</v>
      </c>
      <c r="EN32" s="301">
        <f t="shared" si="22"/>
        <v>0</v>
      </c>
      <c r="EO32" s="301">
        <f t="shared" si="22"/>
        <v>0</v>
      </c>
      <c r="EP32" s="488">
        <f t="shared" si="13"/>
        <v>106</v>
      </c>
      <c r="EQ32" s="305">
        <f t="shared" si="14"/>
        <v>0</v>
      </c>
    </row>
    <row r="33" spans="1:147" s="170" customFormat="1" ht="14.25" hidden="1" customHeight="1">
      <c r="A33" s="344"/>
      <c r="B33" s="292" t="s">
        <v>348</v>
      </c>
      <c r="C33" s="292" t="s">
        <v>159</v>
      </c>
      <c r="D33" s="292" t="s">
        <v>159</v>
      </c>
      <c r="E33" s="292" t="s">
        <v>1381</v>
      </c>
      <c r="F33" s="292" t="s">
        <v>184</v>
      </c>
      <c r="G33" s="292" t="s">
        <v>1364</v>
      </c>
      <c r="H33" s="292" t="s">
        <v>473</v>
      </c>
      <c r="I33" s="292" t="s">
        <v>474</v>
      </c>
      <c r="J33" s="292" t="s">
        <v>1374</v>
      </c>
      <c r="K33" s="292"/>
      <c r="L33" s="292" t="str">
        <f t="shared" si="3"/>
        <v>Security-Security</v>
      </c>
      <c r="M33" s="292" t="str">
        <f t="shared" si="4"/>
        <v>Cyber Security -Senior Consultant-India-Consulting</v>
      </c>
      <c r="N33" s="292" t="str">
        <f t="shared" si="5"/>
        <v xml:space="preserve">Security - Cyber Security </v>
      </c>
      <c r="O33" s="485">
        <f t="shared" si="6"/>
        <v>215280</v>
      </c>
      <c r="P33" s="474">
        <f t="shared" si="7"/>
        <v>2070</v>
      </c>
      <c r="Q33" s="474" t="str">
        <f t="shared" si="18"/>
        <v>Cyber Security  - Senior Consultant</v>
      </c>
      <c r="R33" s="474"/>
      <c r="S33" s="474" t="str">
        <f t="shared" si="19"/>
        <v>Offshore</v>
      </c>
      <c r="T33" s="292" t="s">
        <v>261</v>
      </c>
      <c r="U33" s="292" t="s">
        <v>477</v>
      </c>
      <c r="V33" s="292" t="s">
        <v>364</v>
      </c>
      <c r="W33" s="486">
        <f>IFERROR(VLOOKUP(M33,'Rate Card'!$A:$G,6,FALSE()),"combination not found")</f>
        <v>104</v>
      </c>
      <c r="X33" s="475"/>
      <c r="Y33" s="475"/>
      <c r="Z33" s="475"/>
      <c r="AA33" s="475"/>
      <c r="AB33" s="475"/>
      <c r="AC33" s="475"/>
      <c r="AD33" s="475"/>
      <c r="AE33" s="475"/>
      <c r="AF33" s="475"/>
      <c r="AG33" s="475"/>
      <c r="AH33" s="475"/>
      <c r="AI33" s="475"/>
      <c r="AJ33" s="475"/>
      <c r="AK33" s="475"/>
      <c r="AL33" s="475"/>
      <c r="AM33" s="475"/>
      <c r="AN33" s="475"/>
      <c r="AO33" s="475"/>
      <c r="AP33" s="475"/>
      <c r="AQ33" s="475"/>
      <c r="AR33" s="475"/>
      <c r="AS33" s="475"/>
      <c r="AT33" s="475"/>
      <c r="AU33" s="475"/>
      <c r="AV33" s="475"/>
      <c r="AW33" s="475">
        <v>45</v>
      </c>
      <c r="AX33" s="475">
        <v>45</v>
      </c>
      <c r="AY33" s="475">
        <v>45</v>
      </c>
      <c r="AZ33" s="475">
        <v>45</v>
      </c>
      <c r="BA33" s="475">
        <v>45</v>
      </c>
      <c r="BB33" s="475">
        <v>45</v>
      </c>
      <c r="BC33" s="475">
        <v>45</v>
      </c>
      <c r="BD33" s="475">
        <v>45</v>
      </c>
      <c r="BE33" s="475">
        <v>45</v>
      </c>
      <c r="BF33" s="475">
        <v>45</v>
      </c>
      <c r="BG33" s="475">
        <v>45</v>
      </c>
      <c r="BH33" s="475">
        <v>45</v>
      </c>
      <c r="BI33" s="475">
        <v>45</v>
      </c>
      <c r="BJ33" s="475">
        <v>45</v>
      </c>
      <c r="BK33" s="475">
        <v>45</v>
      </c>
      <c r="BL33" s="475">
        <v>45</v>
      </c>
      <c r="BM33" s="475">
        <v>45</v>
      </c>
      <c r="BN33" s="475">
        <v>45</v>
      </c>
      <c r="BO33" s="475">
        <v>45</v>
      </c>
      <c r="BP33" s="475">
        <v>45</v>
      </c>
      <c r="BQ33" s="475">
        <v>45</v>
      </c>
      <c r="BR33" s="475">
        <v>45</v>
      </c>
      <c r="BS33" s="475">
        <v>45</v>
      </c>
      <c r="BT33" s="475">
        <v>45</v>
      </c>
      <c r="BU33" s="475">
        <v>45</v>
      </c>
      <c r="BV33" s="475">
        <v>45</v>
      </c>
      <c r="BW33" s="475">
        <v>45</v>
      </c>
      <c r="BX33" s="475">
        <v>45</v>
      </c>
      <c r="BY33" s="475">
        <v>45</v>
      </c>
      <c r="BZ33" s="475">
        <v>45</v>
      </c>
      <c r="CA33" s="475">
        <v>45</v>
      </c>
      <c r="CB33" s="475">
        <v>45</v>
      </c>
      <c r="CC33" s="475">
        <v>45</v>
      </c>
      <c r="CD33" s="475">
        <v>45</v>
      </c>
      <c r="CE33" s="475">
        <v>45</v>
      </c>
      <c r="CF33" s="475">
        <v>45</v>
      </c>
      <c r="CG33" s="475">
        <v>45</v>
      </c>
      <c r="CH33" s="475">
        <v>45</v>
      </c>
      <c r="CI33" s="475">
        <v>45</v>
      </c>
      <c r="CJ33" s="475">
        <v>45</v>
      </c>
      <c r="CK33" s="475">
        <v>45</v>
      </c>
      <c r="CL33" s="475">
        <v>45</v>
      </c>
      <c r="CM33" s="475">
        <v>45</v>
      </c>
      <c r="CN33" s="475">
        <v>45</v>
      </c>
      <c r="CO33" s="475">
        <v>45</v>
      </c>
      <c r="CP33" s="475">
        <v>45</v>
      </c>
      <c r="CQ33" s="475"/>
      <c r="CR33" s="475"/>
      <c r="CS33" s="475"/>
      <c r="CT33" s="475"/>
      <c r="CU33" s="475"/>
      <c r="CV33" s="475"/>
      <c r="CW33" s="475"/>
      <c r="CX33" s="475"/>
      <c r="CY33" s="475"/>
      <c r="CZ33" s="475"/>
      <c r="DA33" s="475"/>
      <c r="DB33" s="475"/>
      <c r="DC33" s="476"/>
      <c r="DD33" s="476"/>
      <c r="DE33" s="476"/>
      <c r="DF33" s="476"/>
      <c r="DG33" s="475"/>
      <c r="DH33" s="475"/>
      <c r="DI33" s="475"/>
      <c r="DJ33" s="475"/>
      <c r="DK33" s="475"/>
      <c r="DL33" s="475"/>
      <c r="DM33" s="475"/>
      <c r="DN33" s="475"/>
      <c r="DO33" s="475"/>
      <c r="DP33" s="487">
        <f t="shared" si="20"/>
        <v>0</v>
      </c>
      <c r="DQ33" s="487">
        <f t="shared" si="20"/>
        <v>0</v>
      </c>
      <c r="DR33" s="487">
        <f t="shared" si="20"/>
        <v>0</v>
      </c>
      <c r="DS33" s="487">
        <f t="shared" si="20"/>
        <v>0</v>
      </c>
      <c r="DT33" s="487">
        <f t="shared" si="20"/>
        <v>0</v>
      </c>
      <c r="DU33" s="302">
        <f t="shared" si="20"/>
        <v>0</v>
      </c>
      <c r="DV33" s="302">
        <f t="shared" si="20"/>
        <v>0</v>
      </c>
      <c r="DW33" s="302">
        <f t="shared" si="20"/>
        <v>0</v>
      </c>
      <c r="DX33" s="302">
        <f t="shared" si="20"/>
        <v>135</v>
      </c>
      <c r="DY33" s="302">
        <f t="shared" si="20"/>
        <v>180</v>
      </c>
      <c r="DZ33" s="302">
        <f t="shared" si="21"/>
        <v>180</v>
      </c>
      <c r="EA33" s="302">
        <f t="shared" si="21"/>
        <v>180</v>
      </c>
      <c r="EB33" s="302">
        <f t="shared" si="21"/>
        <v>180</v>
      </c>
      <c r="EC33" s="302">
        <f t="shared" si="21"/>
        <v>180</v>
      </c>
      <c r="ED33" s="302">
        <f t="shared" si="21"/>
        <v>180</v>
      </c>
      <c r="EE33" s="302">
        <f t="shared" si="21"/>
        <v>180</v>
      </c>
      <c r="EF33" s="302">
        <f t="shared" si="21"/>
        <v>180</v>
      </c>
      <c r="EG33" s="302">
        <f t="shared" si="21"/>
        <v>180</v>
      </c>
      <c r="EH33" s="301">
        <f t="shared" si="21"/>
        <v>180</v>
      </c>
      <c r="EI33" s="301">
        <f t="shared" si="21"/>
        <v>135</v>
      </c>
      <c r="EJ33" s="301">
        <f t="shared" si="22"/>
        <v>0</v>
      </c>
      <c r="EK33" s="301">
        <f t="shared" si="22"/>
        <v>0</v>
      </c>
      <c r="EL33" s="301">
        <f t="shared" si="22"/>
        <v>0</v>
      </c>
      <c r="EM33" s="301">
        <f t="shared" si="22"/>
        <v>0</v>
      </c>
      <c r="EN33" s="301">
        <f t="shared" si="22"/>
        <v>0</v>
      </c>
      <c r="EO33" s="301">
        <f t="shared" si="22"/>
        <v>0</v>
      </c>
      <c r="EP33" s="488">
        <f t="shared" si="13"/>
        <v>2070</v>
      </c>
      <c r="EQ33" s="305">
        <f t="shared" si="14"/>
        <v>0</v>
      </c>
    </row>
    <row r="34" spans="1:147" s="170" customFormat="1" ht="14.25" hidden="1" customHeight="1">
      <c r="A34" s="344"/>
      <c r="B34" s="292" t="s">
        <v>348</v>
      </c>
      <c r="C34" s="292" t="s">
        <v>159</v>
      </c>
      <c r="D34" s="292" t="s">
        <v>159</v>
      </c>
      <c r="E34" s="292" t="s">
        <v>774</v>
      </c>
      <c r="F34" s="292" t="s">
        <v>184</v>
      </c>
      <c r="G34" s="292" t="s">
        <v>1364</v>
      </c>
      <c r="H34" s="292" t="s">
        <v>473</v>
      </c>
      <c r="I34" s="292" t="s">
        <v>474</v>
      </c>
      <c r="J34" s="292" t="s">
        <v>1363</v>
      </c>
      <c r="K34" s="292"/>
      <c r="L34" s="292" t="str">
        <f t="shared" si="3"/>
        <v>Security-Security</v>
      </c>
      <c r="M34" s="292" t="str">
        <f t="shared" si="4"/>
        <v>Cyber Security -Senior Manager-India-Consulting</v>
      </c>
      <c r="N34" s="292" t="str">
        <f t="shared" si="5"/>
        <v xml:space="preserve">Security - Cyber Security </v>
      </c>
      <c r="O34" s="485">
        <f t="shared" si="6"/>
        <v>7452</v>
      </c>
      <c r="P34" s="474">
        <f t="shared" si="7"/>
        <v>46</v>
      </c>
      <c r="Q34" s="474"/>
      <c r="R34" s="474"/>
      <c r="S34" s="474" t="str">
        <f t="shared" si="19"/>
        <v>Offshore</v>
      </c>
      <c r="T34" s="292" t="s">
        <v>261</v>
      </c>
      <c r="U34" s="292" t="s">
        <v>477</v>
      </c>
      <c r="V34" s="292" t="s">
        <v>361</v>
      </c>
      <c r="W34" s="486">
        <f>IFERROR(VLOOKUP(M34,'Rate Card'!$A:$G,6,FALSE()),"combination not found")</f>
        <v>162</v>
      </c>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v>1</v>
      </c>
      <c r="AX34" s="475">
        <v>1</v>
      </c>
      <c r="AY34" s="475">
        <v>1</v>
      </c>
      <c r="AZ34" s="475">
        <v>1</v>
      </c>
      <c r="BA34" s="475">
        <v>1</v>
      </c>
      <c r="BB34" s="475">
        <v>1</v>
      </c>
      <c r="BC34" s="475">
        <v>1</v>
      </c>
      <c r="BD34" s="475">
        <v>1</v>
      </c>
      <c r="BE34" s="475">
        <v>1</v>
      </c>
      <c r="BF34" s="475">
        <v>1</v>
      </c>
      <c r="BG34" s="475">
        <v>1</v>
      </c>
      <c r="BH34" s="475">
        <v>1</v>
      </c>
      <c r="BI34" s="475">
        <v>1</v>
      </c>
      <c r="BJ34" s="475">
        <v>1</v>
      </c>
      <c r="BK34" s="475">
        <v>1</v>
      </c>
      <c r="BL34" s="475">
        <v>1</v>
      </c>
      <c r="BM34" s="475">
        <v>1</v>
      </c>
      <c r="BN34" s="475">
        <v>1</v>
      </c>
      <c r="BO34" s="475">
        <v>1</v>
      </c>
      <c r="BP34" s="475">
        <v>1</v>
      </c>
      <c r="BQ34" s="475">
        <v>1</v>
      </c>
      <c r="BR34" s="475">
        <v>1</v>
      </c>
      <c r="BS34" s="475">
        <v>1</v>
      </c>
      <c r="BT34" s="475">
        <v>1</v>
      </c>
      <c r="BU34" s="475">
        <v>1</v>
      </c>
      <c r="BV34" s="475">
        <v>1</v>
      </c>
      <c r="BW34" s="475">
        <v>1</v>
      </c>
      <c r="BX34" s="475">
        <v>1</v>
      </c>
      <c r="BY34" s="475">
        <v>1</v>
      </c>
      <c r="BZ34" s="475">
        <v>1</v>
      </c>
      <c r="CA34" s="475">
        <v>1</v>
      </c>
      <c r="CB34" s="475">
        <v>1</v>
      </c>
      <c r="CC34" s="475">
        <v>1</v>
      </c>
      <c r="CD34" s="475">
        <v>1</v>
      </c>
      <c r="CE34" s="475">
        <v>1</v>
      </c>
      <c r="CF34" s="475">
        <v>1</v>
      </c>
      <c r="CG34" s="475">
        <v>1</v>
      </c>
      <c r="CH34" s="475">
        <v>1</v>
      </c>
      <c r="CI34" s="475">
        <v>1</v>
      </c>
      <c r="CJ34" s="475">
        <v>1</v>
      </c>
      <c r="CK34" s="475">
        <v>1</v>
      </c>
      <c r="CL34" s="475">
        <v>1</v>
      </c>
      <c r="CM34" s="475">
        <v>1</v>
      </c>
      <c r="CN34" s="475">
        <v>1</v>
      </c>
      <c r="CO34" s="475">
        <v>1</v>
      </c>
      <c r="CP34" s="475">
        <v>1</v>
      </c>
      <c r="CQ34" s="475"/>
      <c r="CR34" s="475"/>
      <c r="CS34" s="475"/>
      <c r="CT34" s="475"/>
      <c r="CU34" s="475"/>
      <c r="CV34" s="475"/>
      <c r="CW34" s="475"/>
      <c r="CX34" s="475"/>
      <c r="CY34" s="475"/>
      <c r="CZ34" s="475"/>
      <c r="DA34" s="475"/>
      <c r="DB34" s="475"/>
      <c r="DC34" s="476"/>
      <c r="DD34" s="476"/>
      <c r="DE34" s="476"/>
      <c r="DF34" s="476"/>
      <c r="DG34" s="475"/>
      <c r="DH34" s="475"/>
      <c r="DI34" s="475"/>
      <c r="DJ34" s="475"/>
      <c r="DK34" s="475"/>
      <c r="DL34" s="475"/>
      <c r="DM34" s="475"/>
      <c r="DN34" s="475"/>
      <c r="DO34" s="475"/>
      <c r="DP34" s="487">
        <f t="shared" si="20"/>
        <v>0</v>
      </c>
      <c r="DQ34" s="487">
        <f t="shared" si="20"/>
        <v>0</v>
      </c>
      <c r="DR34" s="487">
        <f t="shared" si="20"/>
        <v>0</v>
      </c>
      <c r="DS34" s="487">
        <f t="shared" si="20"/>
        <v>0</v>
      </c>
      <c r="DT34" s="487">
        <f t="shared" si="20"/>
        <v>0</v>
      </c>
      <c r="DU34" s="302">
        <f t="shared" si="20"/>
        <v>0</v>
      </c>
      <c r="DV34" s="302">
        <f t="shared" si="20"/>
        <v>0</v>
      </c>
      <c r="DW34" s="302">
        <f t="shared" si="20"/>
        <v>0</v>
      </c>
      <c r="DX34" s="302">
        <f t="shared" si="20"/>
        <v>3</v>
      </c>
      <c r="DY34" s="302">
        <f t="shared" si="20"/>
        <v>4</v>
      </c>
      <c r="DZ34" s="302">
        <f t="shared" si="21"/>
        <v>4</v>
      </c>
      <c r="EA34" s="302">
        <f t="shared" si="21"/>
        <v>4</v>
      </c>
      <c r="EB34" s="302">
        <f t="shared" si="21"/>
        <v>4</v>
      </c>
      <c r="EC34" s="302">
        <f t="shared" si="21"/>
        <v>4</v>
      </c>
      <c r="ED34" s="302">
        <f t="shared" si="21"/>
        <v>4</v>
      </c>
      <c r="EE34" s="302">
        <f t="shared" si="21"/>
        <v>4</v>
      </c>
      <c r="EF34" s="302">
        <f t="shared" si="21"/>
        <v>4</v>
      </c>
      <c r="EG34" s="302">
        <f t="shared" si="21"/>
        <v>4</v>
      </c>
      <c r="EH34" s="301">
        <f t="shared" si="21"/>
        <v>4</v>
      </c>
      <c r="EI34" s="301">
        <f t="shared" si="21"/>
        <v>3</v>
      </c>
      <c r="EJ34" s="301">
        <f t="shared" si="22"/>
        <v>0</v>
      </c>
      <c r="EK34" s="301">
        <f t="shared" si="22"/>
        <v>0</v>
      </c>
      <c r="EL34" s="301">
        <f t="shared" si="22"/>
        <v>0</v>
      </c>
      <c r="EM34" s="301">
        <f t="shared" si="22"/>
        <v>0</v>
      </c>
      <c r="EN34" s="301">
        <f t="shared" si="22"/>
        <v>0</v>
      </c>
      <c r="EO34" s="301">
        <f t="shared" si="22"/>
        <v>0</v>
      </c>
      <c r="EP34" s="488">
        <f t="shared" si="13"/>
        <v>46</v>
      </c>
      <c r="EQ34" s="305">
        <f t="shared" si="14"/>
        <v>0</v>
      </c>
    </row>
    <row r="35" spans="1:147" s="170" customFormat="1" ht="14.25" hidden="1" customHeight="1">
      <c r="A35" s="344"/>
      <c r="B35" s="292" t="s">
        <v>348</v>
      </c>
      <c r="C35" s="292" t="s">
        <v>117</v>
      </c>
      <c r="D35" s="292" t="s">
        <v>117</v>
      </c>
      <c r="E35" s="292" t="s">
        <v>491</v>
      </c>
      <c r="F35" s="292" t="s">
        <v>186</v>
      </c>
      <c r="G35" s="292" t="s">
        <v>1360</v>
      </c>
      <c r="H35" s="292" t="s">
        <v>492</v>
      </c>
      <c r="I35" s="292" t="s">
        <v>1382</v>
      </c>
      <c r="J35" s="292" t="s">
        <v>357</v>
      </c>
      <c r="K35" s="292"/>
      <c r="L35" s="292" t="str">
        <f t="shared" si="3"/>
        <v>OCM-OCM</v>
      </c>
      <c r="M35" s="292" t="str">
        <f t="shared" si="4"/>
        <v>Human Capital-Managing Director-US-Consulting</v>
      </c>
      <c r="N35" s="292" t="str">
        <f t="shared" si="5"/>
        <v>OCM - Human Capital</v>
      </c>
      <c r="O35" s="485">
        <f t="shared" si="6"/>
        <v>1952</v>
      </c>
      <c r="P35" s="474">
        <f t="shared" si="7"/>
        <v>4</v>
      </c>
      <c r="Q35" s="474"/>
      <c r="R35" s="474"/>
      <c r="S35" s="474"/>
      <c r="T35" s="292" t="s">
        <v>261</v>
      </c>
      <c r="U35" s="292" t="s">
        <v>492</v>
      </c>
      <c r="V35" s="292" t="s">
        <v>357</v>
      </c>
      <c r="W35" s="486">
        <f>IFERROR(VLOOKUP(M35,'Rate Card'!$A:$G,6,FALSE()),"combination not found")</f>
        <v>488</v>
      </c>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c r="BT35" s="475"/>
      <c r="BU35" s="475"/>
      <c r="BV35" s="475"/>
      <c r="BW35" s="475"/>
      <c r="BX35" s="475"/>
      <c r="BY35" s="475"/>
      <c r="BZ35" s="475"/>
      <c r="CA35" s="475"/>
      <c r="CB35" s="475">
        <v>1</v>
      </c>
      <c r="CC35" s="475"/>
      <c r="CD35" s="475"/>
      <c r="CE35" s="475">
        <v>1</v>
      </c>
      <c r="CF35" s="475"/>
      <c r="CG35" s="475"/>
      <c r="CH35" s="475">
        <v>1</v>
      </c>
      <c r="CI35" s="475"/>
      <c r="CJ35" s="475"/>
      <c r="CK35" s="475">
        <v>1</v>
      </c>
      <c r="CL35" s="475"/>
      <c r="CM35" s="475"/>
      <c r="CN35" s="475"/>
      <c r="CO35" s="475"/>
      <c r="CP35" s="475"/>
      <c r="CQ35" s="475"/>
      <c r="CR35" s="475"/>
      <c r="CS35" s="475"/>
      <c r="CT35" s="475"/>
      <c r="CU35" s="475"/>
      <c r="CV35" s="475"/>
      <c r="CW35" s="475"/>
      <c r="CX35" s="475"/>
      <c r="CY35" s="475"/>
      <c r="CZ35" s="475"/>
      <c r="DA35" s="475"/>
      <c r="DB35" s="475"/>
      <c r="DC35" s="476"/>
      <c r="DD35" s="476"/>
      <c r="DE35" s="476"/>
      <c r="DF35" s="476"/>
      <c r="DG35" s="475"/>
      <c r="DH35" s="475"/>
      <c r="DI35" s="475"/>
      <c r="DJ35" s="475"/>
      <c r="DK35" s="475"/>
      <c r="DL35" s="475"/>
      <c r="DM35" s="475"/>
      <c r="DN35" s="475"/>
      <c r="DO35" s="475"/>
      <c r="DP35" s="487">
        <f t="shared" si="20"/>
        <v>0</v>
      </c>
      <c r="DQ35" s="487">
        <f t="shared" si="20"/>
        <v>0</v>
      </c>
      <c r="DR35" s="487">
        <f t="shared" si="20"/>
        <v>0</v>
      </c>
      <c r="DS35" s="487">
        <f t="shared" si="20"/>
        <v>0</v>
      </c>
      <c r="DT35" s="487">
        <f t="shared" si="20"/>
        <v>0</v>
      </c>
      <c r="DU35" s="302">
        <f t="shared" si="20"/>
        <v>0</v>
      </c>
      <c r="DV35" s="302">
        <f t="shared" si="20"/>
        <v>0</v>
      </c>
      <c r="DW35" s="302">
        <f t="shared" si="20"/>
        <v>0</v>
      </c>
      <c r="DX35" s="302">
        <f t="shared" si="20"/>
        <v>0</v>
      </c>
      <c r="DY35" s="302">
        <f t="shared" si="20"/>
        <v>0</v>
      </c>
      <c r="DZ35" s="302">
        <f t="shared" si="21"/>
        <v>0</v>
      </c>
      <c r="EA35" s="302">
        <f t="shared" si="21"/>
        <v>0</v>
      </c>
      <c r="EB35" s="302">
        <f t="shared" si="21"/>
        <v>0</v>
      </c>
      <c r="EC35" s="302">
        <f t="shared" si="21"/>
        <v>0</v>
      </c>
      <c r="ED35" s="302">
        <f t="shared" si="21"/>
        <v>0</v>
      </c>
      <c r="EE35" s="302">
        <f t="shared" si="21"/>
        <v>0</v>
      </c>
      <c r="EF35" s="302">
        <f t="shared" si="21"/>
        <v>2</v>
      </c>
      <c r="EG35" s="302">
        <f t="shared" si="21"/>
        <v>1</v>
      </c>
      <c r="EH35" s="301">
        <f t="shared" si="21"/>
        <v>1</v>
      </c>
      <c r="EI35" s="301">
        <f t="shared" si="21"/>
        <v>0</v>
      </c>
      <c r="EJ35" s="301">
        <f t="shared" si="22"/>
        <v>0</v>
      </c>
      <c r="EK35" s="301">
        <f t="shared" si="22"/>
        <v>0</v>
      </c>
      <c r="EL35" s="301">
        <f t="shared" si="22"/>
        <v>0</v>
      </c>
      <c r="EM35" s="301">
        <f t="shared" si="22"/>
        <v>0</v>
      </c>
      <c r="EN35" s="301">
        <f t="shared" si="22"/>
        <v>0</v>
      </c>
      <c r="EO35" s="301">
        <f t="shared" si="22"/>
        <v>0</v>
      </c>
      <c r="EP35" s="488">
        <f t="shared" si="13"/>
        <v>4</v>
      </c>
      <c r="EQ35" s="305">
        <f t="shared" si="14"/>
        <v>0</v>
      </c>
    </row>
    <row r="36" spans="1:147" s="170" customFormat="1" ht="14.25" hidden="1" customHeight="1">
      <c r="A36" s="344"/>
      <c r="B36" s="292" t="s">
        <v>348</v>
      </c>
      <c r="C36" s="292" t="s">
        <v>117</v>
      </c>
      <c r="D36" s="292" t="s">
        <v>117</v>
      </c>
      <c r="E36" s="292" t="s">
        <v>1383</v>
      </c>
      <c r="F36" s="292" t="s">
        <v>186</v>
      </c>
      <c r="G36" s="292" t="s">
        <v>1360</v>
      </c>
      <c r="H36" s="292" t="s">
        <v>492</v>
      </c>
      <c r="I36" s="292" t="s">
        <v>1382</v>
      </c>
      <c r="J36" s="292" t="s">
        <v>1363</v>
      </c>
      <c r="K36" s="292"/>
      <c r="L36" s="292" t="str">
        <f t="shared" si="3"/>
        <v>OCM-OCM</v>
      </c>
      <c r="M36" s="292" t="str">
        <f t="shared" si="4"/>
        <v>Human Capital-Senior Manager-US-Consulting</v>
      </c>
      <c r="N36" s="292" t="str">
        <f t="shared" si="5"/>
        <v>OCM - Human Capital</v>
      </c>
      <c r="O36" s="485">
        <f t="shared" si="6"/>
        <v>29448</v>
      </c>
      <c r="P36" s="474">
        <f t="shared" si="7"/>
        <v>72</v>
      </c>
      <c r="Q36" s="474"/>
      <c r="R36" s="474"/>
      <c r="S36" s="474"/>
      <c r="T36" s="292" t="s">
        <v>261</v>
      </c>
      <c r="U36" s="292" t="s">
        <v>492</v>
      </c>
      <c r="V36" s="292" t="s">
        <v>361</v>
      </c>
      <c r="W36" s="486">
        <f>IFERROR(VLOOKUP(M36,'Rate Card'!$A:$G,6,FALSE()),"combination not found")</f>
        <v>409</v>
      </c>
      <c r="X36" s="475"/>
      <c r="Y36" s="475"/>
      <c r="Z36" s="475"/>
      <c r="AA36" s="475"/>
      <c r="AB36" s="475"/>
      <c r="AC36" s="475"/>
      <c r="AD36" s="475"/>
      <c r="AE36" s="475"/>
      <c r="AF36" s="475"/>
      <c r="AG36" s="475"/>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5"/>
      <c r="BD36" s="475"/>
      <c r="BE36" s="475"/>
      <c r="BF36" s="475"/>
      <c r="BG36" s="475"/>
      <c r="BH36" s="475"/>
      <c r="BI36" s="475"/>
      <c r="BJ36" s="475"/>
      <c r="BK36" s="475"/>
      <c r="BL36" s="475"/>
      <c r="BM36" s="475"/>
      <c r="BN36" s="475"/>
      <c r="BO36" s="475"/>
      <c r="BP36" s="475"/>
      <c r="BQ36" s="475"/>
      <c r="BR36" s="475"/>
      <c r="BS36" s="475"/>
      <c r="BT36" s="475"/>
      <c r="BU36" s="475"/>
      <c r="BV36" s="475"/>
      <c r="BW36" s="475"/>
      <c r="BX36" s="475"/>
      <c r="BY36" s="475"/>
      <c r="BZ36" s="475"/>
      <c r="CA36" s="475"/>
      <c r="CB36" s="475">
        <v>6</v>
      </c>
      <c r="CC36" s="475">
        <v>6</v>
      </c>
      <c r="CD36" s="475">
        <v>6</v>
      </c>
      <c r="CE36" s="475">
        <v>6</v>
      </c>
      <c r="CF36" s="475">
        <v>6</v>
      </c>
      <c r="CG36" s="475">
        <v>6</v>
      </c>
      <c r="CH36" s="475">
        <v>6</v>
      </c>
      <c r="CI36" s="475">
        <v>6</v>
      </c>
      <c r="CJ36" s="475">
        <v>6</v>
      </c>
      <c r="CK36" s="475">
        <v>6</v>
      </c>
      <c r="CL36" s="475">
        <v>6</v>
      </c>
      <c r="CM36" s="475">
        <v>6</v>
      </c>
      <c r="CN36" s="475"/>
      <c r="CO36" s="475"/>
      <c r="CP36" s="475"/>
      <c r="CQ36" s="475"/>
      <c r="CR36" s="475"/>
      <c r="CS36" s="475"/>
      <c r="CT36" s="475"/>
      <c r="CU36" s="475"/>
      <c r="CV36" s="475"/>
      <c r="CW36" s="475"/>
      <c r="CX36" s="475"/>
      <c r="CY36" s="475"/>
      <c r="CZ36" s="475"/>
      <c r="DA36" s="475"/>
      <c r="DB36" s="475"/>
      <c r="DC36" s="476"/>
      <c r="DD36" s="476"/>
      <c r="DE36" s="476"/>
      <c r="DF36" s="476"/>
      <c r="DG36" s="475"/>
      <c r="DH36" s="475"/>
      <c r="DI36" s="475"/>
      <c r="DJ36" s="475"/>
      <c r="DK36" s="475"/>
      <c r="DL36" s="475"/>
      <c r="DM36" s="475"/>
      <c r="DN36" s="475"/>
      <c r="DO36" s="475"/>
      <c r="DP36" s="487">
        <f t="shared" si="20"/>
        <v>0</v>
      </c>
      <c r="DQ36" s="487">
        <f t="shared" si="20"/>
        <v>0</v>
      </c>
      <c r="DR36" s="487">
        <f t="shared" si="20"/>
        <v>0</v>
      </c>
      <c r="DS36" s="487">
        <f t="shared" si="20"/>
        <v>0</v>
      </c>
      <c r="DT36" s="487">
        <f t="shared" si="20"/>
        <v>0</v>
      </c>
      <c r="DU36" s="302">
        <f t="shared" si="20"/>
        <v>0</v>
      </c>
      <c r="DV36" s="302">
        <f t="shared" si="20"/>
        <v>0</v>
      </c>
      <c r="DW36" s="302">
        <f t="shared" si="20"/>
        <v>0</v>
      </c>
      <c r="DX36" s="302">
        <f t="shared" si="20"/>
        <v>0</v>
      </c>
      <c r="DY36" s="302">
        <f t="shared" si="20"/>
        <v>0</v>
      </c>
      <c r="DZ36" s="302">
        <f t="shared" si="21"/>
        <v>0</v>
      </c>
      <c r="EA36" s="302">
        <f t="shared" si="21"/>
        <v>0</v>
      </c>
      <c r="EB36" s="302">
        <f t="shared" si="21"/>
        <v>0</v>
      </c>
      <c r="EC36" s="302">
        <f t="shared" si="21"/>
        <v>0</v>
      </c>
      <c r="ED36" s="302">
        <f t="shared" si="21"/>
        <v>0</v>
      </c>
      <c r="EE36" s="302">
        <f t="shared" si="21"/>
        <v>0</v>
      </c>
      <c r="EF36" s="302">
        <f t="shared" si="21"/>
        <v>24</v>
      </c>
      <c r="EG36" s="302">
        <f t="shared" si="21"/>
        <v>24</v>
      </c>
      <c r="EH36" s="301">
        <f t="shared" si="21"/>
        <v>24</v>
      </c>
      <c r="EI36" s="301">
        <f t="shared" si="21"/>
        <v>0</v>
      </c>
      <c r="EJ36" s="301">
        <f t="shared" si="22"/>
        <v>0</v>
      </c>
      <c r="EK36" s="301">
        <f t="shared" si="22"/>
        <v>0</v>
      </c>
      <c r="EL36" s="301">
        <f t="shared" si="22"/>
        <v>0</v>
      </c>
      <c r="EM36" s="301">
        <f t="shared" si="22"/>
        <v>0</v>
      </c>
      <c r="EN36" s="301">
        <f t="shared" si="22"/>
        <v>0</v>
      </c>
      <c r="EO36" s="301">
        <f t="shared" si="22"/>
        <v>0</v>
      </c>
      <c r="EP36" s="488">
        <f t="shared" si="13"/>
        <v>72</v>
      </c>
      <c r="EQ36" s="305">
        <f t="shared" si="14"/>
        <v>0</v>
      </c>
    </row>
    <row r="37" spans="1:147" s="170" customFormat="1" ht="14.25" hidden="1" customHeight="1">
      <c r="A37" s="344"/>
      <c r="B37" s="292" t="s">
        <v>348</v>
      </c>
      <c r="C37" s="292" t="s">
        <v>117</v>
      </c>
      <c r="D37" s="292" t="s">
        <v>117</v>
      </c>
      <c r="E37" s="292" t="s">
        <v>1384</v>
      </c>
      <c r="F37" s="292" t="s">
        <v>186</v>
      </c>
      <c r="G37" s="292" t="s">
        <v>1360</v>
      </c>
      <c r="H37" s="292" t="s">
        <v>492</v>
      </c>
      <c r="I37" s="292" t="s">
        <v>1382</v>
      </c>
      <c r="J37" s="292" t="s">
        <v>1374</v>
      </c>
      <c r="K37" s="292"/>
      <c r="L37" s="292" t="str">
        <f t="shared" si="3"/>
        <v>OCM-OCM</v>
      </c>
      <c r="M37" s="292" t="str">
        <f t="shared" si="4"/>
        <v>Human Capital-Senior Consultant-US-Consulting</v>
      </c>
      <c r="N37" s="292" t="str">
        <f t="shared" si="5"/>
        <v>OCM - Human Capital</v>
      </c>
      <c r="O37" s="485">
        <f t="shared" si="6"/>
        <v>88020</v>
      </c>
      <c r="P37" s="474">
        <f t="shared" si="7"/>
        <v>270</v>
      </c>
      <c r="Q37" s="474"/>
      <c r="R37" s="474"/>
      <c r="S37" s="474"/>
      <c r="T37" s="292" t="s">
        <v>261</v>
      </c>
      <c r="U37" s="292" t="s">
        <v>492</v>
      </c>
      <c r="V37" s="292" t="s">
        <v>364</v>
      </c>
      <c r="W37" s="486">
        <f>IFERROR(VLOOKUP(M37,'Rate Card'!$A:$G,6,FALSE()),"combination not found")</f>
        <v>326</v>
      </c>
      <c r="X37" s="475"/>
      <c r="Y37" s="475"/>
      <c r="Z37" s="475"/>
      <c r="AA37" s="475"/>
      <c r="AB37" s="475"/>
      <c r="AC37" s="475"/>
      <c r="AD37" s="475"/>
      <c r="AE37" s="475"/>
      <c r="AF37" s="475"/>
      <c r="AG37" s="475"/>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5"/>
      <c r="BD37" s="475"/>
      <c r="BE37" s="475"/>
      <c r="BF37" s="475"/>
      <c r="BG37" s="475"/>
      <c r="BH37" s="475"/>
      <c r="BI37" s="475"/>
      <c r="BJ37" s="475"/>
      <c r="BK37" s="475"/>
      <c r="BL37" s="475"/>
      <c r="BM37" s="475"/>
      <c r="BN37" s="475"/>
      <c r="BO37" s="475"/>
      <c r="BP37" s="475"/>
      <c r="BQ37" s="475"/>
      <c r="BR37" s="475"/>
      <c r="BS37" s="475"/>
      <c r="BT37" s="475"/>
      <c r="BU37" s="475"/>
      <c r="BV37" s="475"/>
      <c r="BW37" s="475"/>
      <c r="BX37" s="475"/>
      <c r="BY37" s="475"/>
      <c r="BZ37" s="475"/>
      <c r="CA37" s="475"/>
      <c r="CB37" s="475">
        <v>45</v>
      </c>
      <c r="CC37" s="475">
        <v>45</v>
      </c>
      <c r="CD37" s="475">
        <v>45</v>
      </c>
      <c r="CE37" s="475">
        <v>45</v>
      </c>
      <c r="CF37" s="475">
        <v>45</v>
      </c>
      <c r="CG37" s="475">
        <v>45</v>
      </c>
      <c r="CH37" s="475"/>
      <c r="CI37" s="475"/>
      <c r="CJ37" s="475"/>
      <c r="CK37" s="475"/>
      <c r="CL37" s="475"/>
      <c r="CM37" s="475"/>
      <c r="CN37" s="475"/>
      <c r="CO37" s="475"/>
      <c r="CP37" s="475"/>
      <c r="CQ37" s="475"/>
      <c r="CR37" s="475"/>
      <c r="CS37" s="475"/>
      <c r="CT37" s="475"/>
      <c r="CU37" s="475"/>
      <c r="CV37" s="475"/>
      <c r="CW37" s="475"/>
      <c r="CX37" s="475"/>
      <c r="CY37" s="475"/>
      <c r="CZ37" s="475"/>
      <c r="DA37" s="475"/>
      <c r="DB37" s="475"/>
      <c r="DC37" s="476"/>
      <c r="DD37" s="476"/>
      <c r="DE37" s="476"/>
      <c r="DF37" s="476"/>
      <c r="DG37" s="475"/>
      <c r="DH37" s="475"/>
      <c r="DI37" s="475"/>
      <c r="DJ37" s="475"/>
      <c r="DK37" s="475"/>
      <c r="DL37" s="475"/>
      <c r="DM37" s="475"/>
      <c r="DN37" s="475"/>
      <c r="DO37" s="475"/>
      <c r="DP37" s="487">
        <f t="shared" si="20"/>
        <v>0</v>
      </c>
      <c r="DQ37" s="487">
        <f t="shared" si="20"/>
        <v>0</v>
      </c>
      <c r="DR37" s="487">
        <f t="shared" si="20"/>
        <v>0</v>
      </c>
      <c r="DS37" s="487">
        <f t="shared" si="20"/>
        <v>0</v>
      </c>
      <c r="DT37" s="487">
        <f t="shared" si="20"/>
        <v>0</v>
      </c>
      <c r="DU37" s="302">
        <f t="shared" si="20"/>
        <v>0</v>
      </c>
      <c r="DV37" s="302">
        <f t="shared" si="20"/>
        <v>0</v>
      </c>
      <c r="DW37" s="302">
        <f t="shared" si="20"/>
        <v>0</v>
      </c>
      <c r="DX37" s="302">
        <f t="shared" si="20"/>
        <v>0</v>
      </c>
      <c r="DY37" s="302">
        <f t="shared" si="20"/>
        <v>0</v>
      </c>
      <c r="DZ37" s="302">
        <f t="shared" si="21"/>
        <v>0</v>
      </c>
      <c r="EA37" s="302">
        <f t="shared" si="21"/>
        <v>0</v>
      </c>
      <c r="EB37" s="302">
        <f t="shared" si="21"/>
        <v>0</v>
      </c>
      <c r="EC37" s="302">
        <f t="shared" si="21"/>
        <v>0</v>
      </c>
      <c r="ED37" s="302">
        <f t="shared" si="21"/>
        <v>0</v>
      </c>
      <c r="EE37" s="302">
        <f t="shared" si="21"/>
        <v>0</v>
      </c>
      <c r="EF37" s="302">
        <f t="shared" si="21"/>
        <v>180</v>
      </c>
      <c r="EG37" s="302">
        <f t="shared" si="21"/>
        <v>90</v>
      </c>
      <c r="EH37" s="301">
        <f t="shared" si="21"/>
        <v>0</v>
      </c>
      <c r="EI37" s="301">
        <f t="shared" si="21"/>
        <v>0</v>
      </c>
      <c r="EJ37" s="301">
        <f t="shared" si="22"/>
        <v>0</v>
      </c>
      <c r="EK37" s="301">
        <f t="shared" si="22"/>
        <v>0</v>
      </c>
      <c r="EL37" s="301">
        <f t="shared" si="22"/>
        <v>0</v>
      </c>
      <c r="EM37" s="301">
        <f t="shared" si="22"/>
        <v>0</v>
      </c>
      <c r="EN37" s="301">
        <f t="shared" si="22"/>
        <v>0</v>
      </c>
      <c r="EO37" s="301">
        <f t="shared" si="22"/>
        <v>0</v>
      </c>
      <c r="EP37" s="488">
        <f t="shared" si="13"/>
        <v>270</v>
      </c>
      <c r="EQ37" s="305">
        <f t="shared" si="14"/>
        <v>0</v>
      </c>
    </row>
    <row r="38" spans="1:147" s="170" customFormat="1" ht="14.25" hidden="1" customHeight="1">
      <c r="A38" s="344"/>
      <c r="B38" s="292" t="s">
        <v>348</v>
      </c>
      <c r="C38" s="292" t="s">
        <v>117</v>
      </c>
      <c r="D38" s="292" t="s">
        <v>117</v>
      </c>
      <c r="E38" s="292" t="s">
        <v>1385</v>
      </c>
      <c r="F38" s="292" t="s">
        <v>184</v>
      </c>
      <c r="G38" s="292" t="s">
        <v>1364</v>
      </c>
      <c r="H38" s="292" t="s">
        <v>492</v>
      </c>
      <c r="I38" s="292" t="s">
        <v>1382</v>
      </c>
      <c r="J38" s="292" t="s">
        <v>368</v>
      </c>
      <c r="K38" s="292"/>
      <c r="L38" s="292" t="str">
        <f t="shared" si="3"/>
        <v>OCM-OCM</v>
      </c>
      <c r="M38" s="292" t="str">
        <f t="shared" si="4"/>
        <v>Human Capital-Consultant-India-Consulting</v>
      </c>
      <c r="N38" s="292" t="str">
        <f t="shared" si="5"/>
        <v>OCM - Human Capital</v>
      </c>
      <c r="O38" s="485">
        <f t="shared" si="6"/>
        <v>54450</v>
      </c>
      <c r="P38" s="474">
        <f t="shared" si="7"/>
        <v>450</v>
      </c>
      <c r="Q38" s="474"/>
      <c r="R38" s="474"/>
      <c r="S38" s="474"/>
      <c r="T38" s="292" t="s">
        <v>261</v>
      </c>
      <c r="U38" s="292" t="s">
        <v>492</v>
      </c>
      <c r="V38" s="292" t="s">
        <v>368</v>
      </c>
      <c r="W38" s="486">
        <f>IFERROR(VLOOKUP(M38,'Rate Card'!$A:$G,6,FALSE()),"combination not found")</f>
        <v>121</v>
      </c>
      <c r="X38" s="475"/>
      <c r="Y38" s="475"/>
      <c r="Z38" s="475"/>
      <c r="AA38" s="475"/>
      <c r="AB38" s="475"/>
      <c r="AC38" s="475"/>
      <c r="AD38" s="475"/>
      <c r="AE38" s="475"/>
      <c r="AF38" s="475"/>
      <c r="AG38" s="475"/>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5"/>
      <c r="BD38" s="475"/>
      <c r="BE38" s="475"/>
      <c r="BF38" s="475"/>
      <c r="BG38" s="475"/>
      <c r="BH38" s="475"/>
      <c r="BI38" s="475"/>
      <c r="BJ38" s="475"/>
      <c r="BK38" s="475"/>
      <c r="BL38" s="475"/>
      <c r="BM38" s="475"/>
      <c r="BN38" s="475"/>
      <c r="BO38" s="475"/>
      <c r="BP38" s="475"/>
      <c r="BQ38" s="475"/>
      <c r="BR38" s="475"/>
      <c r="BS38" s="475"/>
      <c r="BT38" s="475"/>
      <c r="BU38" s="475"/>
      <c r="BV38" s="475"/>
      <c r="BW38" s="475"/>
      <c r="BX38" s="475"/>
      <c r="BY38" s="475"/>
      <c r="BZ38" s="475"/>
      <c r="CA38" s="475"/>
      <c r="CB38" s="475"/>
      <c r="CC38" s="475"/>
      <c r="CD38" s="475">
        <v>45</v>
      </c>
      <c r="CE38" s="475">
        <v>45</v>
      </c>
      <c r="CF38" s="475">
        <v>45</v>
      </c>
      <c r="CG38" s="475">
        <v>45</v>
      </c>
      <c r="CH38" s="475">
        <v>45</v>
      </c>
      <c r="CI38" s="475">
        <v>45</v>
      </c>
      <c r="CJ38" s="475">
        <v>45</v>
      </c>
      <c r="CK38" s="475">
        <v>45</v>
      </c>
      <c r="CL38" s="475">
        <v>45</v>
      </c>
      <c r="CM38" s="475">
        <v>45</v>
      </c>
      <c r="CN38" s="475"/>
      <c r="CO38" s="475"/>
      <c r="CP38" s="475"/>
      <c r="CQ38" s="475"/>
      <c r="CR38" s="475"/>
      <c r="CS38" s="475"/>
      <c r="CT38" s="475"/>
      <c r="CU38" s="475"/>
      <c r="CV38" s="475"/>
      <c r="CW38" s="475"/>
      <c r="CX38" s="475"/>
      <c r="CY38" s="475"/>
      <c r="CZ38" s="475"/>
      <c r="DA38" s="475"/>
      <c r="DB38" s="475"/>
      <c r="DC38" s="476"/>
      <c r="DD38" s="476"/>
      <c r="DE38" s="476"/>
      <c r="DF38" s="476"/>
      <c r="DG38" s="475"/>
      <c r="DH38" s="475"/>
      <c r="DI38" s="475"/>
      <c r="DJ38" s="475"/>
      <c r="DK38" s="475"/>
      <c r="DL38" s="475"/>
      <c r="DM38" s="475"/>
      <c r="DN38" s="475"/>
      <c r="DO38" s="475"/>
      <c r="DP38" s="487">
        <f t="shared" si="20"/>
        <v>0</v>
      </c>
      <c r="DQ38" s="487">
        <f t="shared" si="20"/>
        <v>0</v>
      </c>
      <c r="DR38" s="487">
        <f t="shared" si="20"/>
        <v>0</v>
      </c>
      <c r="DS38" s="487">
        <f t="shared" si="20"/>
        <v>0</v>
      </c>
      <c r="DT38" s="487">
        <f t="shared" si="20"/>
        <v>0</v>
      </c>
      <c r="DU38" s="302">
        <f t="shared" si="20"/>
        <v>0</v>
      </c>
      <c r="DV38" s="302">
        <f t="shared" si="20"/>
        <v>0</v>
      </c>
      <c r="DW38" s="302">
        <f t="shared" si="20"/>
        <v>0</v>
      </c>
      <c r="DX38" s="302">
        <f t="shared" si="20"/>
        <v>0</v>
      </c>
      <c r="DY38" s="302">
        <f t="shared" si="20"/>
        <v>0</v>
      </c>
      <c r="DZ38" s="302">
        <f t="shared" si="21"/>
        <v>0</v>
      </c>
      <c r="EA38" s="302">
        <f t="shared" si="21"/>
        <v>0</v>
      </c>
      <c r="EB38" s="302">
        <f t="shared" si="21"/>
        <v>0</v>
      </c>
      <c r="EC38" s="302">
        <f t="shared" si="21"/>
        <v>0</v>
      </c>
      <c r="ED38" s="302">
        <f t="shared" si="21"/>
        <v>0</v>
      </c>
      <c r="EE38" s="302">
        <f t="shared" si="21"/>
        <v>0</v>
      </c>
      <c r="EF38" s="302">
        <f t="shared" si="21"/>
        <v>90</v>
      </c>
      <c r="EG38" s="302">
        <f t="shared" si="21"/>
        <v>180</v>
      </c>
      <c r="EH38" s="301">
        <f t="shared" si="21"/>
        <v>180</v>
      </c>
      <c r="EI38" s="301">
        <f t="shared" si="21"/>
        <v>0</v>
      </c>
      <c r="EJ38" s="301">
        <f t="shared" si="22"/>
        <v>0</v>
      </c>
      <c r="EK38" s="301">
        <f t="shared" si="22"/>
        <v>0</v>
      </c>
      <c r="EL38" s="301">
        <f t="shared" si="22"/>
        <v>0</v>
      </c>
      <c r="EM38" s="301">
        <f t="shared" si="22"/>
        <v>0</v>
      </c>
      <c r="EN38" s="301">
        <f t="shared" si="22"/>
        <v>0</v>
      </c>
      <c r="EO38" s="301">
        <f t="shared" si="22"/>
        <v>0</v>
      </c>
      <c r="EP38" s="488">
        <f t="shared" si="13"/>
        <v>450</v>
      </c>
      <c r="EQ38" s="305">
        <f t="shared" si="14"/>
        <v>0</v>
      </c>
    </row>
    <row r="39" spans="1:147" s="170" customFormat="1" ht="15.75" hidden="1" customHeight="1">
      <c r="A39" s="344"/>
      <c r="B39" s="292" t="s">
        <v>85</v>
      </c>
      <c r="C39" s="292" t="s">
        <v>1346</v>
      </c>
      <c r="D39" s="292" t="s">
        <v>1346</v>
      </c>
      <c r="E39" s="292" t="s">
        <v>1386</v>
      </c>
      <c r="F39" s="292" t="s">
        <v>186</v>
      </c>
      <c r="G39" s="292" t="s">
        <v>263</v>
      </c>
      <c r="H39" s="292" t="s">
        <v>263</v>
      </c>
      <c r="I39" s="292" t="s">
        <v>390</v>
      </c>
      <c r="J39" s="292" t="s">
        <v>515</v>
      </c>
      <c r="K39" s="292"/>
      <c r="L39" s="292" t="str">
        <f t="shared" si="3"/>
        <v>GTS-GTS</v>
      </c>
      <c r="M39" s="292" t="str">
        <f t="shared" si="4"/>
        <v>Tax Advisory-Principal/Partner/ Managing Director-US-Tax</v>
      </c>
      <c r="N39" s="292" t="str">
        <f t="shared" si="5"/>
        <v>GTS - Tax Advisory</v>
      </c>
      <c r="O39" s="485" t="e">
        <f t="shared" si="6"/>
        <v>#VALUE!</v>
      </c>
      <c r="P39" s="474">
        <f t="shared" si="7"/>
        <v>9</v>
      </c>
      <c r="Q39" s="474" t="str">
        <f>_xlfn.CONCAT(U39, " - ",V39)</f>
        <v>Tax Advisory - Principal/Partner/ Managing Director</v>
      </c>
      <c r="R39" s="474" t="e">
        <f>VLOOKUP(M39,'Rate Card'!$A$1:$D$674,4,FALSE())</f>
        <v>#N/A</v>
      </c>
      <c r="S39" s="474" t="str">
        <f>IF(F39="US", "Onshore",IF(F39="India","Offshore", "Nearshore"))</f>
        <v>Onshore</v>
      </c>
      <c r="T39" s="292" t="s">
        <v>263</v>
      </c>
      <c r="U39" s="292" t="s">
        <v>392</v>
      </c>
      <c r="V39" s="292" t="s">
        <v>1387</v>
      </c>
      <c r="W39" s="486" t="str">
        <f>IFERROR(VLOOKUP(M39,'Rate Card'!$A:$G,6,FALSE()),"combination not found")</f>
        <v>combination not found</v>
      </c>
      <c r="X39" s="475"/>
      <c r="Y39" s="475"/>
      <c r="Z39" s="475"/>
      <c r="AA39" s="475"/>
      <c r="AB39" s="475"/>
      <c r="AC39" s="475"/>
      <c r="AD39" s="475"/>
      <c r="AE39" s="475"/>
      <c r="AF39" s="475"/>
      <c r="AG39" s="475"/>
      <c r="AH39" s="475"/>
      <c r="AI39" s="475"/>
      <c r="AJ39" s="475"/>
      <c r="AK39" s="475"/>
      <c r="AL39" s="475"/>
      <c r="AM39" s="475"/>
      <c r="AN39" s="475"/>
      <c r="AO39" s="475"/>
      <c r="AP39" s="475"/>
      <c r="AQ39" s="475"/>
      <c r="AR39" s="475"/>
      <c r="AS39" s="475"/>
      <c r="AT39" s="475"/>
      <c r="AU39" s="475"/>
      <c r="AV39" s="475"/>
      <c r="AW39" s="475"/>
      <c r="AX39" s="475"/>
      <c r="AY39" s="475"/>
      <c r="AZ39" s="475"/>
      <c r="BA39" s="475"/>
      <c r="BB39" s="475"/>
      <c r="BC39" s="475"/>
      <c r="BD39" s="475"/>
      <c r="BE39" s="475">
        <v>1</v>
      </c>
      <c r="BF39" s="475"/>
      <c r="BG39" s="475"/>
      <c r="BH39" s="475"/>
      <c r="BI39" s="475"/>
      <c r="BJ39" s="475">
        <v>1</v>
      </c>
      <c r="BK39" s="475"/>
      <c r="BL39" s="475"/>
      <c r="BM39" s="475"/>
      <c r="BN39" s="475">
        <v>1</v>
      </c>
      <c r="BO39" s="475"/>
      <c r="BP39" s="475"/>
      <c r="BQ39" s="475"/>
      <c r="BR39" s="475">
        <v>1</v>
      </c>
      <c r="BS39" s="475"/>
      <c r="BT39" s="475"/>
      <c r="BU39" s="475"/>
      <c r="BV39" s="475">
        <v>1</v>
      </c>
      <c r="BW39" s="475"/>
      <c r="BX39" s="475"/>
      <c r="BY39" s="475"/>
      <c r="BZ39" s="475"/>
      <c r="CA39" s="475">
        <v>1</v>
      </c>
      <c r="CB39" s="475"/>
      <c r="CC39" s="475"/>
      <c r="CD39" s="475"/>
      <c r="CE39" s="475">
        <v>1</v>
      </c>
      <c r="CF39" s="475"/>
      <c r="CG39" s="475"/>
      <c r="CH39" s="475"/>
      <c r="CI39" s="475"/>
      <c r="CJ39" s="475">
        <v>1</v>
      </c>
      <c r="CK39" s="475"/>
      <c r="CL39" s="475"/>
      <c r="CM39" s="475"/>
      <c r="CN39" s="475">
        <v>1</v>
      </c>
      <c r="CO39" s="475"/>
      <c r="CP39" s="475"/>
      <c r="CQ39" s="475"/>
      <c r="CR39" s="475"/>
      <c r="CS39" s="475"/>
      <c r="CT39" s="475"/>
      <c r="CU39" s="475"/>
      <c r="CV39" s="475"/>
      <c r="CW39" s="475"/>
      <c r="CX39" s="475"/>
      <c r="CY39" s="475"/>
      <c r="CZ39" s="475"/>
      <c r="DA39" s="475"/>
      <c r="DB39" s="475"/>
      <c r="DC39" s="476"/>
      <c r="DD39" s="476"/>
      <c r="DE39" s="476"/>
      <c r="DF39" s="476"/>
      <c r="DG39" s="475"/>
      <c r="DH39" s="475"/>
      <c r="DI39" s="475"/>
      <c r="DJ39" s="475"/>
      <c r="DK39" s="475"/>
      <c r="DL39" s="475"/>
      <c r="DM39" s="475"/>
      <c r="DN39" s="475"/>
      <c r="DO39" s="475"/>
      <c r="DP39" s="487">
        <f t="shared" si="20"/>
        <v>0</v>
      </c>
      <c r="DQ39" s="487">
        <f t="shared" si="20"/>
        <v>0</v>
      </c>
      <c r="DR39" s="487">
        <f t="shared" si="20"/>
        <v>0</v>
      </c>
      <c r="DS39" s="487">
        <f t="shared" si="20"/>
        <v>0</v>
      </c>
      <c r="DT39" s="487">
        <f t="shared" si="20"/>
        <v>0</v>
      </c>
      <c r="DU39" s="302">
        <f t="shared" si="20"/>
        <v>0</v>
      </c>
      <c r="DV39" s="302">
        <f t="shared" si="20"/>
        <v>0</v>
      </c>
      <c r="DW39" s="302">
        <f t="shared" si="20"/>
        <v>0</v>
      </c>
      <c r="DX39" s="302">
        <f t="shared" si="20"/>
        <v>0</v>
      </c>
      <c r="DY39" s="302">
        <f t="shared" si="20"/>
        <v>0</v>
      </c>
      <c r="DZ39" s="302">
        <f t="shared" si="21"/>
        <v>1</v>
      </c>
      <c r="EA39" s="302">
        <f t="shared" si="21"/>
        <v>1</v>
      </c>
      <c r="EB39" s="302">
        <f t="shared" si="21"/>
        <v>1</v>
      </c>
      <c r="EC39" s="302">
        <f t="shared" si="21"/>
        <v>1</v>
      </c>
      <c r="ED39" s="302">
        <f t="shared" si="21"/>
        <v>1</v>
      </c>
      <c r="EE39" s="302">
        <f t="shared" si="21"/>
        <v>1</v>
      </c>
      <c r="EF39" s="302">
        <f t="shared" si="21"/>
        <v>1</v>
      </c>
      <c r="EG39" s="302">
        <f t="shared" si="21"/>
        <v>0</v>
      </c>
      <c r="EH39" s="301">
        <f t="shared" si="21"/>
        <v>1</v>
      </c>
      <c r="EI39" s="301">
        <f t="shared" si="21"/>
        <v>1</v>
      </c>
      <c r="EJ39" s="301">
        <f t="shared" si="22"/>
        <v>0</v>
      </c>
      <c r="EK39" s="301">
        <f t="shared" si="22"/>
        <v>0</v>
      </c>
      <c r="EL39" s="301">
        <f t="shared" si="22"/>
        <v>0</v>
      </c>
      <c r="EM39" s="301">
        <f t="shared" si="22"/>
        <v>0</v>
      </c>
      <c r="EN39" s="301">
        <f t="shared" si="22"/>
        <v>0</v>
      </c>
      <c r="EO39" s="301">
        <f t="shared" si="22"/>
        <v>0</v>
      </c>
      <c r="EP39" s="488">
        <f t="shared" si="13"/>
        <v>9</v>
      </c>
      <c r="EQ39" s="305">
        <f t="shared" si="14"/>
        <v>0</v>
      </c>
    </row>
    <row r="40" spans="1:147" s="170" customFormat="1" ht="15.75" hidden="1" customHeight="1">
      <c r="A40" s="344"/>
      <c r="B40" s="292" t="s">
        <v>85</v>
      </c>
      <c r="C40" s="292" t="s">
        <v>1346</v>
      </c>
      <c r="D40" s="292" t="s">
        <v>1346</v>
      </c>
      <c r="E40" s="292" t="s">
        <v>1388</v>
      </c>
      <c r="F40" s="292" t="s">
        <v>186</v>
      </c>
      <c r="G40" s="292" t="s">
        <v>263</v>
      </c>
      <c r="H40" s="292" t="s">
        <v>263</v>
      </c>
      <c r="I40" s="292" t="s">
        <v>390</v>
      </c>
      <c r="J40" s="292" t="s">
        <v>1363</v>
      </c>
      <c r="K40" s="292"/>
      <c r="L40" s="292" t="str">
        <f t="shared" si="3"/>
        <v>GTS-GTS</v>
      </c>
      <c r="M40" s="292" t="str">
        <f t="shared" si="4"/>
        <v>Tax Advisory-Senior Manager-US-Tax</v>
      </c>
      <c r="N40" s="292" t="str">
        <f t="shared" si="5"/>
        <v>GTS - Tax Advisory</v>
      </c>
      <c r="O40" s="485">
        <f t="shared" si="6"/>
        <v>14000</v>
      </c>
      <c r="P40" s="474">
        <f t="shared" si="7"/>
        <v>28</v>
      </c>
      <c r="Q40" s="474" t="str">
        <f>_xlfn.CONCAT(U40, " - ",V40)</f>
        <v>Tax Advisory - Senior Manager</v>
      </c>
      <c r="R40" s="474" t="e">
        <f>VLOOKUP(M40,'Rate Card'!$A$1:$D$674,4,FALSE())</f>
        <v>#N/A</v>
      </c>
      <c r="S40" s="474" t="str">
        <f>IF(F40="US", "Onshore",IF(F40="India","Offshore", "Nearshore"))</f>
        <v>Onshore</v>
      </c>
      <c r="T40" s="292" t="s">
        <v>263</v>
      </c>
      <c r="U40" s="292" t="s">
        <v>392</v>
      </c>
      <c r="V40" s="292" t="s">
        <v>361</v>
      </c>
      <c r="W40" s="486">
        <f>IFERROR(VLOOKUP(M40,'Rate Card'!$A:$G,6,FALSE()),"combination not found")</f>
        <v>500</v>
      </c>
      <c r="X40" s="475"/>
      <c r="Y40" s="475"/>
      <c r="Z40" s="475"/>
      <c r="AA40" s="475"/>
      <c r="AB40" s="475"/>
      <c r="AC40" s="475"/>
      <c r="AD40" s="475"/>
      <c r="AE40" s="475"/>
      <c r="AF40" s="475"/>
      <c r="AG40" s="475"/>
      <c r="AH40" s="475"/>
      <c r="AI40" s="475"/>
      <c r="AJ40" s="475"/>
      <c r="AK40" s="475"/>
      <c r="AL40" s="475"/>
      <c r="AM40" s="475"/>
      <c r="AN40" s="475"/>
      <c r="AO40" s="475"/>
      <c r="AP40" s="475"/>
      <c r="AQ40" s="475"/>
      <c r="AR40" s="475"/>
      <c r="AS40" s="475"/>
      <c r="AT40" s="475"/>
      <c r="AU40" s="475"/>
      <c r="AV40" s="475"/>
      <c r="AW40" s="475"/>
      <c r="AX40" s="475"/>
      <c r="AY40" s="475"/>
      <c r="AZ40" s="475"/>
      <c r="BA40" s="475"/>
      <c r="BB40" s="475">
        <v>1</v>
      </c>
      <c r="BC40" s="475">
        <v>1</v>
      </c>
      <c r="BD40" s="475">
        <v>1</v>
      </c>
      <c r="BE40" s="475">
        <v>1</v>
      </c>
      <c r="BF40" s="475">
        <v>1</v>
      </c>
      <c r="BG40" s="475">
        <v>1</v>
      </c>
      <c r="BH40" s="475">
        <v>1</v>
      </c>
      <c r="BI40" s="475">
        <v>1</v>
      </c>
      <c r="BJ40" s="475">
        <v>1</v>
      </c>
      <c r="BK40" s="475">
        <v>1</v>
      </c>
      <c r="BL40" s="475">
        <v>1</v>
      </c>
      <c r="BM40" s="475">
        <v>1</v>
      </c>
      <c r="BN40" s="475">
        <v>1</v>
      </c>
      <c r="BO40" s="475">
        <v>1</v>
      </c>
      <c r="BP40" s="475">
        <v>1</v>
      </c>
      <c r="BQ40" s="475">
        <v>1</v>
      </c>
      <c r="BR40" s="475">
        <v>1</v>
      </c>
      <c r="BS40" s="475"/>
      <c r="BT40" s="475"/>
      <c r="BU40" s="475">
        <v>1</v>
      </c>
      <c r="BV40" s="475">
        <v>1</v>
      </c>
      <c r="BW40" s="475"/>
      <c r="BX40" s="475"/>
      <c r="BY40" s="475"/>
      <c r="BZ40" s="475">
        <v>1</v>
      </c>
      <c r="CA40" s="475">
        <v>1</v>
      </c>
      <c r="CB40" s="475"/>
      <c r="CC40" s="475"/>
      <c r="CD40" s="475">
        <v>1</v>
      </c>
      <c r="CE40" s="475">
        <v>1</v>
      </c>
      <c r="CF40" s="475"/>
      <c r="CG40" s="475"/>
      <c r="CH40" s="475">
        <v>1</v>
      </c>
      <c r="CI40" s="475">
        <v>1</v>
      </c>
      <c r="CJ40" s="475">
        <v>1</v>
      </c>
      <c r="CK40" s="475"/>
      <c r="CL40" s="475"/>
      <c r="CM40" s="475">
        <v>1</v>
      </c>
      <c r="CN40" s="475">
        <v>1</v>
      </c>
      <c r="CO40" s="475"/>
      <c r="CP40" s="475"/>
      <c r="CQ40" s="475"/>
      <c r="CR40" s="475"/>
      <c r="CS40" s="475"/>
      <c r="CT40" s="475"/>
      <c r="CU40" s="475"/>
      <c r="CV40" s="475"/>
      <c r="CW40" s="475"/>
      <c r="CX40" s="475"/>
      <c r="CY40" s="475"/>
      <c r="CZ40" s="475"/>
      <c r="DA40" s="475"/>
      <c r="DB40" s="475"/>
      <c r="DC40" s="476"/>
      <c r="DD40" s="476"/>
      <c r="DE40" s="476"/>
      <c r="DF40" s="476"/>
      <c r="DG40" s="475"/>
      <c r="DH40" s="475"/>
      <c r="DI40" s="475"/>
      <c r="DJ40" s="475"/>
      <c r="DK40" s="475"/>
      <c r="DL40" s="475"/>
      <c r="DM40" s="475"/>
      <c r="DN40" s="475"/>
      <c r="DO40" s="475"/>
      <c r="DP40" s="487">
        <f t="shared" si="20"/>
        <v>0</v>
      </c>
      <c r="DQ40" s="487">
        <f t="shared" si="20"/>
        <v>0</v>
      </c>
      <c r="DR40" s="487">
        <f t="shared" si="20"/>
        <v>0</v>
      </c>
      <c r="DS40" s="487">
        <f t="shared" si="20"/>
        <v>0</v>
      </c>
      <c r="DT40" s="487">
        <f t="shared" si="20"/>
        <v>0</v>
      </c>
      <c r="DU40" s="302">
        <f t="shared" si="20"/>
        <v>0</v>
      </c>
      <c r="DV40" s="302">
        <f t="shared" si="20"/>
        <v>0</v>
      </c>
      <c r="DW40" s="302">
        <f t="shared" si="20"/>
        <v>0</v>
      </c>
      <c r="DX40" s="302">
        <f t="shared" si="20"/>
        <v>0</v>
      </c>
      <c r="DY40" s="302">
        <f t="shared" si="20"/>
        <v>2</v>
      </c>
      <c r="DZ40" s="302">
        <f t="shared" si="21"/>
        <v>4</v>
      </c>
      <c r="EA40" s="302">
        <f t="shared" si="21"/>
        <v>4</v>
      </c>
      <c r="EB40" s="302">
        <f t="shared" si="21"/>
        <v>4</v>
      </c>
      <c r="EC40" s="302">
        <f t="shared" si="21"/>
        <v>3</v>
      </c>
      <c r="ED40" s="302">
        <f t="shared" si="21"/>
        <v>2</v>
      </c>
      <c r="EE40" s="302">
        <f t="shared" si="21"/>
        <v>2</v>
      </c>
      <c r="EF40" s="302">
        <f t="shared" si="21"/>
        <v>2</v>
      </c>
      <c r="EG40" s="302">
        <f t="shared" si="21"/>
        <v>2</v>
      </c>
      <c r="EH40" s="301">
        <f t="shared" si="21"/>
        <v>2</v>
      </c>
      <c r="EI40" s="301">
        <f t="shared" si="21"/>
        <v>1</v>
      </c>
      <c r="EJ40" s="301">
        <f t="shared" si="22"/>
        <v>0</v>
      </c>
      <c r="EK40" s="301">
        <f t="shared" si="22"/>
        <v>0</v>
      </c>
      <c r="EL40" s="301">
        <f t="shared" si="22"/>
        <v>0</v>
      </c>
      <c r="EM40" s="301">
        <f t="shared" si="22"/>
        <v>0</v>
      </c>
      <c r="EN40" s="301">
        <f t="shared" si="22"/>
        <v>0</v>
      </c>
      <c r="EO40" s="301">
        <f t="shared" si="22"/>
        <v>0</v>
      </c>
      <c r="EP40" s="488">
        <f t="shared" si="13"/>
        <v>28</v>
      </c>
      <c r="EQ40" s="305">
        <f t="shared" si="14"/>
        <v>0</v>
      </c>
    </row>
    <row r="41" spans="1:147" s="170" customFormat="1" ht="15.75" hidden="1" customHeight="1">
      <c r="A41" s="344"/>
      <c r="B41" s="292" t="s">
        <v>85</v>
      </c>
      <c r="C41" s="292" t="s">
        <v>1346</v>
      </c>
      <c r="D41" s="292" t="s">
        <v>1346</v>
      </c>
      <c r="E41" s="292" t="s">
        <v>1389</v>
      </c>
      <c r="F41" s="292" t="s">
        <v>186</v>
      </c>
      <c r="G41" s="292" t="s">
        <v>263</v>
      </c>
      <c r="H41" s="292" t="s">
        <v>263</v>
      </c>
      <c r="I41" s="292" t="s">
        <v>390</v>
      </c>
      <c r="J41" s="292" t="s">
        <v>376</v>
      </c>
      <c r="K41" s="292"/>
      <c r="L41" s="292" t="str">
        <f t="shared" si="3"/>
        <v>GTS-GTS</v>
      </c>
      <c r="M41" s="292" t="str">
        <f t="shared" si="4"/>
        <v>Tax Advisory-Manager-US-Tax</v>
      </c>
      <c r="N41" s="292" t="str">
        <f t="shared" si="5"/>
        <v>GTS - Tax Advisory</v>
      </c>
      <c r="O41" s="485">
        <f t="shared" si="6"/>
        <v>16060</v>
      </c>
      <c r="P41" s="474">
        <f t="shared" si="7"/>
        <v>44</v>
      </c>
      <c r="Q41" s="474" t="str">
        <f>_xlfn.CONCAT(U41, " - ",V41)</f>
        <v>Tax Advisory - Manager</v>
      </c>
      <c r="R41" s="474" t="e">
        <f>VLOOKUP(M41,'Rate Card'!$A$1:$D$674,4,FALSE())</f>
        <v>#N/A</v>
      </c>
      <c r="S41" s="474" t="str">
        <f>IF(F41="US", "Onshore",IF(F41="India","Offshore", "Nearshore"))</f>
        <v>Onshore</v>
      </c>
      <c r="T41" s="292" t="s">
        <v>263</v>
      </c>
      <c r="U41" s="292" t="s">
        <v>392</v>
      </c>
      <c r="V41" s="292" t="s">
        <v>376</v>
      </c>
      <c r="W41" s="486">
        <f>IFERROR(VLOOKUP(M41,'Rate Card'!$A:$G,6,FALSE()),"combination not found")</f>
        <v>365</v>
      </c>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c r="AU41" s="475"/>
      <c r="AV41" s="475"/>
      <c r="AW41" s="475"/>
      <c r="AX41" s="475"/>
      <c r="AY41" s="475"/>
      <c r="AZ41" s="475"/>
      <c r="BA41" s="475"/>
      <c r="BB41" s="475">
        <v>2</v>
      </c>
      <c r="BC41" s="475">
        <v>2</v>
      </c>
      <c r="BD41" s="475">
        <v>2</v>
      </c>
      <c r="BE41" s="475"/>
      <c r="BF41" s="475">
        <v>2</v>
      </c>
      <c r="BG41" s="475">
        <v>2</v>
      </c>
      <c r="BH41" s="475">
        <v>2</v>
      </c>
      <c r="BI41" s="475">
        <v>2</v>
      </c>
      <c r="BJ41" s="475"/>
      <c r="BK41" s="475">
        <v>2</v>
      </c>
      <c r="BL41" s="475">
        <v>2</v>
      </c>
      <c r="BM41" s="475">
        <v>2</v>
      </c>
      <c r="BN41" s="475"/>
      <c r="BO41" s="475"/>
      <c r="BP41" s="475">
        <v>2</v>
      </c>
      <c r="BQ41" s="475">
        <v>2</v>
      </c>
      <c r="BR41" s="475"/>
      <c r="BS41" s="475"/>
      <c r="BT41" s="475"/>
      <c r="BU41" s="475">
        <v>2</v>
      </c>
      <c r="BV41" s="475">
        <v>2</v>
      </c>
      <c r="BW41" s="475"/>
      <c r="BX41" s="475"/>
      <c r="BY41" s="475"/>
      <c r="BZ41" s="475">
        <v>2</v>
      </c>
      <c r="CA41" s="475">
        <v>2</v>
      </c>
      <c r="CB41" s="475"/>
      <c r="CC41" s="475"/>
      <c r="CD41" s="475">
        <v>2</v>
      </c>
      <c r="CE41" s="475">
        <v>2</v>
      </c>
      <c r="CF41" s="475"/>
      <c r="CG41" s="475"/>
      <c r="CH41" s="475"/>
      <c r="CI41" s="475">
        <v>2</v>
      </c>
      <c r="CJ41" s="475">
        <v>2</v>
      </c>
      <c r="CK41" s="475"/>
      <c r="CL41" s="475"/>
      <c r="CM41" s="475">
        <v>2</v>
      </c>
      <c r="CN41" s="475">
        <v>2</v>
      </c>
      <c r="CO41" s="475"/>
      <c r="CP41" s="475"/>
      <c r="CQ41" s="475"/>
      <c r="CR41" s="475"/>
      <c r="CS41" s="475"/>
      <c r="CT41" s="475"/>
      <c r="CU41" s="475"/>
      <c r="CV41" s="475"/>
      <c r="CW41" s="475"/>
      <c r="CX41" s="475"/>
      <c r="CY41" s="475"/>
      <c r="CZ41" s="475"/>
      <c r="DA41" s="475"/>
      <c r="DB41" s="475"/>
      <c r="DC41" s="476"/>
      <c r="DD41" s="476"/>
      <c r="DE41" s="476"/>
      <c r="DF41" s="476"/>
      <c r="DG41" s="475"/>
      <c r="DH41" s="475"/>
      <c r="DI41" s="475"/>
      <c r="DJ41" s="475"/>
      <c r="DK41" s="475"/>
      <c r="DL41" s="475"/>
      <c r="DM41" s="475"/>
      <c r="DN41" s="475"/>
      <c r="DO41" s="475"/>
      <c r="DP41" s="487">
        <f t="shared" si="20"/>
        <v>0</v>
      </c>
      <c r="DQ41" s="487">
        <f t="shared" si="20"/>
        <v>0</v>
      </c>
      <c r="DR41" s="487">
        <f t="shared" si="20"/>
        <v>0</v>
      </c>
      <c r="DS41" s="487">
        <f t="shared" si="20"/>
        <v>0</v>
      </c>
      <c r="DT41" s="487">
        <f t="shared" si="20"/>
        <v>0</v>
      </c>
      <c r="DU41" s="302">
        <f t="shared" si="20"/>
        <v>0</v>
      </c>
      <c r="DV41" s="302">
        <f t="shared" si="20"/>
        <v>0</v>
      </c>
      <c r="DW41" s="302">
        <f t="shared" si="20"/>
        <v>0</v>
      </c>
      <c r="DX41" s="302">
        <f t="shared" si="20"/>
        <v>0</v>
      </c>
      <c r="DY41" s="302">
        <f t="shared" si="20"/>
        <v>4</v>
      </c>
      <c r="DZ41" s="302">
        <f t="shared" si="21"/>
        <v>6</v>
      </c>
      <c r="EA41" s="302">
        <f t="shared" si="21"/>
        <v>6</v>
      </c>
      <c r="EB41" s="302">
        <f t="shared" si="21"/>
        <v>4</v>
      </c>
      <c r="EC41" s="302">
        <f t="shared" si="21"/>
        <v>4</v>
      </c>
      <c r="ED41" s="302">
        <f t="shared" si="21"/>
        <v>4</v>
      </c>
      <c r="EE41" s="302">
        <f t="shared" si="21"/>
        <v>4</v>
      </c>
      <c r="EF41" s="302">
        <f t="shared" si="21"/>
        <v>4</v>
      </c>
      <c r="EG41" s="302">
        <f t="shared" si="21"/>
        <v>2</v>
      </c>
      <c r="EH41" s="301">
        <f t="shared" si="21"/>
        <v>4</v>
      </c>
      <c r="EI41" s="301">
        <f t="shared" si="21"/>
        <v>2</v>
      </c>
      <c r="EJ41" s="301">
        <f t="shared" si="22"/>
        <v>0</v>
      </c>
      <c r="EK41" s="301">
        <f t="shared" si="22"/>
        <v>0</v>
      </c>
      <c r="EL41" s="301">
        <f t="shared" si="22"/>
        <v>0</v>
      </c>
      <c r="EM41" s="301">
        <f t="shared" si="22"/>
        <v>0</v>
      </c>
      <c r="EN41" s="301">
        <f t="shared" si="22"/>
        <v>0</v>
      </c>
      <c r="EO41" s="301">
        <f t="shared" si="22"/>
        <v>0</v>
      </c>
      <c r="EP41" s="488">
        <f t="shared" si="13"/>
        <v>44</v>
      </c>
      <c r="EQ41" s="305">
        <f t="shared" si="14"/>
        <v>0</v>
      </c>
    </row>
    <row r="42" spans="1:147" s="306" customFormat="1" ht="15" hidden="1" customHeight="1">
      <c r="A42" s="291"/>
      <c r="B42" s="292" t="s">
        <v>85</v>
      </c>
      <c r="C42" s="292" t="s">
        <v>1346</v>
      </c>
      <c r="D42" s="292" t="s">
        <v>1346</v>
      </c>
      <c r="E42" s="292" t="s">
        <v>1390</v>
      </c>
      <c r="F42" s="292" t="s">
        <v>184</v>
      </c>
      <c r="G42" s="292" t="s">
        <v>263</v>
      </c>
      <c r="H42" s="292" t="s">
        <v>263</v>
      </c>
      <c r="I42" s="292" t="s">
        <v>390</v>
      </c>
      <c r="J42" s="292" t="s">
        <v>368</v>
      </c>
      <c r="K42" s="292"/>
      <c r="L42" s="292" t="str">
        <f t="shared" si="3"/>
        <v>GTS-GTS</v>
      </c>
      <c r="M42" s="292" t="str">
        <f t="shared" si="4"/>
        <v>Tax Advisory-Senior Consultant-India-Tax</v>
      </c>
      <c r="N42" s="292" t="str">
        <f t="shared" si="5"/>
        <v>GTS - Tax Advisory</v>
      </c>
      <c r="O42" s="485">
        <f t="shared" si="6"/>
        <v>275400</v>
      </c>
      <c r="P42" s="474">
        <f t="shared" si="7"/>
        <v>1530</v>
      </c>
      <c r="Q42" s="474" t="str">
        <f>_xlfn.CONCAT(U42, " - ",V42)</f>
        <v>Tax Advisory - Senior Consultant</v>
      </c>
      <c r="R42" s="474" t="e">
        <f>VLOOKUP(M42,'Rate Card'!$A$1:$D$674,4,FALSE())</f>
        <v>#N/A</v>
      </c>
      <c r="S42" s="474" t="str">
        <f>IF(F42="US", "Onshore",IF(F42="India","Offshore", "Nearshore"))</f>
        <v>Offshore</v>
      </c>
      <c r="T42" s="292" t="s">
        <v>263</v>
      </c>
      <c r="U42" s="435" t="s">
        <v>392</v>
      </c>
      <c r="V42" s="292" t="s">
        <v>364</v>
      </c>
      <c r="W42" s="486">
        <f>IFERROR(VLOOKUP(M42,'Rate Card'!$A:$G,6,FALSE()),"combination not found")</f>
        <v>180</v>
      </c>
      <c r="X42" s="474"/>
      <c r="Y42" s="474"/>
      <c r="Z42" s="474"/>
      <c r="AA42" s="474"/>
      <c r="AB42" s="474"/>
      <c r="AC42" s="474"/>
      <c r="AD42" s="474"/>
      <c r="AE42" s="474"/>
      <c r="AF42" s="474"/>
      <c r="AG42" s="474"/>
      <c r="AH42" s="474"/>
      <c r="AI42" s="474"/>
      <c r="AJ42" s="474"/>
      <c r="AK42" s="474"/>
      <c r="AL42" s="474"/>
      <c r="AM42" s="474"/>
      <c r="AN42" s="474"/>
      <c r="AO42" s="474"/>
      <c r="AP42" s="474"/>
      <c r="AQ42" s="474"/>
      <c r="AR42" s="474"/>
      <c r="AS42" s="474"/>
      <c r="AT42" s="474"/>
      <c r="AU42" s="474"/>
      <c r="AV42" s="474"/>
      <c r="AW42" s="474"/>
      <c r="AX42" s="474"/>
      <c r="AY42" s="474"/>
      <c r="AZ42" s="474"/>
      <c r="BA42" s="474"/>
      <c r="BB42" s="474">
        <v>45</v>
      </c>
      <c r="BC42" s="474">
        <v>45</v>
      </c>
      <c r="BD42" s="474">
        <v>45</v>
      </c>
      <c r="BE42" s="474">
        <v>45</v>
      </c>
      <c r="BF42" s="474">
        <v>45</v>
      </c>
      <c r="BG42" s="474">
        <v>45</v>
      </c>
      <c r="BH42" s="474">
        <v>45</v>
      </c>
      <c r="BI42" s="474">
        <v>45</v>
      </c>
      <c r="BJ42" s="474">
        <v>45</v>
      </c>
      <c r="BK42" s="474">
        <v>45</v>
      </c>
      <c r="BL42" s="474">
        <v>45</v>
      </c>
      <c r="BM42" s="474">
        <v>45</v>
      </c>
      <c r="BN42" s="474">
        <v>45</v>
      </c>
      <c r="BO42" s="474">
        <v>45</v>
      </c>
      <c r="BP42" s="474">
        <v>45</v>
      </c>
      <c r="BQ42" s="474">
        <v>45</v>
      </c>
      <c r="BR42" s="474">
        <v>45</v>
      </c>
      <c r="BS42" s="474">
        <v>45</v>
      </c>
      <c r="BT42" s="474">
        <v>45</v>
      </c>
      <c r="BU42" s="474">
        <v>45</v>
      </c>
      <c r="BV42" s="474">
        <v>45</v>
      </c>
      <c r="BW42" s="474">
        <v>45</v>
      </c>
      <c r="BX42" s="474">
        <v>45</v>
      </c>
      <c r="BY42" s="474">
        <v>45</v>
      </c>
      <c r="BZ42" s="474">
        <v>30</v>
      </c>
      <c r="CA42" s="474">
        <v>30</v>
      </c>
      <c r="CB42" s="474">
        <v>30</v>
      </c>
      <c r="CC42" s="474">
        <v>30</v>
      </c>
      <c r="CD42" s="474">
        <v>30</v>
      </c>
      <c r="CE42" s="474">
        <v>30</v>
      </c>
      <c r="CF42" s="474">
        <v>30</v>
      </c>
      <c r="CG42" s="474">
        <v>30</v>
      </c>
      <c r="CH42" s="474">
        <v>30</v>
      </c>
      <c r="CI42" s="474">
        <v>30</v>
      </c>
      <c r="CJ42" s="474">
        <v>30</v>
      </c>
      <c r="CK42" s="474">
        <v>30</v>
      </c>
      <c r="CL42" s="474">
        <v>30</v>
      </c>
      <c r="CM42" s="474">
        <v>30</v>
      </c>
      <c r="CN42" s="474">
        <v>30</v>
      </c>
      <c r="CO42" s="474"/>
      <c r="CP42" s="474"/>
      <c r="CQ42" s="474"/>
      <c r="CR42" s="474"/>
      <c r="CS42" s="474"/>
      <c r="CT42" s="474"/>
      <c r="CU42" s="474"/>
      <c r="CV42" s="474"/>
      <c r="CW42" s="474"/>
      <c r="CX42" s="474"/>
      <c r="CY42" s="474"/>
      <c r="CZ42" s="474"/>
      <c r="DA42" s="474"/>
      <c r="DB42" s="474"/>
      <c r="DC42" s="292"/>
      <c r="DD42" s="292"/>
      <c r="DE42" s="292"/>
      <c r="DF42" s="292"/>
      <c r="DG42" s="474"/>
      <c r="DH42" s="474"/>
      <c r="DI42" s="474"/>
      <c r="DJ42" s="474"/>
      <c r="DK42" s="474"/>
      <c r="DL42" s="474"/>
      <c r="DM42" s="474"/>
      <c r="DN42" s="474"/>
      <c r="DO42" s="474"/>
      <c r="DP42" s="487">
        <f t="shared" si="20"/>
        <v>0</v>
      </c>
      <c r="DQ42" s="487">
        <f t="shared" si="20"/>
        <v>0</v>
      </c>
      <c r="DR42" s="487">
        <f t="shared" si="20"/>
        <v>0</v>
      </c>
      <c r="DS42" s="487">
        <f t="shared" si="20"/>
        <v>0</v>
      </c>
      <c r="DT42" s="487">
        <f t="shared" si="20"/>
        <v>0</v>
      </c>
      <c r="DU42" s="302">
        <f t="shared" si="20"/>
        <v>0</v>
      </c>
      <c r="DV42" s="302">
        <f t="shared" si="20"/>
        <v>0</v>
      </c>
      <c r="DW42" s="302">
        <f t="shared" si="20"/>
        <v>0</v>
      </c>
      <c r="DX42" s="302">
        <f t="shared" si="20"/>
        <v>0</v>
      </c>
      <c r="DY42" s="302">
        <f t="shared" si="20"/>
        <v>90</v>
      </c>
      <c r="DZ42" s="302">
        <f t="shared" si="21"/>
        <v>180</v>
      </c>
      <c r="EA42" s="302">
        <f t="shared" si="21"/>
        <v>180</v>
      </c>
      <c r="EB42" s="302">
        <f t="shared" si="21"/>
        <v>180</v>
      </c>
      <c r="EC42" s="302">
        <f t="shared" si="21"/>
        <v>180</v>
      </c>
      <c r="ED42" s="302">
        <f t="shared" si="21"/>
        <v>180</v>
      </c>
      <c r="EE42" s="302">
        <f t="shared" si="21"/>
        <v>150</v>
      </c>
      <c r="EF42" s="302">
        <f t="shared" si="21"/>
        <v>120</v>
      </c>
      <c r="EG42" s="302">
        <f t="shared" si="21"/>
        <v>120</v>
      </c>
      <c r="EH42" s="301">
        <f t="shared" si="21"/>
        <v>120</v>
      </c>
      <c r="EI42" s="301">
        <f t="shared" si="21"/>
        <v>30</v>
      </c>
      <c r="EJ42" s="301">
        <f t="shared" si="22"/>
        <v>0</v>
      </c>
      <c r="EK42" s="301">
        <f t="shared" si="22"/>
        <v>0</v>
      </c>
      <c r="EL42" s="301">
        <f t="shared" si="22"/>
        <v>0</v>
      </c>
      <c r="EM42" s="301">
        <f t="shared" si="22"/>
        <v>0</v>
      </c>
      <c r="EN42" s="301">
        <f t="shared" si="22"/>
        <v>0</v>
      </c>
      <c r="EO42" s="301">
        <f t="shared" si="22"/>
        <v>0</v>
      </c>
      <c r="EP42" s="488">
        <f t="shared" si="13"/>
        <v>1530</v>
      </c>
      <c r="EQ42" s="305">
        <f t="shared" si="14"/>
        <v>0</v>
      </c>
    </row>
    <row r="43" spans="1:147" s="306" customFormat="1" ht="15" hidden="1" customHeight="1">
      <c r="A43" s="291"/>
      <c r="B43" s="292" t="s">
        <v>348</v>
      </c>
      <c r="C43" s="292" t="s">
        <v>1348</v>
      </c>
      <c r="D43" s="292" t="s">
        <v>1348</v>
      </c>
      <c r="E43" s="292" t="s">
        <v>356</v>
      </c>
      <c r="F43" s="292" t="s">
        <v>186</v>
      </c>
      <c r="G43" s="292" t="s">
        <v>1360</v>
      </c>
      <c r="H43" s="292" t="s">
        <v>1391</v>
      </c>
      <c r="I43" s="292" t="s">
        <v>1392</v>
      </c>
      <c r="J43" s="292" t="s">
        <v>242</v>
      </c>
      <c r="K43" s="292"/>
      <c r="L43" s="292" t="str">
        <f t="shared" si="3"/>
        <v>Snowflake-Snowflake</v>
      </c>
      <c r="M43" s="292" t="str">
        <f t="shared" si="4"/>
        <v>Technology-Principal-US-Consulting</v>
      </c>
      <c r="N43" s="292" t="str">
        <f t="shared" si="5"/>
        <v>Snowflake - Technology</v>
      </c>
      <c r="O43" s="485">
        <f t="shared" si="6"/>
        <v>5745</v>
      </c>
      <c r="P43" s="474">
        <f t="shared" si="7"/>
        <v>15</v>
      </c>
      <c r="Q43" s="474"/>
      <c r="R43" s="474"/>
      <c r="S43" s="474" t="str">
        <f>IF(F43="US", "Onshore",IF(F43="India","Offshore", "Nearshore"))</f>
        <v>Onshore</v>
      </c>
      <c r="T43" s="292" t="s">
        <v>261</v>
      </c>
      <c r="U43" s="292" t="s">
        <v>259</v>
      </c>
      <c r="V43" s="292" t="s">
        <v>242</v>
      </c>
      <c r="W43" s="486">
        <f>IFERROR(VLOOKUP(M43,'Rate Card'!$A:$G,6,FALSE()),"combination not found")</f>
        <v>383</v>
      </c>
      <c r="X43" s="474"/>
      <c r="Y43" s="474"/>
      <c r="Z43" s="474"/>
      <c r="AA43" s="474"/>
      <c r="AB43" s="474"/>
      <c r="AC43" s="474"/>
      <c r="AD43" s="474"/>
      <c r="AE43" s="474"/>
      <c r="AF43" s="474"/>
      <c r="AG43" s="474"/>
      <c r="AH43" s="474"/>
      <c r="AI43" s="474"/>
      <c r="AJ43" s="474"/>
      <c r="AK43" s="474"/>
      <c r="AL43" s="474"/>
      <c r="AM43" s="474"/>
      <c r="AN43" s="474"/>
      <c r="AO43" s="474"/>
      <c r="AP43" s="474"/>
      <c r="AQ43" s="474"/>
      <c r="AR43" s="474"/>
      <c r="AS43" s="474"/>
      <c r="AT43" s="474"/>
      <c r="AU43" s="474"/>
      <c r="AV43" s="474"/>
      <c r="AW43" s="474"/>
      <c r="AX43" s="474"/>
      <c r="AY43" s="474"/>
      <c r="AZ43" s="474"/>
      <c r="BA43" s="474"/>
      <c r="BB43" s="474"/>
      <c r="BC43" s="474"/>
      <c r="BD43" s="474"/>
      <c r="BE43" s="474"/>
      <c r="BF43" s="474"/>
      <c r="BG43" s="474"/>
      <c r="BH43" s="474"/>
      <c r="BI43" s="474"/>
      <c r="BJ43" s="474"/>
      <c r="BK43" s="474"/>
      <c r="BL43" s="474"/>
      <c r="BM43" s="474"/>
      <c r="BN43" s="474"/>
      <c r="BO43" s="474">
        <v>1</v>
      </c>
      <c r="BP43" s="490">
        <v>0</v>
      </c>
      <c r="BQ43" s="474">
        <v>1</v>
      </c>
      <c r="BR43" s="490">
        <v>0</v>
      </c>
      <c r="BS43" s="474">
        <v>1</v>
      </c>
      <c r="BT43" s="490">
        <v>0</v>
      </c>
      <c r="BU43" s="474">
        <v>1</v>
      </c>
      <c r="BV43" s="490">
        <v>0</v>
      </c>
      <c r="BW43" s="474">
        <v>1</v>
      </c>
      <c r="BX43" s="490">
        <v>0</v>
      </c>
      <c r="BY43" s="474">
        <v>1</v>
      </c>
      <c r="BZ43" s="490">
        <v>0</v>
      </c>
      <c r="CA43" s="474">
        <v>1</v>
      </c>
      <c r="CB43" s="490">
        <v>0</v>
      </c>
      <c r="CC43" s="474">
        <v>1</v>
      </c>
      <c r="CD43" s="490">
        <v>0</v>
      </c>
      <c r="CE43" s="474">
        <v>1</v>
      </c>
      <c r="CF43" s="490">
        <v>0</v>
      </c>
      <c r="CG43" s="474">
        <v>1</v>
      </c>
      <c r="CH43" s="490">
        <v>0</v>
      </c>
      <c r="CI43" s="474">
        <v>1</v>
      </c>
      <c r="CJ43" s="490">
        <v>0</v>
      </c>
      <c r="CK43" s="474">
        <v>1</v>
      </c>
      <c r="CL43" s="490">
        <v>0</v>
      </c>
      <c r="CM43" s="474">
        <v>1</v>
      </c>
      <c r="CN43" s="490">
        <v>0</v>
      </c>
      <c r="CO43" s="474">
        <v>1</v>
      </c>
      <c r="CP43" s="490">
        <v>0</v>
      </c>
      <c r="CQ43" s="474">
        <v>1</v>
      </c>
      <c r="CR43" s="474"/>
      <c r="CS43" s="474"/>
      <c r="CT43" s="474"/>
      <c r="CU43" s="474"/>
      <c r="CV43" s="474"/>
      <c r="CW43" s="474"/>
      <c r="CX43" s="474"/>
      <c r="CY43" s="474"/>
      <c r="CZ43" s="474"/>
      <c r="DA43" s="474"/>
      <c r="DB43" s="474"/>
      <c r="DC43" s="292"/>
      <c r="DD43" s="292"/>
      <c r="DE43" s="292"/>
      <c r="DF43" s="292"/>
      <c r="DG43" s="474"/>
      <c r="DH43" s="474"/>
      <c r="DI43" s="474"/>
      <c r="DJ43" s="474"/>
      <c r="DK43" s="474"/>
      <c r="DL43" s="474"/>
      <c r="DM43" s="474"/>
      <c r="DN43" s="474"/>
      <c r="DO43" s="474"/>
      <c r="DP43" s="487"/>
      <c r="DQ43" s="487"/>
      <c r="DR43" s="487"/>
      <c r="DS43" s="487"/>
      <c r="DT43" s="487"/>
      <c r="DU43" s="302"/>
      <c r="DV43" s="302"/>
      <c r="DW43" s="302"/>
      <c r="DX43" s="302"/>
      <c r="DY43" s="302"/>
      <c r="DZ43" s="302"/>
      <c r="EA43" s="302"/>
      <c r="EB43" s="302"/>
      <c r="EC43" s="302"/>
      <c r="ED43" s="302"/>
      <c r="EE43" s="302"/>
      <c r="EF43" s="302"/>
      <c r="EG43" s="302"/>
      <c r="EH43" s="301"/>
      <c r="EI43" s="301"/>
      <c r="EJ43" s="301"/>
      <c r="EK43" s="301"/>
      <c r="EL43" s="301"/>
      <c r="EM43" s="301"/>
      <c r="EN43" s="301"/>
      <c r="EO43" s="301"/>
      <c r="EP43" s="488"/>
      <c r="EQ43" s="305"/>
    </row>
    <row r="44" spans="1:147" s="306" customFormat="1" ht="15" hidden="1" customHeight="1">
      <c r="A44" s="291"/>
      <c r="B44" s="292" t="s">
        <v>348</v>
      </c>
      <c r="C44" s="292" t="s">
        <v>1348</v>
      </c>
      <c r="D44" s="292" t="s">
        <v>1348</v>
      </c>
      <c r="E44" s="292" t="s">
        <v>1393</v>
      </c>
      <c r="F44" s="292" t="s">
        <v>186</v>
      </c>
      <c r="G44" s="292" t="s">
        <v>1360</v>
      </c>
      <c r="H44" s="292" t="s">
        <v>1391</v>
      </c>
      <c r="I44" s="292" t="s">
        <v>1392</v>
      </c>
      <c r="J44" s="292" t="s">
        <v>1363</v>
      </c>
      <c r="K44" s="292"/>
      <c r="L44" s="292" t="str">
        <f t="shared" si="3"/>
        <v>Snowflake-Snowflake</v>
      </c>
      <c r="M44" s="292" t="str">
        <f t="shared" si="4"/>
        <v>Technology-Senior Manager-US-Consulting</v>
      </c>
      <c r="N44" s="292" t="str">
        <f t="shared" si="5"/>
        <v>Snowflake - Technology</v>
      </c>
      <c r="O44" s="485">
        <f t="shared" si="6"/>
        <v>0</v>
      </c>
      <c r="P44" s="474">
        <f t="shared" si="7"/>
        <v>0</v>
      </c>
      <c r="Q44" s="474"/>
      <c r="R44" s="474"/>
      <c r="S44" s="474"/>
      <c r="T44" s="292" t="s">
        <v>261</v>
      </c>
      <c r="U44" s="292" t="s">
        <v>259</v>
      </c>
      <c r="V44" s="292" t="s">
        <v>361</v>
      </c>
      <c r="W44" s="486">
        <f>IFERROR(VLOOKUP(M44,'Rate Card'!$A:$G,6,FALSE()),"combination not found")</f>
        <v>342</v>
      </c>
      <c r="X44" s="474"/>
      <c r="Y44" s="474"/>
      <c r="Z44" s="474"/>
      <c r="AA44" s="474"/>
      <c r="AB44" s="474"/>
      <c r="AC44" s="474"/>
      <c r="AD44" s="474"/>
      <c r="AE44" s="474"/>
      <c r="AF44" s="474"/>
      <c r="AG44" s="474"/>
      <c r="AH44" s="474"/>
      <c r="AI44" s="474"/>
      <c r="AJ44" s="474"/>
      <c r="AK44" s="474"/>
      <c r="AL44" s="474"/>
      <c r="AM44" s="474"/>
      <c r="AN44" s="474"/>
      <c r="AO44" s="474"/>
      <c r="AP44" s="474"/>
      <c r="AQ44" s="474"/>
      <c r="AR44" s="474"/>
      <c r="AS44" s="474"/>
      <c r="AT44" s="474"/>
      <c r="AU44" s="474"/>
      <c r="AV44" s="474"/>
      <c r="AW44" s="474"/>
      <c r="AX44" s="474"/>
      <c r="AY44" s="474"/>
      <c r="AZ44" s="474"/>
      <c r="BA44" s="474"/>
      <c r="BB44" s="474"/>
      <c r="BC44" s="474"/>
      <c r="BD44" s="474"/>
      <c r="BE44" s="474"/>
      <c r="BF44" s="474"/>
      <c r="BG44" s="474"/>
      <c r="BH44" s="474"/>
      <c r="BI44" s="474"/>
      <c r="BJ44" s="474"/>
      <c r="BK44" s="474"/>
      <c r="BL44" s="474"/>
      <c r="BM44" s="474"/>
      <c r="BN44" s="474"/>
      <c r="BO44" s="490">
        <v>0</v>
      </c>
      <c r="BP44" s="490">
        <v>0</v>
      </c>
      <c r="BQ44" s="490">
        <v>0</v>
      </c>
      <c r="BR44" s="490">
        <v>0</v>
      </c>
      <c r="BS44" s="490">
        <v>0</v>
      </c>
      <c r="BT44" s="490">
        <v>0</v>
      </c>
      <c r="BU44" s="490">
        <v>0</v>
      </c>
      <c r="BV44" s="490">
        <v>0</v>
      </c>
      <c r="BW44" s="490">
        <v>0</v>
      </c>
      <c r="BX44" s="490">
        <v>0</v>
      </c>
      <c r="BY44" s="490">
        <v>0</v>
      </c>
      <c r="BZ44" s="490">
        <v>0</v>
      </c>
      <c r="CA44" s="490">
        <v>0</v>
      </c>
      <c r="CB44" s="490">
        <v>0</v>
      </c>
      <c r="CC44" s="490">
        <v>0</v>
      </c>
      <c r="CD44" s="490">
        <v>0</v>
      </c>
      <c r="CE44" s="490">
        <v>0</v>
      </c>
      <c r="CF44" s="490">
        <v>0</v>
      </c>
      <c r="CG44" s="490">
        <v>0</v>
      </c>
      <c r="CH44" s="490">
        <v>0</v>
      </c>
      <c r="CI44" s="490">
        <v>0</v>
      </c>
      <c r="CJ44" s="490">
        <v>0</v>
      </c>
      <c r="CK44" s="490">
        <v>0</v>
      </c>
      <c r="CL44" s="490">
        <v>0</v>
      </c>
      <c r="CM44" s="490">
        <v>0</v>
      </c>
      <c r="CN44" s="490">
        <v>0</v>
      </c>
      <c r="CO44" s="490">
        <v>0</v>
      </c>
      <c r="CP44" s="490">
        <v>0</v>
      </c>
      <c r="CQ44" s="474">
        <v>0</v>
      </c>
      <c r="CR44" s="474"/>
      <c r="CS44" s="474"/>
      <c r="CT44" s="474"/>
      <c r="CU44" s="474"/>
      <c r="CV44" s="474"/>
      <c r="CW44" s="474"/>
      <c r="CX44" s="474"/>
      <c r="CY44" s="474"/>
      <c r="CZ44" s="474"/>
      <c r="DA44" s="474"/>
      <c r="DB44" s="474"/>
      <c r="DC44" s="292"/>
      <c r="DD44" s="292"/>
      <c r="DE44" s="292"/>
      <c r="DF44" s="292"/>
      <c r="DG44" s="474"/>
      <c r="DH44" s="474"/>
      <c r="DI44" s="474"/>
      <c r="DJ44" s="474"/>
      <c r="DK44" s="474"/>
      <c r="DL44" s="474"/>
      <c r="DM44" s="474"/>
      <c r="DN44" s="474"/>
      <c r="DO44" s="474"/>
      <c r="DP44" s="487"/>
      <c r="DQ44" s="487"/>
      <c r="DR44" s="487"/>
      <c r="DS44" s="487"/>
      <c r="DT44" s="487"/>
      <c r="DU44" s="302"/>
      <c r="DV44" s="302"/>
      <c r="DW44" s="302"/>
      <c r="DX44" s="302"/>
      <c r="DY44" s="302"/>
      <c r="DZ44" s="302"/>
      <c r="EA44" s="302"/>
      <c r="EB44" s="302"/>
      <c r="EC44" s="302"/>
      <c r="ED44" s="302"/>
      <c r="EE44" s="302"/>
      <c r="EF44" s="302"/>
      <c r="EG44" s="302"/>
      <c r="EH44" s="301"/>
      <c r="EI44" s="301"/>
      <c r="EJ44" s="301"/>
      <c r="EK44" s="301"/>
      <c r="EL44" s="301"/>
      <c r="EM44" s="301"/>
      <c r="EN44" s="301"/>
      <c r="EO44" s="301"/>
      <c r="EP44" s="488"/>
      <c r="EQ44" s="305"/>
    </row>
    <row r="45" spans="1:147" s="306" customFormat="1" ht="15" hidden="1" customHeight="1">
      <c r="A45" s="291"/>
      <c r="B45" s="292" t="s">
        <v>348</v>
      </c>
      <c r="C45" s="292" t="s">
        <v>1348</v>
      </c>
      <c r="D45" s="292" t="s">
        <v>1348</v>
      </c>
      <c r="E45" s="292" t="s">
        <v>1394</v>
      </c>
      <c r="F45" s="292" t="s">
        <v>186</v>
      </c>
      <c r="G45" s="292" t="s">
        <v>1360</v>
      </c>
      <c r="H45" s="292" t="s">
        <v>1391</v>
      </c>
      <c r="I45" s="292" t="s">
        <v>1392</v>
      </c>
      <c r="J45" s="292" t="s">
        <v>376</v>
      </c>
      <c r="K45" s="292"/>
      <c r="L45" s="292" t="str">
        <f t="shared" si="3"/>
        <v>Snowflake-Snowflake</v>
      </c>
      <c r="M45" s="292" t="str">
        <f t="shared" si="4"/>
        <v>Technology-Manager-US-Consulting</v>
      </c>
      <c r="N45" s="292" t="str">
        <f t="shared" si="5"/>
        <v>Snowflake - Technology</v>
      </c>
      <c r="O45" s="485">
        <f t="shared" si="6"/>
        <v>96390</v>
      </c>
      <c r="P45" s="474">
        <f t="shared" si="7"/>
        <v>315</v>
      </c>
      <c r="Q45" s="474"/>
      <c r="R45" s="474"/>
      <c r="S45" s="474"/>
      <c r="T45" s="292" t="s">
        <v>261</v>
      </c>
      <c r="U45" s="292" t="s">
        <v>259</v>
      </c>
      <c r="V45" s="292" t="s">
        <v>376</v>
      </c>
      <c r="W45" s="486">
        <f>IFERROR(VLOOKUP(M45,'Rate Card'!$A:$G,6,FALSE()),"combination not found")</f>
        <v>306</v>
      </c>
      <c r="X45" s="474"/>
      <c r="Y45" s="474"/>
      <c r="Z45" s="474"/>
      <c r="AA45" s="474"/>
      <c r="AB45" s="474"/>
      <c r="AC45" s="474"/>
      <c r="AD45" s="474"/>
      <c r="AE45" s="474"/>
      <c r="AF45" s="474"/>
      <c r="AG45" s="474"/>
      <c r="AH45" s="474"/>
      <c r="AI45" s="474"/>
      <c r="AJ45" s="474"/>
      <c r="AK45" s="474"/>
      <c r="AL45" s="474"/>
      <c r="AM45" s="474"/>
      <c r="AN45" s="474"/>
      <c r="AO45" s="474"/>
      <c r="AP45" s="474"/>
      <c r="AQ45" s="474"/>
      <c r="AR45" s="474"/>
      <c r="AS45" s="474"/>
      <c r="AT45" s="474"/>
      <c r="AU45" s="474"/>
      <c r="AV45" s="474"/>
      <c r="AW45" s="474"/>
      <c r="AX45" s="474"/>
      <c r="AY45" s="474"/>
      <c r="AZ45" s="474"/>
      <c r="BA45" s="474"/>
      <c r="BB45" s="474"/>
      <c r="BC45" s="474"/>
      <c r="BD45" s="474"/>
      <c r="BE45" s="474"/>
      <c r="BF45" s="474"/>
      <c r="BG45" s="474"/>
      <c r="BH45" s="474"/>
      <c r="BI45" s="474"/>
      <c r="BJ45" s="474"/>
      <c r="BK45" s="474"/>
      <c r="BL45" s="474"/>
      <c r="BM45" s="474"/>
      <c r="BN45" s="474"/>
      <c r="BO45" s="474">
        <v>45</v>
      </c>
      <c r="BP45" s="474">
        <v>45</v>
      </c>
      <c r="BQ45" s="474">
        <v>45</v>
      </c>
      <c r="BR45" s="474">
        <v>45</v>
      </c>
      <c r="BS45" s="474">
        <v>45</v>
      </c>
      <c r="BT45" s="474">
        <v>45</v>
      </c>
      <c r="BU45" s="474">
        <v>45</v>
      </c>
      <c r="BV45" s="490">
        <v>0</v>
      </c>
      <c r="BW45" s="490">
        <v>0</v>
      </c>
      <c r="BX45" s="490">
        <v>0</v>
      </c>
      <c r="BY45" s="490">
        <v>0</v>
      </c>
      <c r="BZ45" s="490">
        <v>0</v>
      </c>
      <c r="CA45" s="490">
        <v>0</v>
      </c>
      <c r="CB45" s="490">
        <v>0</v>
      </c>
      <c r="CC45" s="490">
        <v>0</v>
      </c>
      <c r="CD45" s="490">
        <v>0</v>
      </c>
      <c r="CE45" s="490">
        <v>0</v>
      </c>
      <c r="CF45" s="490">
        <v>0</v>
      </c>
      <c r="CG45" s="490">
        <v>0</v>
      </c>
      <c r="CH45" s="490">
        <v>0</v>
      </c>
      <c r="CI45" s="490">
        <v>0</v>
      </c>
      <c r="CJ45" s="490">
        <v>0</v>
      </c>
      <c r="CK45" s="490">
        <v>0</v>
      </c>
      <c r="CL45" s="490">
        <v>0</v>
      </c>
      <c r="CM45" s="490">
        <v>0</v>
      </c>
      <c r="CN45" s="490">
        <v>0</v>
      </c>
      <c r="CO45" s="490">
        <v>0</v>
      </c>
      <c r="CP45" s="490">
        <v>0</v>
      </c>
      <c r="CQ45" s="474"/>
      <c r="CR45" s="474"/>
      <c r="CS45" s="474"/>
      <c r="CT45" s="474"/>
      <c r="CU45" s="474"/>
      <c r="CV45" s="474"/>
      <c r="CW45" s="474"/>
      <c r="CX45" s="474"/>
      <c r="CY45" s="474"/>
      <c r="CZ45" s="474"/>
      <c r="DA45" s="474"/>
      <c r="DB45" s="474"/>
      <c r="DC45" s="292"/>
      <c r="DD45" s="292"/>
      <c r="DE45" s="292"/>
      <c r="DF45" s="292"/>
      <c r="DG45" s="474"/>
      <c r="DH45" s="474"/>
      <c r="DI45" s="474"/>
      <c r="DJ45" s="474"/>
      <c r="DK45" s="474"/>
      <c r="DL45" s="474"/>
      <c r="DM45" s="474"/>
      <c r="DN45" s="474"/>
      <c r="DO45" s="474"/>
      <c r="DP45" s="487"/>
      <c r="DQ45" s="487"/>
      <c r="DR45" s="487"/>
      <c r="DS45" s="487"/>
      <c r="DT45" s="487"/>
      <c r="DU45" s="302"/>
      <c r="DV45" s="302"/>
      <c r="DW45" s="302"/>
      <c r="DX45" s="302"/>
      <c r="DY45" s="302"/>
      <c r="DZ45" s="302"/>
      <c r="EA45" s="302"/>
      <c r="EB45" s="302"/>
      <c r="EC45" s="302"/>
      <c r="ED45" s="302"/>
      <c r="EE45" s="302"/>
      <c r="EF45" s="302"/>
      <c r="EG45" s="302"/>
      <c r="EH45" s="301"/>
      <c r="EI45" s="301"/>
      <c r="EJ45" s="301"/>
      <c r="EK45" s="301"/>
      <c r="EL45" s="301"/>
      <c r="EM45" s="301"/>
      <c r="EN45" s="301"/>
      <c r="EO45" s="301"/>
      <c r="EP45" s="488"/>
      <c r="EQ45" s="305"/>
    </row>
    <row r="46" spans="1:147" s="306" customFormat="1" ht="15" hidden="1" customHeight="1">
      <c r="A46" s="291"/>
      <c r="B46" s="292" t="s">
        <v>348</v>
      </c>
      <c r="C46" s="292" t="s">
        <v>1348</v>
      </c>
      <c r="D46" s="292" t="s">
        <v>1348</v>
      </c>
      <c r="E46" s="292" t="s">
        <v>1395</v>
      </c>
      <c r="F46" s="292" t="s">
        <v>186</v>
      </c>
      <c r="G46" s="292" t="s">
        <v>1360</v>
      </c>
      <c r="H46" s="292" t="s">
        <v>1391</v>
      </c>
      <c r="I46" s="292" t="s">
        <v>1392</v>
      </c>
      <c r="J46" s="292" t="s">
        <v>384</v>
      </c>
      <c r="K46" s="292"/>
      <c r="L46" s="292" t="str">
        <f t="shared" si="3"/>
        <v>Snowflake-Snowflake</v>
      </c>
      <c r="M46" s="292" t="str">
        <f t="shared" si="4"/>
        <v>Developer/Coder-Junior-US-Technology</v>
      </c>
      <c r="N46" s="292" t="str">
        <f t="shared" si="5"/>
        <v>Snowflake - Developer/Coder</v>
      </c>
      <c r="O46" s="485">
        <f t="shared" si="6"/>
        <v>0</v>
      </c>
      <c r="P46" s="474">
        <f t="shared" si="7"/>
        <v>0</v>
      </c>
      <c r="Q46" s="474"/>
      <c r="R46" s="474"/>
      <c r="S46" s="474"/>
      <c r="T46" s="292" t="s">
        <v>259</v>
      </c>
      <c r="U46" s="292" t="s">
        <v>690</v>
      </c>
      <c r="V46" s="435" t="s">
        <v>240</v>
      </c>
      <c r="W46" s="486">
        <f>IFERROR(VLOOKUP(M46,'Rate Card'!$A:$G,6,FALSE()),"combination not found")</f>
        <v>108</v>
      </c>
      <c r="X46" s="474"/>
      <c r="Y46" s="474"/>
      <c r="Z46" s="474"/>
      <c r="AA46" s="474"/>
      <c r="AB46" s="474"/>
      <c r="AC46" s="474"/>
      <c r="AD46" s="474"/>
      <c r="AE46" s="474"/>
      <c r="AF46" s="474"/>
      <c r="AG46" s="474"/>
      <c r="AH46" s="474"/>
      <c r="AI46" s="474"/>
      <c r="AJ46" s="474"/>
      <c r="AK46" s="474"/>
      <c r="AL46" s="474"/>
      <c r="AM46" s="474"/>
      <c r="AN46" s="474"/>
      <c r="AO46" s="474"/>
      <c r="AP46" s="474"/>
      <c r="AQ46" s="474"/>
      <c r="AR46" s="474"/>
      <c r="AS46" s="474"/>
      <c r="AT46" s="474"/>
      <c r="AU46" s="474"/>
      <c r="AV46" s="474"/>
      <c r="AW46" s="474"/>
      <c r="AX46" s="474"/>
      <c r="AY46" s="474"/>
      <c r="AZ46" s="474"/>
      <c r="BA46" s="474"/>
      <c r="BB46" s="474"/>
      <c r="BC46" s="474"/>
      <c r="BD46" s="474"/>
      <c r="BE46" s="474"/>
      <c r="BF46" s="474"/>
      <c r="BG46" s="474"/>
      <c r="BH46" s="474"/>
      <c r="BI46" s="474"/>
      <c r="BJ46" s="474"/>
      <c r="BK46" s="474"/>
      <c r="BL46" s="474"/>
      <c r="BM46" s="474"/>
      <c r="BN46" s="474"/>
      <c r="BO46" s="490">
        <v>0</v>
      </c>
      <c r="BP46" s="490">
        <v>0</v>
      </c>
      <c r="BQ46" s="490">
        <v>0</v>
      </c>
      <c r="BR46" s="490">
        <v>0</v>
      </c>
      <c r="BS46" s="490">
        <v>0</v>
      </c>
      <c r="BT46" s="490">
        <v>0</v>
      </c>
      <c r="BU46" s="490">
        <v>0</v>
      </c>
      <c r="BV46" s="490">
        <v>0</v>
      </c>
      <c r="BW46" s="490">
        <v>0</v>
      </c>
      <c r="BX46" s="490">
        <v>0</v>
      </c>
      <c r="BY46" s="490">
        <v>0</v>
      </c>
      <c r="BZ46" s="490">
        <v>0</v>
      </c>
      <c r="CA46" s="490">
        <v>0</v>
      </c>
      <c r="CB46" s="490">
        <v>0</v>
      </c>
      <c r="CC46" s="490">
        <v>0</v>
      </c>
      <c r="CD46" s="490">
        <v>0</v>
      </c>
      <c r="CE46" s="490">
        <v>0</v>
      </c>
      <c r="CF46" s="490">
        <v>0</v>
      </c>
      <c r="CG46" s="490">
        <v>0</v>
      </c>
      <c r="CH46" s="490">
        <v>0</v>
      </c>
      <c r="CI46" s="490">
        <v>0</v>
      </c>
      <c r="CJ46" s="490">
        <v>0</v>
      </c>
      <c r="CK46" s="490">
        <v>0</v>
      </c>
      <c r="CL46" s="490">
        <v>0</v>
      </c>
      <c r="CM46" s="490">
        <v>0</v>
      </c>
      <c r="CN46" s="490">
        <v>0</v>
      </c>
      <c r="CO46" s="490">
        <v>0</v>
      </c>
      <c r="CP46" s="490">
        <v>0</v>
      </c>
      <c r="CQ46" s="474"/>
      <c r="CR46" s="474"/>
      <c r="CS46" s="474"/>
      <c r="CT46" s="474"/>
      <c r="CU46" s="474"/>
      <c r="CV46" s="474"/>
      <c r="CW46" s="474"/>
      <c r="CX46" s="474"/>
      <c r="CY46" s="474"/>
      <c r="CZ46" s="474"/>
      <c r="DA46" s="474"/>
      <c r="DB46" s="474"/>
      <c r="DC46" s="292"/>
      <c r="DD46" s="292"/>
      <c r="DE46" s="292"/>
      <c r="DF46" s="292"/>
      <c r="DG46" s="474"/>
      <c r="DH46" s="474"/>
      <c r="DI46" s="474"/>
      <c r="DJ46" s="474"/>
      <c r="DK46" s="474"/>
      <c r="DL46" s="474"/>
      <c r="DM46" s="474"/>
      <c r="DN46" s="474"/>
      <c r="DO46" s="474"/>
      <c r="DP46" s="487"/>
      <c r="DQ46" s="487"/>
      <c r="DR46" s="487"/>
      <c r="DS46" s="487"/>
      <c r="DT46" s="487"/>
      <c r="DU46" s="302"/>
      <c r="DV46" s="302"/>
      <c r="DW46" s="302"/>
      <c r="DX46" s="302"/>
      <c r="DY46" s="302"/>
      <c r="DZ46" s="302"/>
      <c r="EA46" s="302"/>
      <c r="EB46" s="302"/>
      <c r="EC46" s="302"/>
      <c r="ED46" s="302"/>
      <c r="EE46" s="302"/>
      <c r="EF46" s="302"/>
      <c r="EG46" s="302"/>
      <c r="EH46" s="301"/>
      <c r="EI46" s="301"/>
      <c r="EJ46" s="301"/>
      <c r="EK46" s="301"/>
      <c r="EL46" s="301"/>
      <c r="EM46" s="301"/>
      <c r="EN46" s="301"/>
      <c r="EO46" s="301"/>
      <c r="EP46" s="488"/>
      <c r="EQ46" s="305"/>
    </row>
    <row r="47" spans="1:147" s="306" customFormat="1" ht="15" hidden="1" customHeight="1">
      <c r="A47" s="291"/>
      <c r="B47" s="292" t="s">
        <v>348</v>
      </c>
      <c r="C47" s="292" t="s">
        <v>1348</v>
      </c>
      <c r="D47" s="292" t="s">
        <v>1348</v>
      </c>
      <c r="E47" s="292" t="s">
        <v>365</v>
      </c>
      <c r="F47" s="292" t="s">
        <v>184</v>
      </c>
      <c r="G47" s="292" t="s">
        <v>1364</v>
      </c>
      <c r="H47" s="292" t="s">
        <v>1391</v>
      </c>
      <c r="I47" s="292" t="s">
        <v>1392</v>
      </c>
      <c r="J47" s="292" t="s">
        <v>376</v>
      </c>
      <c r="K47" s="292"/>
      <c r="L47" s="292" t="str">
        <f t="shared" si="3"/>
        <v>Snowflake-Snowflake</v>
      </c>
      <c r="M47" s="292" t="str">
        <f t="shared" si="4"/>
        <v>Developer/Coder-Lead-India-Technology</v>
      </c>
      <c r="N47" s="292" t="str">
        <f t="shared" si="5"/>
        <v>Snowflake - Developer/Coder</v>
      </c>
      <c r="O47" s="485">
        <f t="shared" si="6"/>
        <v>9828</v>
      </c>
      <c r="P47" s="474">
        <f t="shared" si="7"/>
        <v>234</v>
      </c>
      <c r="Q47" s="474"/>
      <c r="R47" s="474"/>
      <c r="S47" s="474"/>
      <c r="T47" s="292" t="s">
        <v>259</v>
      </c>
      <c r="U47" s="292" t="s">
        <v>690</v>
      </c>
      <c r="V47" s="292" t="s">
        <v>241</v>
      </c>
      <c r="W47" s="486">
        <f>IFERROR(VLOOKUP(M47,'Rate Card'!$A:$G,6,FALSE()),"combination not found")</f>
        <v>42</v>
      </c>
      <c r="X47" s="474"/>
      <c r="Y47" s="474"/>
      <c r="Z47" s="474"/>
      <c r="AA47" s="474"/>
      <c r="AB47" s="474"/>
      <c r="AC47" s="474"/>
      <c r="AD47" s="474"/>
      <c r="AE47" s="474"/>
      <c r="AF47" s="474"/>
      <c r="AG47" s="474"/>
      <c r="AH47" s="474"/>
      <c r="AI47" s="474"/>
      <c r="AJ47" s="474"/>
      <c r="AK47" s="474"/>
      <c r="AL47" s="474"/>
      <c r="AM47" s="474"/>
      <c r="AN47" s="474"/>
      <c r="AO47" s="474"/>
      <c r="AP47" s="474"/>
      <c r="AQ47" s="474"/>
      <c r="AR47" s="474"/>
      <c r="AS47" s="474"/>
      <c r="AT47" s="474"/>
      <c r="AU47" s="474"/>
      <c r="AV47" s="474"/>
      <c r="AW47" s="474"/>
      <c r="AX47" s="474"/>
      <c r="AY47" s="474"/>
      <c r="AZ47" s="474"/>
      <c r="BA47" s="474"/>
      <c r="BB47" s="474"/>
      <c r="BC47" s="474"/>
      <c r="BD47" s="474"/>
      <c r="BE47" s="474"/>
      <c r="BF47" s="474"/>
      <c r="BG47" s="474"/>
      <c r="BH47" s="474"/>
      <c r="BI47" s="474"/>
      <c r="BJ47" s="474"/>
      <c r="BK47" s="474"/>
      <c r="BL47" s="474"/>
      <c r="BM47" s="474"/>
      <c r="BN47" s="474"/>
      <c r="BO47" s="474"/>
      <c r="BP47" s="474">
        <v>9</v>
      </c>
      <c r="BQ47" s="474">
        <v>9</v>
      </c>
      <c r="BR47" s="474">
        <v>9</v>
      </c>
      <c r="BS47" s="474">
        <v>9</v>
      </c>
      <c r="BT47" s="474">
        <v>9</v>
      </c>
      <c r="BU47" s="474">
        <v>9</v>
      </c>
      <c r="BV47" s="474">
        <v>9</v>
      </c>
      <c r="BW47" s="474">
        <v>9</v>
      </c>
      <c r="BX47" s="474">
        <v>9</v>
      </c>
      <c r="BY47" s="474">
        <v>9</v>
      </c>
      <c r="BZ47" s="474">
        <v>9</v>
      </c>
      <c r="CA47" s="474">
        <v>9</v>
      </c>
      <c r="CB47" s="474">
        <v>9</v>
      </c>
      <c r="CC47" s="474">
        <v>9</v>
      </c>
      <c r="CD47" s="474">
        <v>9</v>
      </c>
      <c r="CE47" s="474">
        <v>9</v>
      </c>
      <c r="CF47" s="474">
        <v>9</v>
      </c>
      <c r="CG47" s="474">
        <v>9</v>
      </c>
      <c r="CH47" s="474">
        <v>9</v>
      </c>
      <c r="CI47" s="474">
        <v>9</v>
      </c>
      <c r="CJ47" s="474">
        <v>9</v>
      </c>
      <c r="CK47" s="474">
        <v>9</v>
      </c>
      <c r="CL47" s="474">
        <v>9</v>
      </c>
      <c r="CM47" s="474">
        <v>9</v>
      </c>
      <c r="CN47" s="474">
        <v>9</v>
      </c>
      <c r="CO47" s="474">
        <v>9</v>
      </c>
      <c r="CP47" s="474"/>
      <c r="CQ47" s="474"/>
      <c r="CR47" s="474"/>
      <c r="CS47" s="474"/>
      <c r="CT47" s="474"/>
      <c r="CU47" s="474"/>
      <c r="CV47" s="474"/>
      <c r="CW47" s="474"/>
      <c r="CX47" s="474"/>
      <c r="CY47" s="474"/>
      <c r="CZ47" s="474"/>
      <c r="DA47" s="474"/>
      <c r="DB47" s="474"/>
      <c r="DC47" s="292"/>
      <c r="DD47" s="292"/>
      <c r="DE47" s="292"/>
      <c r="DF47" s="292"/>
      <c r="DG47" s="474"/>
      <c r="DH47" s="474"/>
      <c r="DI47" s="474"/>
      <c r="DJ47" s="474"/>
      <c r="DK47" s="474"/>
      <c r="DL47" s="474"/>
      <c r="DM47" s="474"/>
      <c r="DN47" s="474"/>
      <c r="DO47" s="474"/>
      <c r="DP47" s="487"/>
      <c r="DQ47" s="487"/>
      <c r="DR47" s="487"/>
      <c r="DS47" s="487"/>
      <c r="DT47" s="487"/>
      <c r="DU47" s="302"/>
      <c r="DV47" s="302"/>
      <c r="DW47" s="302"/>
      <c r="DX47" s="302"/>
      <c r="DY47" s="302"/>
      <c r="DZ47" s="302"/>
      <c r="EA47" s="302"/>
      <c r="EB47" s="302"/>
      <c r="EC47" s="302"/>
      <c r="ED47" s="302"/>
      <c r="EE47" s="302"/>
      <c r="EF47" s="302"/>
      <c r="EG47" s="302"/>
      <c r="EH47" s="301"/>
      <c r="EI47" s="301"/>
      <c r="EJ47" s="301"/>
      <c r="EK47" s="301"/>
      <c r="EL47" s="301"/>
      <c r="EM47" s="301"/>
      <c r="EN47" s="301"/>
      <c r="EO47" s="301"/>
      <c r="EP47" s="488"/>
      <c r="EQ47" s="305"/>
    </row>
    <row r="48" spans="1:147" s="306" customFormat="1" ht="15" hidden="1" customHeight="1">
      <c r="A48" s="291"/>
      <c r="B48" s="292" t="s">
        <v>348</v>
      </c>
      <c r="C48" s="292" t="s">
        <v>1348</v>
      </c>
      <c r="D48" s="292" t="s">
        <v>1348</v>
      </c>
      <c r="E48" s="292" t="s">
        <v>1395</v>
      </c>
      <c r="F48" s="292" t="s">
        <v>184</v>
      </c>
      <c r="G48" s="292" t="s">
        <v>1364</v>
      </c>
      <c r="H48" s="292" t="s">
        <v>1391</v>
      </c>
      <c r="I48" s="292" t="s">
        <v>1392</v>
      </c>
      <c r="J48" s="292" t="s">
        <v>1374</v>
      </c>
      <c r="K48" s="292"/>
      <c r="L48" s="292" t="str">
        <f t="shared" si="3"/>
        <v>Snowflake-Snowflake</v>
      </c>
      <c r="M48" s="292" t="str">
        <f t="shared" si="4"/>
        <v>Developer/Coder-Senior-India-Technology</v>
      </c>
      <c r="N48" s="292" t="str">
        <f t="shared" si="5"/>
        <v>Snowflake - Developer/Coder</v>
      </c>
      <c r="O48" s="485">
        <f t="shared" si="6"/>
        <v>46620</v>
      </c>
      <c r="P48" s="474">
        <f t="shared" si="7"/>
        <v>1260</v>
      </c>
      <c r="Q48" s="474"/>
      <c r="R48" s="474"/>
      <c r="S48" s="474"/>
      <c r="T48" s="292" t="s">
        <v>259</v>
      </c>
      <c r="U48" s="292" t="s">
        <v>690</v>
      </c>
      <c r="V48" s="292" t="s">
        <v>243</v>
      </c>
      <c r="W48" s="486">
        <f>IFERROR(VLOOKUP(M48,'Rate Card'!$A:$G,6,FALSE()),"combination not found")</f>
        <v>37</v>
      </c>
      <c r="X48" s="474"/>
      <c r="Y48" s="474"/>
      <c r="Z48" s="474"/>
      <c r="AA48" s="474"/>
      <c r="AB48" s="474"/>
      <c r="AC48" s="474"/>
      <c r="AD48" s="474"/>
      <c r="AE48" s="474"/>
      <c r="AF48" s="474"/>
      <c r="AG48" s="474"/>
      <c r="AH48" s="474"/>
      <c r="AI48" s="474"/>
      <c r="AJ48" s="474"/>
      <c r="AK48" s="474"/>
      <c r="AL48" s="474"/>
      <c r="AM48" s="474"/>
      <c r="AN48" s="474"/>
      <c r="AO48" s="474"/>
      <c r="AP48" s="474"/>
      <c r="AQ48" s="474"/>
      <c r="AR48" s="474"/>
      <c r="AS48" s="474"/>
      <c r="AT48" s="474"/>
      <c r="AU48" s="474"/>
      <c r="AV48" s="474"/>
      <c r="AW48" s="474"/>
      <c r="AX48" s="474"/>
      <c r="AY48" s="474"/>
      <c r="AZ48" s="474"/>
      <c r="BA48" s="474"/>
      <c r="BB48" s="474"/>
      <c r="BC48" s="474"/>
      <c r="BD48" s="474"/>
      <c r="BE48" s="474"/>
      <c r="BF48" s="474"/>
      <c r="BG48" s="474"/>
      <c r="BH48" s="474"/>
      <c r="BI48" s="474"/>
      <c r="BJ48" s="474"/>
      <c r="BK48" s="474"/>
      <c r="BL48" s="474"/>
      <c r="BM48" s="474"/>
      <c r="BN48" s="474"/>
      <c r="BO48" s="474">
        <v>45</v>
      </c>
      <c r="BP48" s="474">
        <v>45</v>
      </c>
      <c r="BQ48" s="474">
        <v>45</v>
      </c>
      <c r="BR48" s="474">
        <v>45</v>
      </c>
      <c r="BS48" s="474">
        <v>45</v>
      </c>
      <c r="BT48" s="474">
        <v>45</v>
      </c>
      <c r="BU48" s="474">
        <v>45</v>
      </c>
      <c r="BV48" s="474">
        <v>45</v>
      </c>
      <c r="BW48" s="474">
        <v>45</v>
      </c>
      <c r="BX48" s="474">
        <v>45</v>
      </c>
      <c r="BY48" s="474">
        <v>45</v>
      </c>
      <c r="BZ48" s="474">
        <v>45</v>
      </c>
      <c r="CA48" s="474">
        <v>45</v>
      </c>
      <c r="CB48" s="474">
        <v>45</v>
      </c>
      <c r="CC48" s="474">
        <v>45</v>
      </c>
      <c r="CD48" s="474">
        <v>45</v>
      </c>
      <c r="CE48" s="474">
        <v>45</v>
      </c>
      <c r="CF48" s="474">
        <v>45</v>
      </c>
      <c r="CG48" s="474">
        <v>45</v>
      </c>
      <c r="CH48" s="474">
        <v>45</v>
      </c>
      <c r="CI48" s="474">
        <v>45</v>
      </c>
      <c r="CJ48" s="474">
        <v>45</v>
      </c>
      <c r="CK48" s="474">
        <v>45</v>
      </c>
      <c r="CL48" s="474">
        <v>45</v>
      </c>
      <c r="CM48" s="474">
        <v>45</v>
      </c>
      <c r="CN48" s="474">
        <v>45</v>
      </c>
      <c r="CO48" s="474">
        <v>45</v>
      </c>
      <c r="CP48" s="474">
        <v>45</v>
      </c>
      <c r="CQ48" s="474"/>
      <c r="CR48" s="474"/>
      <c r="CS48" s="474"/>
      <c r="CT48" s="474"/>
      <c r="CU48" s="474"/>
      <c r="CV48" s="474"/>
      <c r="CW48" s="474"/>
      <c r="CX48" s="474"/>
      <c r="CY48" s="474"/>
      <c r="CZ48" s="474"/>
      <c r="DA48" s="474"/>
      <c r="DB48" s="474"/>
      <c r="DC48" s="292"/>
      <c r="DD48" s="292"/>
      <c r="DE48" s="292"/>
      <c r="DF48" s="292"/>
      <c r="DG48" s="474"/>
      <c r="DH48" s="474"/>
      <c r="DI48" s="474"/>
      <c r="DJ48" s="474"/>
      <c r="DK48" s="474"/>
      <c r="DL48" s="474"/>
      <c r="DM48" s="474"/>
      <c r="DN48" s="474"/>
      <c r="DO48" s="474"/>
      <c r="DP48" s="487"/>
      <c r="DQ48" s="487"/>
      <c r="DR48" s="487"/>
      <c r="DS48" s="487"/>
      <c r="DT48" s="487"/>
      <c r="DU48" s="302"/>
      <c r="DV48" s="302"/>
      <c r="DW48" s="302"/>
      <c r="DX48" s="302"/>
      <c r="DY48" s="302"/>
      <c r="DZ48" s="302"/>
      <c r="EA48" s="302"/>
      <c r="EB48" s="302"/>
      <c r="EC48" s="302"/>
      <c r="ED48" s="302"/>
      <c r="EE48" s="302"/>
      <c r="EF48" s="302"/>
      <c r="EG48" s="302"/>
      <c r="EH48" s="301"/>
      <c r="EI48" s="301"/>
      <c r="EJ48" s="301"/>
      <c r="EK48" s="301"/>
      <c r="EL48" s="301"/>
      <c r="EM48" s="301"/>
      <c r="EN48" s="301"/>
      <c r="EO48" s="301"/>
      <c r="EP48" s="488"/>
      <c r="EQ48" s="305"/>
    </row>
    <row r="49" spans="1:147" s="306" customFormat="1" ht="15" hidden="1" customHeight="1">
      <c r="A49" s="291"/>
      <c r="B49" s="292" t="s">
        <v>348</v>
      </c>
      <c r="C49" s="292" t="s">
        <v>1348</v>
      </c>
      <c r="D49" s="292" t="s">
        <v>1348</v>
      </c>
      <c r="E49" s="292" t="s">
        <v>1395</v>
      </c>
      <c r="F49" s="292" t="s">
        <v>184</v>
      </c>
      <c r="G49" s="292" t="s">
        <v>1364</v>
      </c>
      <c r="H49" s="292" t="s">
        <v>1391</v>
      </c>
      <c r="I49" s="292" t="s">
        <v>1392</v>
      </c>
      <c r="J49" s="292" t="s">
        <v>368</v>
      </c>
      <c r="K49" s="292"/>
      <c r="L49" s="292" t="str">
        <f t="shared" si="3"/>
        <v>Snowflake-Snowflake</v>
      </c>
      <c r="M49" s="292" t="str">
        <f t="shared" si="4"/>
        <v>Developer/Coder-Intermediate-India-Technology</v>
      </c>
      <c r="N49" s="292" t="str">
        <f t="shared" si="5"/>
        <v>Snowflake - Developer/Coder</v>
      </c>
      <c r="O49" s="485">
        <f t="shared" si="6"/>
        <v>41760</v>
      </c>
      <c r="P49" s="474">
        <f t="shared" si="7"/>
        <v>1305</v>
      </c>
      <c r="Q49" s="474"/>
      <c r="R49" s="474"/>
      <c r="S49" s="474"/>
      <c r="T49" s="292" t="s">
        <v>259</v>
      </c>
      <c r="U49" s="292" t="s">
        <v>690</v>
      </c>
      <c r="V49" s="292" t="s">
        <v>239</v>
      </c>
      <c r="W49" s="486">
        <f>IFERROR(VLOOKUP(M49,'Rate Card'!$A:$G,6,FALSE()),"combination not found")</f>
        <v>32</v>
      </c>
      <c r="X49" s="474"/>
      <c r="Y49" s="474"/>
      <c r="Z49" s="474"/>
      <c r="AA49" s="474"/>
      <c r="AB49" s="474"/>
      <c r="AC49" s="474"/>
      <c r="AD49" s="474"/>
      <c r="AE49" s="474"/>
      <c r="AF49" s="474"/>
      <c r="AG49" s="474"/>
      <c r="AH49" s="474"/>
      <c r="AI49" s="474"/>
      <c r="AJ49" s="474"/>
      <c r="AK49" s="474"/>
      <c r="AL49" s="474"/>
      <c r="AM49" s="474"/>
      <c r="AN49" s="474"/>
      <c r="AO49" s="474"/>
      <c r="AP49" s="474"/>
      <c r="AQ49" s="474"/>
      <c r="AR49" s="474"/>
      <c r="AS49" s="474"/>
      <c r="AT49" s="474"/>
      <c r="AU49" s="474"/>
      <c r="AV49" s="474"/>
      <c r="AW49" s="474"/>
      <c r="AX49" s="474"/>
      <c r="AY49" s="474"/>
      <c r="AZ49" s="474"/>
      <c r="BA49" s="474"/>
      <c r="BB49" s="474"/>
      <c r="BC49" s="474"/>
      <c r="BD49" s="474"/>
      <c r="BE49" s="474"/>
      <c r="BF49" s="474"/>
      <c r="BG49" s="474"/>
      <c r="BH49" s="474"/>
      <c r="BI49" s="474"/>
      <c r="BJ49" s="474"/>
      <c r="BK49" s="474"/>
      <c r="BL49" s="474"/>
      <c r="BM49" s="474"/>
      <c r="BN49" s="474"/>
      <c r="BO49" s="474">
        <v>45</v>
      </c>
      <c r="BP49" s="474">
        <v>45</v>
      </c>
      <c r="BQ49" s="474">
        <v>45</v>
      </c>
      <c r="BR49" s="474">
        <v>45</v>
      </c>
      <c r="BS49" s="474">
        <v>45</v>
      </c>
      <c r="BT49" s="474">
        <v>45</v>
      </c>
      <c r="BU49" s="474">
        <v>45</v>
      </c>
      <c r="BV49" s="474">
        <v>45</v>
      </c>
      <c r="BW49" s="474">
        <v>45</v>
      </c>
      <c r="BX49" s="474">
        <v>45</v>
      </c>
      <c r="BY49" s="474">
        <v>45</v>
      </c>
      <c r="BZ49" s="474">
        <v>45</v>
      </c>
      <c r="CA49" s="474">
        <v>45</v>
      </c>
      <c r="CB49" s="474">
        <v>45</v>
      </c>
      <c r="CC49" s="474">
        <v>45</v>
      </c>
      <c r="CD49" s="474">
        <v>45</v>
      </c>
      <c r="CE49" s="474">
        <v>45</v>
      </c>
      <c r="CF49" s="474">
        <v>45</v>
      </c>
      <c r="CG49" s="474">
        <v>45</v>
      </c>
      <c r="CH49" s="474">
        <v>45</v>
      </c>
      <c r="CI49" s="474">
        <v>45</v>
      </c>
      <c r="CJ49" s="474">
        <v>45</v>
      </c>
      <c r="CK49" s="474">
        <v>45</v>
      </c>
      <c r="CL49" s="474">
        <v>45</v>
      </c>
      <c r="CM49" s="474">
        <v>45</v>
      </c>
      <c r="CN49" s="474">
        <v>45</v>
      </c>
      <c r="CO49" s="474">
        <v>45</v>
      </c>
      <c r="CP49" s="474">
        <v>45</v>
      </c>
      <c r="CQ49" s="474">
        <v>45</v>
      </c>
      <c r="CR49" s="474"/>
      <c r="CS49" s="474"/>
      <c r="CT49" s="474"/>
      <c r="CU49" s="474"/>
      <c r="CV49" s="474"/>
      <c r="CW49" s="474"/>
      <c r="CX49" s="474"/>
      <c r="CY49" s="474"/>
      <c r="CZ49" s="474"/>
      <c r="DA49" s="474"/>
      <c r="DB49" s="474"/>
      <c r="DC49" s="292"/>
      <c r="DD49" s="292"/>
      <c r="DE49" s="292"/>
      <c r="DF49" s="292"/>
      <c r="DG49" s="474"/>
      <c r="DH49" s="474"/>
      <c r="DI49" s="474"/>
      <c r="DJ49" s="474"/>
      <c r="DK49" s="474"/>
      <c r="DL49" s="474"/>
      <c r="DM49" s="474"/>
      <c r="DN49" s="474"/>
      <c r="DO49" s="474"/>
      <c r="DP49" s="487"/>
      <c r="DQ49" s="487"/>
      <c r="DR49" s="487"/>
      <c r="DS49" s="487"/>
      <c r="DT49" s="487"/>
      <c r="DU49" s="302"/>
      <c r="DV49" s="302"/>
      <c r="DW49" s="302"/>
      <c r="DX49" s="302"/>
      <c r="DY49" s="302"/>
      <c r="DZ49" s="302"/>
      <c r="EA49" s="302"/>
      <c r="EB49" s="302"/>
      <c r="EC49" s="302"/>
      <c r="ED49" s="302"/>
      <c r="EE49" s="302"/>
      <c r="EF49" s="302"/>
      <c r="EG49" s="302"/>
      <c r="EH49" s="301"/>
      <c r="EI49" s="301"/>
      <c r="EJ49" s="301"/>
      <c r="EK49" s="301"/>
      <c r="EL49" s="301"/>
      <c r="EM49" s="301"/>
      <c r="EN49" s="301"/>
      <c r="EO49" s="301"/>
      <c r="EP49" s="488"/>
      <c r="EQ49" s="305"/>
    </row>
    <row r="50" spans="1:147" s="306" customFormat="1" ht="15" hidden="1" customHeight="1">
      <c r="A50" s="291"/>
      <c r="B50" s="292" t="s">
        <v>348</v>
      </c>
      <c r="C50" s="292" t="s">
        <v>1348</v>
      </c>
      <c r="D50" s="292" t="s">
        <v>1348</v>
      </c>
      <c r="E50" s="292" t="s">
        <v>634</v>
      </c>
      <c r="F50" s="292" t="s">
        <v>184</v>
      </c>
      <c r="G50" s="292" t="s">
        <v>1364</v>
      </c>
      <c r="H50" s="292" t="s">
        <v>1391</v>
      </c>
      <c r="I50" s="292" t="s">
        <v>1392</v>
      </c>
      <c r="J50" s="292" t="s">
        <v>368</v>
      </c>
      <c r="K50" s="292"/>
      <c r="L50" s="292" t="str">
        <f t="shared" si="3"/>
        <v>Snowflake-Snowflake</v>
      </c>
      <c r="M50" s="292" t="str">
        <f t="shared" si="4"/>
        <v>Developer/Coder-Intermediate-India-Technology</v>
      </c>
      <c r="N50" s="292" t="str">
        <f t="shared" si="5"/>
        <v>Snowflake - Developer/Coder</v>
      </c>
      <c r="O50" s="485">
        <f t="shared" si="6"/>
        <v>0</v>
      </c>
      <c r="P50" s="474">
        <f t="shared" si="7"/>
        <v>0</v>
      </c>
      <c r="Q50" s="474"/>
      <c r="R50" s="474"/>
      <c r="S50" s="474"/>
      <c r="T50" s="292" t="s">
        <v>259</v>
      </c>
      <c r="U50" s="292" t="s">
        <v>690</v>
      </c>
      <c r="V50" s="292" t="s">
        <v>239</v>
      </c>
      <c r="W50" s="486">
        <f>IFERROR(VLOOKUP(M50,'Rate Card'!$A:$G,6,FALSE()),"combination not found")</f>
        <v>32</v>
      </c>
      <c r="X50" s="474"/>
      <c r="Y50" s="474"/>
      <c r="Z50" s="474"/>
      <c r="AA50" s="474"/>
      <c r="AB50" s="474"/>
      <c r="AC50" s="474"/>
      <c r="AD50" s="474"/>
      <c r="AE50" s="474"/>
      <c r="AF50" s="474"/>
      <c r="AG50" s="474"/>
      <c r="AH50" s="474"/>
      <c r="AI50" s="474"/>
      <c r="AJ50" s="474"/>
      <c r="AK50" s="474"/>
      <c r="AL50" s="474"/>
      <c r="AM50" s="474"/>
      <c r="AN50" s="474"/>
      <c r="AO50" s="474"/>
      <c r="AP50" s="474"/>
      <c r="AQ50" s="474"/>
      <c r="AR50" s="474"/>
      <c r="AS50" s="474"/>
      <c r="AT50" s="474"/>
      <c r="AU50" s="474"/>
      <c r="AV50" s="474"/>
      <c r="AW50" s="474"/>
      <c r="AX50" s="474"/>
      <c r="AY50" s="474"/>
      <c r="AZ50" s="474"/>
      <c r="BA50" s="474"/>
      <c r="BB50" s="474"/>
      <c r="BC50" s="474"/>
      <c r="BD50" s="474"/>
      <c r="BE50" s="474"/>
      <c r="BF50" s="474"/>
      <c r="BG50" s="474"/>
      <c r="BH50" s="474"/>
      <c r="BI50" s="474"/>
      <c r="BJ50" s="474"/>
      <c r="BK50" s="474"/>
      <c r="BL50" s="474"/>
      <c r="BM50" s="474"/>
      <c r="BN50" s="474"/>
      <c r="BO50" s="474"/>
      <c r="BP50" s="474"/>
      <c r="BQ50" s="474"/>
      <c r="BR50" s="474"/>
      <c r="BS50" s="474"/>
      <c r="BT50" s="474"/>
      <c r="BU50" s="490">
        <v>0</v>
      </c>
      <c r="BV50" s="490">
        <v>0</v>
      </c>
      <c r="BW50" s="490">
        <v>0</v>
      </c>
      <c r="BX50" s="490">
        <v>0</v>
      </c>
      <c r="BY50" s="490">
        <v>0</v>
      </c>
      <c r="BZ50" s="490">
        <v>0</v>
      </c>
      <c r="CA50" s="490">
        <v>0</v>
      </c>
      <c r="CB50" s="490">
        <v>0</v>
      </c>
      <c r="CC50" s="490">
        <v>0</v>
      </c>
      <c r="CD50" s="490">
        <v>0</v>
      </c>
      <c r="CE50" s="490">
        <v>0</v>
      </c>
      <c r="CF50" s="490">
        <v>0</v>
      </c>
      <c r="CG50" s="490">
        <v>0</v>
      </c>
      <c r="CH50" s="474"/>
      <c r="CI50" s="474"/>
      <c r="CJ50" s="474"/>
      <c r="CK50" s="474"/>
      <c r="CL50" s="474"/>
      <c r="CM50" s="474"/>
      <c r="CN50" s="474"/>
      <c r="CO50" s="474"/>
      <c r="CP50" s="474"/>
      <c r="CQ50" s="474"/>
      <c r="CR50" s="474"/>
      <c r="CS50" s="474"/>
      <c r="CT50" s="474"/>
      <c r="CU50" s="474"/>
      <c r="CV50" s="474"/>
      <c r="CW50" s="474"/>
      <c r="CX50" s="474"/>
      <c r="CY50" s="474"/>
      <c r="CZ50" s="474"/>
      <c r="DA50" s="474"/>
      <c r="DB50" s="474"/>
      <c r="DC50" s="292"/>
      <c r="DD50" s="292"/>
      <c r="DE50" s="292"/>
      <c r="DF50" s="292"/>
      <c r="DG50" s="474"/>
      <c r="DH50" s="474"/>
      <c r="DI50" s="474"/>
      <c r="DJ50" s="474"/>
      <c r="DK50" s="474"/>
      <c r="DL50" s="474"/>
      <c r="DM50" s="474"/>
      <c r="DN50" s="474"/>
      <c r="DO50" s="474"/>
      <c r="DP50" s="487"/>
      <c r="DQ50" s="487"/>
      <c r="DR50" s="487"/>
      <c r="DS50" s="487"/>
      <c r="DT50" s="487"/>
      <c r="DU50" s="302"/>
      <c r="DV50" s="302"/>
      <c r="DW50" s="302"/>
      <c r="DX50" s="302"/>
      <c r="DY50" s="302"/>
      <c r="DZ50" s="302"/>
      <c r="EA50" s="302"/>
      <c r="EB50" s="302"/>
      <c r="EC50" s="302"/>
      <c r="ED50" s="302"/>
      <c r="EE50" s="302"/>
      <c r="EF50" s="302"/>
      <c r="EG50" s="302"/>
      <c r="EH50" s="301"/>
      <c r="EI50" s="301"/>
      <c r="EJ50" s="301"/>
      <c r="EK50" s="301"/>
      <c r="EL50" s="301"/>
      <c r="EM50" s="301"/>
      <c r="EN50" s="301"/>
      <c r="EO50" s="301"/>
      <c r="EP50" s="488"/>
      <c r="EQ50" s="305"/>
    </row>
    <row r="51" spans="1:147" s="306" customFormat="1" ht="15" hidden="1" customHeight="1">
      <c r="A51" s="291"/>
      <c r="B51" s="292" t="s">
        <v>348</v>
      </c>
      <c r="C51" s="292" t="s">
        <v>1348</v>
      </c>
      <c r="D51" s="292" t="s">
        <v>1348</v>
      </c>
      <c r="E51" s="292" t="s">
        <v>1395</v>
      </c>
      <c r="F51" s="292" t="s">
        <v>184</v>
      </c>
      <c r="G51" s="292" t="s">
        <v>1364</v>
      </c>
      <c r="H51" s="292" t="s">
        <v>1391</v>
      </c>
      <c r="I51" s="292" t="s">
        <v>1392</v>
      </c>
      <c r="J51" s="292" t="s">
        <v>384</v>
      </c>
      <c r="K51" s="292"/>
      <c r="L51" s="292" t="str">
        <f t="shared" si="3"/>
        <v>Snowflake-Snowflake</v>
      </c>
      <c r="M51" s="292" t="str">
        <f t="shared" si="4"/>
        <v>Developer/Coder-Junior-India-Technology</v>
      </c>
      <c r="N51" s="292" t="str">
        <f t="shared" si="5"/>
        <v>Snowflake - Developer/Coder</v>
      </c>
      <c r="O51" s="485">
        <f t="shared" si="6"/>
        <v>25875</v>
      </c>
      <c r="P51" s="474">
        <f t="shared" si="7"/>
        <v>1035</v>
      </c>
      <c r="Q51" s="474"/>
      <c r="R51" s="474"/>
      <c r="S51" s="474"/>
      <c r="T51" s="292" t="s">
        <v>259</v>
      </c>
      <c r="U51" s="292" t="s">
        <v>690</v>
      </c>
      <c r="V51" s="435" t="s">
        <v>240</v>
      </c>
      <c r="W51" s="486">
        <f>IFERROR(VLOOKUP(M51,'Rate Card'!$A:$G,6,FALSE()),"combination not found")</f>
        <v>25</v>
      </c>
      <c r="X51" s="474"/>
      <c r="Y51" s="474"/>
      <c r="Z51" s="474"/>
      <c r="AA51" s="474"/>
      <c r="AB51" s="474"/>
      <c r="AC51" s="474"/>
      <c r="AD51" s="474"/>
      <c r="AE51" s="474"/>
      <c r="AF51" s="474"/>
      <c r="AG51" s="474"/>
      <c r="AH51" s="474"/>
      <c r="AI51" s="474"/>
      <c r="AJ51" s="474"/>
      <c r="AK51" s="474"/>
      <c r="AL51" s="474"/>
      <c r="AM51" s="474"/>
      <c r="AN51" s="474"/>
      <c r="AO51" s="474"/>
      <c r="AP51" s="474"/>
      <c r="AQ51" s="474"/>
      <c r="AR51" s="474"/>
      <c r="AS51" s="474"/>
      <c r="AT51" s="474"/>
      <c r="AU51" s="474"/>
      <c r="AV51" s="474"/>
      <c r="AW51" s="474"/>
      <c r="AX51" s="474"/>
      <c r="AY51" s="474"/>
      <c r="AZ51" s="474"/>
      <c r="BA51" s="474"/>
      <c r="BB51" s="474"/>
      <c r="BC51" s="474"/>
      <c r="BD51" s="474"/>
      <c r="BE51" s="474"/>
      <c r="BF51" s="474"/>
      <c r="BG51" s="474"/>
      <c r="BH51" s="474"/>
      <c r="BI51" s="474"/>
      <c r="BJ51" s="474"/>
      <c r="BK51" s="474"/>
      <c r="BL51" s="474"/>
      <c r="BM51" s="474"/>
      <c r="BN51" s="474"/>
      <c r="BO51" s="474"/>
      <c r="BP51" s="474"/>
      <c r="BQ51" s="474"/>
      <c r="BR51" s="474"/>
      <c r="BS51" s="474"/>
      <c r="BT51" s="474"/>
      <c r="BU51" s="474">
        <v>45</v>
      </c>
      <c r="BV51" s="474">
        <v>45</v>
      </c>
      <c r="BW51" s="474">
        <v>45</v>
      </c>
      <c r="BX51" s="474">
        <v>45</v>
      </c>
      <c r="BY51" s="474">
        <v>45</v>
      </c>
      <c r="BZ51" s="474">
        <v>45</v>
      </c>
      <c r="CA51" s="474">
        <v>45</v>
      </c>
      <c r="CB51" s="474">
        <v>45</v>
      </c>
      <c r="CC51" s="474">
        <v>45</v>
      </c>
      <c r="CD51" s="474">
        <v>45</v>
      </c>
      <c r="CE51" s="474">
        <v>45</v>
      </c>
      <c r="CF51" s="474">
        <v>45</v>
      </c>
      <c r="CG51" s="474">
        <v>45</v>
      </c>
      <c r="CH51" s="474">
        <v>45</v>
      </c>
      <c r="CI51" s="474">
        <v>45</v>
      </c>
      <c r="CJ51" s="474">
        <v>45</v>
      </c>
      <c r="CK51" s="474">
        <v>45</v>
      </c>
      <c r="CL51" s="474">
        <v>45</v>
      </c>
      <c r="CM51" s="474">
        <v>45</v>
      </c>
      <c r="CN51" s="474">
        <v>45</v>
      </c>
      <c r="CO51" s="474">
        <v>45</v>
      </c>
      <c r="CP51" s="474">
        <v>45</v>
      </c>
      <c r="CQ51" s="474">
        <v>45</v>
      </c>
      <c r="CR51" s="474"/>
      <c r="CS51" s="474"/>
      <c r="CT51" s="474"/>
      <c r="CU51" s="474"/>
      <c r="CV51" s="474"/>
      <c r="CW51" s="474"/>
      <c r="CX51" s="474"/>
      <c r="CY51" s="474"/>
      <c r="CZ51" s="474"/>
      <c r="DA51" s="474"/>
      <c r="DB51" s="474"/>
      <c r="DC51" s="292"/>
      <c r="DD51" s="292"/>
      <c r="DE51" s="292"/>
      <c r="DF51" s="292"/>
      <c r="DG51" s="474"/>
      <c r="DH51" s="474"/>
      <c r="DI51" s="474"/>
      <c r="DJ51" s="474"/>
      <c r="DK51" s="474"/>
      <c r="DL51" s="474"/>
      <c r="DM51" s="474"/>
      <c r="DN51" s="474"/>
      <c r="DO51" s="474"/>
      <c r="DP51" s="487"/>
      <c r="DQ51" s="487"/>
      <c r="DR51" s="487"/>
      <c r="DS51" s="487"/>
      <c r="DT51" s="487"/>
      <c r="DU51" s="302"/>
      <c r="DV51" s="302"/>
      <c r="DW51" s="302"/>
      <c r="DX51" s="302"/>
      <c r="DY51" s="302"/>
      <c r="DZ51" s="302"/>
      <c r="EA51" s="302"/>
      <c r="EB51" s="302"/>
      <c r="EC51" s="302"/>
      <c r="ED51" s="302"/>
      <c r="EE51" s="302"/>
      <c r="EF51" s="302"/>
      <c r="EG51" s="302"/>
      <c r="EH51" s="301"/>
      <c r="EI51" s="301"/>
      <c r="EJ51" s="301"/>
      <c r="EK51" s="301"/>
      <c r="EL51" s="301"/>
      <c r="EM51" s="301"/>
      <c r="EN51" s="301"/>
      <c r="EO51" s="301"/>
      <c r="EP51" s="488"/>
      <c r="EQ51" s="305"/>
    </row>
    <row r="52" spans="1:147" s="306" customFormat="1" ht="15" hidden="1" customHeight="1">
      <c r="A52" s="291"/>
      <c r="B52" s="292"/>
      <c r="C52" s="292"/>
      <c r="D52" s="292"/>
      <c r="E52" s="292"/>
      <c r="F52" s="292"/>
      <c r="G52" s="292"/>
      <c r="H52" s="292"/>
      <c r="I52" s="292"/>
      <c r="J52" s="292"/>
      <c r="K52" s="292"/>
      <c r="L52" s="292"/>
      <c r="M52" s="292"/>
      <c r="N52" s="292"/>
      <c r="O52" s="485"/>
      <c r="P52" s="474"/>
      <c r="Q52" s="474"/>
      <c r="R52" s="474"/>
      <c r="S52" s="474"/>
      <c r="T52" s="292"/>
      <c r="U52" s="435"/>
      <c r="V52" s="435"/>
      <c r="W52" s="486"/>
      <c r="X52" s="474"/>
      <c r="Y52" s="474"/>
      <c r="Z52" s="474"/>
      <c r="AA52" s="474"/>
      <c r="AB52" s="474"/>
      <c r="AC52" s="474"/>
      <c r="AD52" s="474"/>
      <c r="AE52" s="474"/>
      <c r="AF52" s="474"/>
      <c r="AG52" s="474"/>
      <c r="AH52" s="474"/>
      <c r="AI52" s="474"/>
      <c r="AJ52" s="474"/>
      <c r="AK52" s="474"/>
      <c r="AL52" s="474"/>
      <c r="AM52" s="474"/>
      <c r="AN52" s="474"/>
      <c r="AO52" s="474"/>
      <c r="AP52" s="474"/>
      <c r="AQ52" s="474"/>
      <c r="AR52" s="474"/>
      <c r="AS52" s="474"/>
      <c r="AT52" s="474"/>
      <c r="AU52" s="474"/>
      <c r="AV52" s="474"/>
      <c r="AW52" s="474"/>
      <c r="AX52" s="474"/>
      <c r="AY52" s="474"/>
      <c r="AZ52" s="474"/>
      <c r="BA52" s="474"/>
      <c r="BB52" s="474"/>
      <c r="BC52" s="474"/>
      <c r="BD52" s="474"/>
      <c r="BE52" s="474"/>
      <c r="BF52" s="474"/>
      <c r="BG52" s="474"/>
      <c r="BH52" s="474"/>
      <c r="BI52" s="474"/>
      <c r="BJ52" s="474"/>
      <c r="BK52" s="474"/>
      <c r="BL52" s="474"/>
      <c r="BM52" s="474"/>
      <c r="BN52" s="474"/>
      <c r="BO52" s="474"/>
      <c r="BP52" s="474"/>
      <c r="BQ52" s="474"/>
      <c r="BR52" s="474"/>
      <c r="BS52" s="474"/>
      <c r="BT52" s="474"/>
      <c r="BU52" s="474"/>
      <c r="BV52" s="474"/>
      <c r="BW52" s="474"/>
      <c r="BX52" s="474"/>
      <c r="BY52" s="474"/>
      <c r="BZ52" s="474"/>
      <c r="CA52" s="474"/>
      <c r="CB52" s="474"/>
      <c r="CC52" s="474"/>
      <c r="CD52" s="474"/>
      <c r="CE52" s="474"/>
      <c r="CF52" s="474"/>
      <c r="CG52" s="474"/>
      <c r="CH52" s="474"/>
      <c r="CI52" s="474"/>
      <c r="CJ52" s="474"/>
      <c r="CK52" s="474"/>
      <c r="CL52" s="474"/>
      <c r="CM52" s="474"/>
      <c r="CN52" s="474"/>
      <c r="CO52" s="474"/>
      <c r="CP52" s="474"/>
      <c r="CQ52" s="474"/>
      <c r="CR52" s="474"/>
      <c r="CS52" s="474"/>
      <c r="CT52" s="474"/>
      <c r="CU52" s="474"/>
      <c r="CV52" s="474"/>
      <c r="CW52" s="474"/>
      <c r="CX52" s="474"/>
      <c r="CY52" s="474"/>
      <c r="CZ52" s="474"/>
      <c r="DA52" s="474"/>
      <c r="DB52" s="474"/>
      <c r="DC52" s="292"/>
      <c r="DD52" s="292"/>
      <c r="DE52" s="292"/>
      <c r="DF52" s="292"/>
      <c r="DG52" s="474"/>
      <c r="DH52" s="474"/>
      <c r="DI52" s="474"/>
      <c r="DJ52" s="474"/>
      <c r="DK52" s="474"/>
      <c r="DL52" s="474"/>
      <c r="DM52" s="474"/>
      <c r="DN52" s="474"/>
      <c r="DO52" s="474"/>
      <c r="DP52" s="487"/>
      <c r="DQ52" s="487"/>
      <c r="DR52" s="487"/>
      <c r="DS52" s="487"/>
      <c r="DT52" s="487"/>
      <c r="DU52" s="302"/>
      <c r="DV52" s="302"/>
      <c r="DW52" s="302"/>
      <c r="DX52" s="302"/>
      <c r="DY52" s="302"/>
      <c r="DZ52" s="302"/>
      <c r="EA52" s="302"/>
      <c r="EB52" s="302"/>
      <c r="EC52" s="302"/>
      <c r="ED52" s="302"/>
      <c r="EE52" s="302"/>
      <c r="EF52" s="302"/>
      <c r="EG52" s="302"/>
      <c r="EH52" s="301"/>
      <c r="EI52" s="301"/>
      <c r="EJ52" s="301"/>
      <c r="EK52" s="301"/>
      <c r="EL52" s="301"/>
      <c r="EM52" s="301"/>
      <c r="EN52" s="301"/>
      <c r="EO52" s="301"/>
      <c r="EP52" s="488"/>
      <c r="EQ52" s="305"/>
    </row>
    <row r="53" spans="1:147" s="306" customFormat="1" ht="15" hidden="1" customHeight="1">
      <c r="A53" s="291"/>
      <c r="B53" s="292"/>
      <c r="C53" s="292"/>
      <c r="D53" s="292"/>
      <c r="E53" s="292"/>
      <c r="F53" s="292"/>
      <c r="G53" s="292"/>
      <c r="H53" s="292"/>
      <c r="I53" s="292"/>
      <c r="J53" s="292"/>
      <c r="K53" s="292"/>
      <c r="L53" s="292"/>
      <c r="M53" s="292"/>
      <c r="N53" s="292"/>
      <c r="O53" s="485"/>
      <c r="P53" s="474"/>
      <c r="Q53" s="474"/>
      <c r="R53" s="474"/>
      <c r="S53" s="474"/>
      <c r="T53" s="292"/>
      <c r="U53" s="435"/>
      <c r="V53" s="435"/>
      <c r="W53" s="486"/>
      <c r="X53" s="474"/>
      <c r="Y53" s="474"/>
      <c r="Z53" s="474"/>
      <c r="AA53" s="474"/>
      <c r="AB53" s="474"/>
      <c r="AC53" s="474"/>
      <c r="AD53" s="474"/>
      <c r="AE53" s="474"/>
      <c r="AF53" s="474"/>
      <c r="AG53" s="474"/>
      <c r="AH53" s="474"/>
      <c r="AI53" s="474"/>
      <c r="AJ53" s="474"/>
      <c r="AK53" s="474"/>
      <c r="AL53" s="474"/>
      <c r="AM53" s="474"/>
      <c r="AN53" s="474"/>
      <c r="AO53" s="474"/>
      <c r="AP53" s="474"/>
      <c r="AQ53" s="474"/>
      <c r="AR53" s="474"/>
      <c r="AS53" s="474"/>
      <c r="AT53" s="474"/>
      <c r="AU53" s="474"/>
      <c r="AV53" s="474"/>
      <c r="AW53" s="474"/>
      <c r="AX53" s="474"/>
      <c r="AY53" s="474"/>
      <c r="AZ53" s="474"/>
      <c r="BA53" s="474"/>
      <c r="BB53" s="474"/>
      <c r="BC53" s="474"/>
      <c r="BD53" s="474"/>
      <c r="BE53" s="474"/>
      <c r="BF53" s="474"/>
      <c r="BG53" s="474"/>
      <c r="BH53" s="474"/>
      <c r="BI53" s="474"/>
      <c r="BJ53" s="474"/>
      <c r="BK53" s="474"/>
      <c r="BL53" s="474"/>
      <c r="BM53" s="474"/>
      <c r="BN53" s="474"/>
      <c r="BO53" s="474"/>
      <c r="BP53" s="474"/>
      <c r="BQ53" s="474"/>
      <c r="BR53" s="474"/>
      <c r="BS53" s="474"/>
      <c r="BT53" s="474"/>
      <c r="BU53" s="474"/>
      <c r="BV53" s="474"/>
      <c r="BW53" s="474"/>
      <c r="BX53" s="474"/>
      <c r="BY53" s="474"/>
      <c r="BZ53" s="474"/>
      <c r="CA53" s="474"/>
      <c r="CB53" s="474"/>
      <c r="CC53" s="474"/>
      <c r="CD53" s="474"/>
      <c r="CE53" s="474"/>
      <c r="CF53" s="474"/>
      <c r="CG53" s="474"/>
      <c r="CH53" s="474"/>
      <c r="CI53" s="474"/>
      <c r="CJ53" s="474"/>
      <c r="CK53" s="474"/>
      <c r="CL53" s="474"/>
      <c r="CM53" s="474"/>
      <c r="CN53" s="474"/>
      <c r="CO53" s="474"/>
      <c r="CP53" s="474"/>
      <c r="CQ53" s="474"/>
      <c r="CR53" s="474"/>
      <c r="CS53" s="474"/>
      <c r="CT53" s="474"/>
      <c r="CU53" s="474"/>
      <c r="CV53" s="474"/>
      <c r="CW53" s="474"/>
      <c r="CX53" s="474"/>
      <c r="CY53" s="474"/>
      <c r="CZ53" s="474"/>
      <c r="DA53" s="474"/>
      <c r="DB53" s="474"/>
      <c r="DC53" s="292"/>
      <c r="DD53" s="292"/>
      <c r="DE53" s="292"/>
      <c r="DF53" s="292"/>
      <c r="DG53" s="474"/>
      <c r="DH53" s="474"/>
      <c r="DI53" s="474"/>
      <c r="DJ53" s="474"/>
      <c r="DK53" s="474"/>
      <c r="DL53" s="474"/>
      <c r="DM53" s="474"/>
      <c r="DN53" s="474"/>
      <c r="DO53" s="474"/>
      <c r="DP53" s="487"/>
      <c r="DQ53" s="487"/>
      <c r="DR53" s="487"/>
      <c r="DS53" s="487"/>
      <c r="DT53" s="487"/>
      <c r="DU53" s="302"/>
      <c r="DV53" s="302"/>
      <c r="DW53" s="302"/>
      <c r="DX53" s="302"/>
      <c r="DY53" s="302"/>
      <c r="DZ53" s="302"/>
      <c r="EA53" s="302"/>
      <c r="EB53" s="302"/>
      <c r="EC53" s="302"/>
      <c r="ED53" s="302"/>
      <c r="EE53" s="302"/>
      <c r="EF53" s="302"/>
      <c r="EG53" s="302"/>
      <c r="EH53" s="301"/>
      <c r="EI53" s="301"/>
      <c r="EJ53" s="301"/>
      <c r="EK53" s="301"/>
      <c r="EL53" s="301"/>
      <c r="EM53" s="301"/>
      <c r="EN53" s="301"/>
      <c r="EO53" s="301"/>
      <c r="EP53" s="488"/>
      <c r="EQ53" s="305"/>
    </row>
    <row r="54" spans="1:147" s="306" customFormat="1" ht="15" hidden="1" customHeight="1">
      <c r="A54" s="291"/>
      <c r="B54" s="292"/>
      <c r="C54" s="292"/>
      <c r="D54" s="292"/>
      <c r="E54" s="292"/>
      <c r="F54" s="292"/>
      <c r="G54" s="292"/>
      <c r="H54" s="292"/>
      <c r="I54" s="292"/>
      <c r="J54" s="292"/>
      <c r="K54" s="292"/>
      <c r="L54" s="292"/>
      <c r="M54" s="292"/>
      <c r="N54" s="292"/>
      <c r="O54" s="485"/>
      <c r="P54" s="474"/>
      <c r="Q54" s="474"/>
      <c r="R54" s="474"/>
      <c r="S54" s="474"/>
      <c r="T54" s="292"/>
      <c r="U54" s="435"/>
      <c r="V54" s="435"/>
      <c r="W54" s="486"/>
      <c r="X54" s="474"/>
      <c r="Y54" s="474"/>
      <c r="Z54" s="474"/>
      <c r="AA54" s="474"/>
      <c r="AB54" s="474"/>
      <c r="AC54" s="474"/>
      <c r="AD54" s="474"/>
      <c r="AE54" s="474"/>
      <c r="AF54" s="474"/>
      <c r="AG54" s="474"/>
      <c r="AH54" s="474"/>
      <c r="AI54" s="474"/>
      <c r="AJ54" s="474"/>
      <c r="AK54" s="474"/>
      <c r="AL54" s="474"/>
      <c r="AM54" s="474"/>
      <c r="AN54" s="474"/>
      <c r="AO54" s="474"/>
      <c r="AP54" s="474"/>
      <c r="AQ54" s="474"/>
      <c r="AR54" s="474"/>
      <c r="AS54" s="474"/>
      <c r="AT54" s="474"/>
      <c r="AU54" s="474"/>
      <c r="AV54" s="474"/>
      <c r="AW54" s="474"/>
      <c r="AX54" s="474"/>
      <c r="AY54" s="474"/>
      <c r="AZ54" s="474"/>
      <c r="BA54" s="474"/>
      <c r="BB54" s="474"/>
      <c r="BC54" s="474"/>
      <c r="BD54" s="474"/>
      <c r="BE54" s="474"/>
      <c r="BF54" s="474"/>
      <c r="BG54" s="474"/>
      <c r="BH54" s="474"/>
      <c r="BI54" s="474"/>
      <c r="BJ54" s="474"/>
      <c r="BK54" s="474"/>
      <c r="BL54" s="474"/>
      <c r="BM54" s="474"/>
      <c r="BN54" s="474"/>
      <c r="BO54" s="474"/>
      <c r="BP54" s="474"/>
      <c r="BQ54" s="474"/>
      <c r="BR54" s="474"/>
      <c r="BS54" s="474"/>
      <c r="BT54" s="474"/>
      <c r="BU54" s="474"/>
      <c r="BV54" s="474"/>
      <c r="BW54" s="474"/>
      <c r="BX54" s="474"/>
      <c r="BY54" s="474"/>
      <c r="BZ54" s="474"/>
      <c r="CA54" s="474"/>
      <c r="CB54" s="474"/>
      <c r="CC54" s="474"/>
      <c r="CD54" s="474"/>
      <c r="CE54" s="474"/>
      <c r="CF54" s="474"/>
      <c r="CG54" s="474"/>
      <c r="CH54" s="474"/>
      <c r="CI54" s="474"/>
      <c r="CJ54" s="474"/>
      <c r="CK54" s="474"/>
      <c r="CL54" s="474"/>
      <c r="CM54" s="474"/>
      <c r="CN54" s="474"/>
      <c r="CO54" s="474"/>
      <c r="CP54" s="474"/>
      <c r="CQ54" s="474"/>
      <c r="CR54" s="474"/>
      <c r="CS54" s="474"/>
      <c r="CT54" s="474"/>
      <c r="CU54" s="474"/>
      <c r="CV54" s="474"/>
      <c r="CW54" s="474"/>
      <c r="CX54" s="474"/>
      <c r="CY54" s="474"/>
      <c r="CZ54" s="474"/>
      <c r="DA54" s="474"/>
      <c r="DB54" s="474"/>
      <c r="DC54" s="292"/>
      <c r="DD54" s="292"/>
      <c r="DE54" s="292"/>
      <c r="DF54" s="292"/>
      <c r="DG54" s="474"/>
      <c r="DH54" s="474"/>
      <c r="DI54" s="474"/>
      <c r="DJ54" s="474"/>
      <c r="DK54" s="474"/>
      <c r="DL54" s="474"/>
      <c r="DM54" s="474"/>
      <c r="DN54" s="474"/>
      <c r="DO54" s="474"/>
      <c r="DP54" s="487"/>
      <c r="DQ54" s="487"/>
      <c r="DR54" s="487"/>
      <c r="DS54" s="487"/>
      <c r="DT54" s="487"/>
      <c r="DU54" s="302"/>
      <c r="DV54" s="302"/>
      <c r="DW54" s="302"/>
      <c r="DX54" s="302"/>
      <c r="DY54" s="302"/>
      <c r="DZ54" s="302"/>
      <c r="EA54" s="302"/>
      <c r="EB54" s="302"/>
      <c r="EC54" s="302"/>
      <c r="ED54" s="302"/>
      <c r="EE54" s="302"/>
      <c r="EF54" s="302"/>
      <c r="EG54" s="302"/>
      <c r="EH54" s="301"/>
      <c r="EI54" s="301"/>
      <c r="EJ54" s="301"/>
      <c r="EK54" s="301"/>
      <c r="EL54" s="301"/>
      <c r="EM54" s="301"/>
      <c r="EN54" s="301"/>
      <c r="EO54" s="301"/>
      <c r="EP54" s="488"/>
      <c r="EQ54" s="305"/>
    </row>
    <row r="55" spans="1:147" s="306" customFormat="1" ht="15" hidden="1" customHeight="1">
      <c r="A55" s="291"/>
      <c r="B55" s="292"/>
      <c r="C55" s="292"/>
      <c r="D55" s="292"/>
      <c r="E55" s="292"/>
      <c r="F55" s="292"/>
      <c r="G55" s="292"/>
      <c r="H55" s="292"/>
      <c r="I55" s="292"/>
      <c r="J55" s="292"/>
      <c r="K55" s="292"/>
      <c r="L55" s="292"/>
      <c r="M55" s="292"/>
      <c r="N55" s="292"/>
      <c r="O55" s="485"/>
      <c r="P55" s="474"/>
      <c r="Q55" s="474"/>
      <c r="R55" s="474"/>
      <c r="S55" s="474"/>
      <c r="T55" s="292"/>
      <c r="U55" s="435"/>
      <c r="V55" s="435"/>
      <c r="W55" s="486"/>
      <c r="X55" s="474"/>
      <c r="Y55" s="474"/>
      <c r="Z55" s="474"/>
      <c r="AA55" s="474"/>
      <c r="AB55" s="474"/>
      <c r="AC55" s="474"/>
      <c r="AD55" s="474"/>
      <c r="AE55" s="474"/>
      <c r="AF55" s="474"/>
      <c r="AG55" s="474"/>
      <c r="AH55" s="474"/>
      <c r="AI55" s="474"/>
      <c r="AJ55" s="474"/>
      <c r="AK55" s="474"/>
      <c r="AL55" s="474"/>
      <c r="AM55" s="474"/>
      <c r="AN55" s="474"/>
      <c r="AO55" s="474"/>
      <c r="AP55" s="474"/>
      <c r="AQ55" s="474"/>
      <c r="AR55" s="474"/>
      <c r="AS55" s="474"/>
      <c r="AT55" s="474"/>
      <c r="AU55" s="474"/>
      <c r="AV55" s="474"/>
      <c r="AW55" s="474"/>
      <c r="AX55" s="474"/>
      <c r="AY55" s="474"/>
      <c r="AZ55" s="474"/>
      <c r="BA55" s="474"/>
      <c r="BB55" s="474"/>
      <c r="BC55" s="474"/>
      <c r="BD55" s="474"/>
      <c r="BE55" s="474"/>
      <c r="BF55" s="474"/>
      <c r="BG55" s="474"/>
      <c r="BH55" s="474"/>
      <c r="BI55" s="474"/>
      <c r="BJ55" s="474"/>
      <c r="BK55" s="474"/>
      <c r="BL55" s="474"/>
      <c r="BM55" s="474"/>
      <c r="BN55" s="474"/>
      <c r="BO55" s="474"/>
      <c r="BP55" s="474"/>
      <c r="BQ55" s="474"/>
      <c r="BR55" s="474"/>
      <c r="BS55" s="474"/>
      <c r="BT55" s="474"/>
      <c r="BU55" s="474"/>
      <c r="BV55" s="474"/>
      <c r="BW55" s="474"/>
      <c r="BX55" s="474"/>
      <c r="BY55" s="474"/>
      <c r="BZ55" s="474"/>
      <c r="CA55" s="474"/>
      <c r="CB55" s="474"/>
      <c r="CC55" s="474"/>
      <c r="CD55" s="474"/>
      <c r="CE55" s="474"/>
      <c r="CF55" s="474"/>
      <c r="CG55" s="474"/>
      <c r="CH55" s="474"/>
      <c r="CI55" s="474"/>
      <c r="CJ55" s="474"/>
      <c r="CK55" s="474"/>
      <c r="CL55" s="474"/>
      <c r="CM55" s="474"/>
      <c r="CN55" s="474"/>
      <c r="CO55" s="474"/>
      <c r="CP55" s="474"/>
      <c r="CQ55" s="474"/>
      <c r="CR55" s="474"/>
      <c r="CS55" s="474"/>
      <c r="CT55" s="474"/>
      <c r="CU55" s="474"/>
      <c r="CV55" s="474"/>
      <c r="CW55" s="474"/>
      <c r="CX55" s="474"/>
      <c r="CY55" s="474"/>
      <c r="CZ55" s="474"/>
      <c r="DA55" s="474"/>
      <c r="DB55" s="474"/>
      <c r="DC55" s="292"/>
      <c r="DD55" s="292"/>
      <c r="DE55" s="292"/>
      <c r="DF55" s="292"/>
      <c r="DG55" s="474"/>
      <c r="DH55" s="474"/>
      <c r="DI55" s="474"/>
      <c r="DJ55" s="474"/>
      <c r="DK55" s="474"/>
      <c r="DL55" s="474"/>
      <c r="DM55" s="474"/>
      <c r="DN55" s="474"/>
      <c r="DO55" s="474"/>
      <c r="DP55" s="487"/>
      <c r="DQ55" s="487"/>
      <c r="DR55" s="487"/>
      <c r="DS55" s="487"/>
      <c r="DT55" s="487"/>
      <c r="DU55" s="302"/>
      <c r="DV55" s="302"/>
      <c r="DW55" s="302"/>
      <c r="DX55" s="302"/>
      <c r="DY55" s="302"/>
      <c r="DZ55" s="302"/>
      <c r="EA55" s="302"/>
      <c r="EB55" s="302"/>
      <c r="EC55" s="302"/>
      <c r="ED55" s="302"/>
      <c r="EE55" s="302"/>
      <c r="EF55" s="302"/>
      <c r="EG55" s="302"/>
      <c r="EH55" s="301"/>
      <c r="EI55" s="301"/>
      <c r="EJ55" s="301"/>
      <c r="EK55" s="301"/>
      <c r="EL55" s="301"/>
      <c r="EM55" s="301"/>
      <c r="EN55" s="301"/>
      <c r="EO55" s="301"/>
      <c r="EP55" s="488"/>
      <c r="EQ55" s="305"/>
    </row>
    <row r="56" spans="1:147" s="306" customFormat="1" ht="15" hidden="1" customHeight="1">
      <c r="A56" s="291"/>
      <c r="B56" s="292"/>
      <c r="C56" s="292"/>
      <c r="D56" s="292"/>
      <c r="E56" s="292"/>
      <c r="F56" s="292"/>
      <c r="G56" s="292"/>
      <c r="H56" s="292"/>
      <c r="I56" s="292"/>
      <c r="J56" s="292"/>
      <c r="K56" s="292"/>
      <c r="L56" s="292"/>
      <c r="M56" s="292"/>
      <c r="N56" s="292"/>
      <c r="O56" s="485"/>
      <c r="P56" s="474"/>
      <c r="Q56" s="474"/>
      <c r="R56" s="474"/>
      <c r="S56" s="474"/>
      <c r="T56" s="292"/>
      <c r="U56" s="435"/>
      <c r="V56" s="435"/>
      <c r="W56" s="486"/>
      <c r="X56" s="474"/>
      <c r="Y56" s="474"/>
      <c r="Z56" s="474"/>
      <c r="AA56" s="474"/>
      <c r="AB56" s="474"/>
      <c r="AC56" s="474"/>
      <c r="AD56" s="474"/>
      <c r="AE56" s="474"/>
      <c r="AF56" s="474"/>
      <c r="AG56" s="474"/>
      <c r="AH56" s="474"/>
      <c r="AI56" s="474"/>
      <c r="AJ56" s="474"/>
      <c r="AK56" s="474"/>
      <c r="AL56" s="474"/>
      <c r="AM56" s="474"/>
      <c r="AN56" s="474"/>
      <c r="AO56" s="474"/>
      <c r="AP56" s="474"/>
      <c r="AQ56" s="474"/>
      <c r="AR56" s="474"/>
      <c r="AS56" s="474"/>
      <c r="AT56" s="474"/>
      <c r="AU56" s="474"/>
      <c r="AV56" s="474"/>
      <c r="AW56" s="474"/>
      <c r="AX56" s="474"/>
      <c r="AY56" s="474"/>
      <c r="AZ56" s="474"/>
      <c r="BA56" s="474"/>
      <c r="BB56" s="474"/>
      <c r="BC56" s="474"/>
      <c r="BD56" s="474"/>
      <c r="BE56" s="474"/>
      <c r="BF56" s="474"/>
      <c r="BG56" s="474"/>
      <c r="BH56" s="474"/>
      <c r="BI56" s="474"/>
      <c r="BJ56" s="474"/>
      <c r="BK56" s="474"/>
      <c r="BL56" s="474"/>
      <c r="BM56" s="474"/>
      <c r="BN56" s="474"/>
      <c r="BO56" s="474"/>
      <c r="BP56" s="474"/>
      <c r="BQ56" s="474"/>
      <c r="BR56" s="474"/>
      <c r="BS56" s="474"/>
      <c r="BT56" s="474"/>
      <c r="BU56" s="474"/>
      <c r="BV56" s="474"/>
      <c r="BW56" s="474"/>
      <c r="BX56" s="474"/>
      <c r="BY56" s="474"/>
      <c r="BZ56" s="474"/>
      <c r="CA56" s="474"/>
      <c r="CB56" s="474"/>
      <c r="CC56" s="474"/>
      <c r="CD56" s="474"/>
      <c r="CE56" s="474"/>
      <c r="CF56" s="474"/>
      <c r="CG56" s="474"/>
      <c r="CH56" s="474"/>
      <c r="CI56" s="474"/>
      <c r="CJ56" s="474"/>
      <c r="CK56" s="474"/>
      <c r="CL56" s="474"/>
      <c r="CM56" s="474"/>
      <c r="CN56" s="474"/>
      <c r="CO56" s="474"/>
      <c r="CP56" s="474"/>
      <c r="CQ56" s="474"/>
      <c r="CR56" s="474"/>
      <c r="CS56" s="474"/>
      <c r="CT56" s="474"/>
      <c r="CU56" s="474"/>
      <c r="CV56" s="474"/>
      <c r="CW56" s="474"/>
      <c r="CX56" s="474"/>
      <c r="CY56" s="474"/>
      <c r="CZ56" s="474"/>
      <c r="DA56" s="474"/>
      <c r="DB56" s="474"/>
      <c r="DC56" s="292"/>
      <c r="DD56" s="292"/>
      <c r="DE56" s="292"/>
      <c r="DF56" s="292"/>
      <c r="DG56" s="474"/>
      <c r="DH56" s="474"/>
      <c r="DI56" s="474"/>
      <c r="DJ56" s="474"/>
      <c r="DK56" s="474"/>
      <c r="DL56" s="474"/>
      <c r="DM56" s="474"/>
      <c r="DN56" s="474"/>
      <c r="DO56" s="474"/>
      <c r="DP56" s="487"/>
      <c r="DQ56" s="487"/>
      <c r="DR56" s="487"/>
      <c r="DS56" s="487"/>
      <c r="DT56" s="487"/>
      <c r="DU56" s="302"/>
      <c r="DV56" s="302"/>
      <c r="DW56" s="302"/>
      <c r="DX56" s="302"/>
      <c r="DY56" s="302"/>
      <c r="DZ56" s="302"/>
      <c r="EA56" s="302"/>
      <c r="EB56" s="302"/>
      <c r="EC56" s="302"/>
      <c r="ED56" s="302"/>
      <c r="EE56" s="302"/>
      <c r="EF56" s="302"/>
      <c r="EG56" s="302"/>
      <c r="EH56" s="301"/>
      <c r="EI56" s="301"/>
      <c r="EJ56" s="301"/>
      <c r="EK56" s="301"/>
      <c r="EL56" s="301"/>
      <c r="EM56" s="301"/>
      <c r="EN56" s="301"/>
      <c r="EO56" s="301"/>
      <c r="EP56" s="488"/>
      <c r="EQ56" s="305"/>
    </row>
    <row r="57" spans="1:147" s="306" customFormat="1" ht="15" hidden="1" customHeight="1">
      <c r="A57" s="291"/>
      <c r="B57" s="292"/>
      <c r="C57" s="292"/>
      <c r="D57" s="292"/>
      <c r="E57" s="292"/>
      <c r="F57" s="292"/>
      <c r="G57" s="292"/>
      <c r="H57" s="292"/>
      <c r="I57" s="292"/>
      <c r="J57" s="292"/>
      <c r="K57" s="292"/>
      <c r="L57" s="292" t="str">
        <f>_xlfn.CONCAT(C57, "-",D57)</f>
        <v>-</v>
      </c>
      <c r="M57" s="292" t="str">
        <f>_xlfn.CONCAT(U57,"-",V57,"-",F57,"-",T57)</f>
        <v>---</v>
      </c>
      <c r="N57" s="292" t="str">
        <f>_xlfn.CONCAT(D57," - ", U57)</f>
        <v xml:space="preserve"> - </v>
      </c>
      <c r="O57" s="485"/>
      <c r="P57" s="474"/>
      <c r="Q57" s="474"/>
      <c r="R57" s="474"/>
      <c r="S57" s="474"/>
      <c r="T57" s="292"/>
      <c r="U57" s="435"/>
      <c r="V57" s="435"/>
      <c r="W57" s="486">
        <f>IFERROR(VLOOKUP(M57,'Rate Card'!$A:$G,6,FALSE()),"combination not found")</f>
        <v>0</v>
      </c>
      <c r="X57" s="474"/>
      <c r="Y57" s="474"/>
      <c r="Z57" s="474"/>
      <c r="AA57" s="474"/>
      <c r="AB57" s="474"/>
      <c r="AC57" s="474"/>
      <c r="AD57" s="474"/>
      <c r="AE57" s="474"/>
      <c r="AF57" s="474"/>
      <c r="AG57" s="474"/>
      <c r="AH57" s="474"/>
      <c r="AI57" s="474"/>
      <c r="AJ57" s="474"/>
      <c r="AK57" s="474"/>
      <c r="AL57" s="474"/>
      <c r="AM57" s="474"/>
      <c r="AN57" s="474"/>
      <c r="AO57" s="474"/>
      <c r="AP57" s="474"/>
      <c r="AQ57" s="474"/>
      <c r="AR57" s="474"/>
      <c r="AS57" s="474"/>
      <c r="AT57" s="474"/>
      <c r="AU57" s="474"/>
      <c r="AV57" s="474"/>
      <c r="AW57" s="474"/>
      <c r="AX57" s="474"/>
      <c r="AY57" s="474"/>
      <c r="AZ57" s="474"/>
      <c r="BA57" s="474"/>
      <c r="BB57" s="474"/>
      <c r="BC57" s="474"/>
      <c r="BD57" s="474"/>
      <c r="BE57" s="474"/>
      <c r="BF57" s="474"/>
      <c r="BG57" s="474"/>
      <c r="BH57" s="474"/>
      <c r="BI57" s="474"/>
      <c r="BJ57" s="474"/>
      <c r="BK57" s="474"/>
      <c r="BL57" s="474"/>
      <c r="BM57" s="474"/>
      <c r="BN57" s="474"/>
      <c r="BO57" s="474"/>
      <c r="BP57" s="474"/>
      <c r="BQ57" s="474"/>
      <c r="BR57" s="474"/>
      <c r="BS57" s="474"/>
      <c r="BT57" s="474"/>
      <c r="BU57" s="474"/>
      <c r="BV57" s="474"/>
      <c r="BW57" s="474"/>
      <c r="BX57" s="474"/>
      <c r="BY57" s="474"/>
      <c r="BZ57" s="474"/>
      <c r="CA57" s="474"/>
      <c r="CB57" s="474"/>
      <c r="CC57" s="474"/>
      <c r="CD57" s="474"/>
      <c r="CE57" s="474"/>
      <c r="CF57" s="474"/>
      <c r="CG57" s="474"/>
      <c r="CH57" s="474"/>
      <c r="CI57" s="474"/>
      <c r="CJ57" s="474"/>
      <c r="CK57" s="474"/>
      <c r="CL57" s="474"/>
      <c r="CM57" s="474"/>
      <c r="CN57" s="474"/>
      <c r="CO57" s="474"/>
      <c r="CP57" s="474"/>
      <c r="CQ57" s="474"/>
      <c r="CR57" s="474"/>
      <c r="CS57" s="474"/>
      <c r="CT57" s="474"/>
      <c r="CU57" s="474"/>
      <c r="CV57" s="474"/>
      <c r="CW57" s="474"/>
      <c r="CX57" s="474"/>
      <c r="CY57" s="474"/>
      <c r="CZ57" s="474"/>
      <c r="DA57" s="474"/>
      <c r="DB57" s="474"/>
      <c r="DC57" s="292"/>
      <c r="DD57" s="292"/>
      <c r="DE57" s="292"/>
      <c r="DF57" s="292"/>
      <c r="DG57" s="474"/>
      <c r="DH57" s="474"/>
      <c r="DI57" s="474"/>
      <c r="DJ57" s="474"/>
      <c r="DK57" s="474"/>
      <c r="DL57" s="474"/>
      <c r="DM57" s="474"/>
      <c r="DN57" s="474"/>
      <c r="DO57" s="474"/>
      <c r="DP57" s="487">
        <f t="shared" ref="DP57:EO57" si="23">SUMIF($X$6:$DN$6,DP$7,$X57:$DN57)</f>
        <v>0</v>
      </c>
      <c r="DQ57" s="487">
        <f t="shared" si="23"/>
        <v>0</v>
      </c>
      <c r="DR57" s="487">
        <f t="shared" si="23"/>
        <v>0</v>
      </c>
      <c r="DS57" s="487">
        <f t="shared" si="23"/>
        <v>0</v>
      </c>
      <c r="DT57" s="487">
        <f t="shared" si="23"/>
        <v>0</v>
      </c>
      <c r="DU57" s="302">
        <f t="shared" si="23"/>
        <v>0</v>
      </c>
      <c r="DV57" s="302">
        <f t="shared" si="23"/>
        <v>0</v>
      </c>
      <c r="DW57" s="302">
        <f t="shared" si="23"/>
        <v>0</v>
      </c>
      <c r="DX57" s="302">
        <f t="shared" si="23"/>
        <v>0</v>
      </c>
      <c r="DY57" s="302">
        <f t="shared" si="23"/>
        <v>0</v>
      </c>
      <c r="DZ57" s="302">
        <f t="shared" si="23"/>
        <v>0</v>
      </c>
      <c r="EA57" s="302">
        <f t="shared" si="23"/>
        <v>0</v>
      </c>
      <c r="EB57" s="302">
        <f t="shared" si="23"/>
        <v>0</v>
      </c>
      <c r="EC57" s="302">
        <f t="shared" si="23"/>
        <v>0</v>
      </c>
      <c r="ED57" s="302">
        <f t="shared" si="23"/>
        <v>0</v>
      </c>
      <c r="EE57" s="302">
        <f t="shared" si="23"/>
        <v>0</v>
      </c>
      <c r="EF57" s="302">
        <f t="shared" si="23"/>
        <v>0</v>
      </c>
      <c r="EG57" s="302">
        <f t="shared" si="23"/>
        <v>0</v>
      </c>
      <c r="EH57" s="301">
        <f t="shared" si="23"/>
        <v>0</v>
      </c>
      <c r="EI57" s="301">
        <f t="shared" si="23"/>
        <v>0</v>
      </c>
      <c r="EJ57" s="301">
        <f t="shared" si="23"/>
        <v>0</v>
      </c>
      <c r="EK57" s="301">
        <f t="shared" si="23"/>
        <v>0</v>
      </c>
      <c r="EL57" s="301">
        <f t="shared" si="23"/>
        <v>0</v>
      </c>
      <c r="EM57" s="301">
        <f t="shared" si="23"/>
        <v>0</v>
      </c>
      <c r="EN57" s="301">
        <f t="shared" si="23"/>
        <v>0</v>
      </c>
      <c r="EO57" s="301">
        <f t="shared" si="23"/>
        <v>0</v>
      </c>
      <c r="EP57" s="488">
        <f>SUM(DP57:EO57)</f>
        <v>0</v>
      </c>
      <c r="EQ57" s="305">
        <f>EP57-P57</f>
        <v>0</v>
      </c>
    </row>
    <row r="58" spans="1:147">
      <c r="O58" s="491"/>
      <c r="P58" s="225"/>
      <c r="Q58" s="225"/>
      <c r="R58" s="225"/>
      <c r="S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c r="CB58" s="225"/>
      <c r="CC58" s="225"/>
      <c r="CD58" s="225"/>
      <c r="CE58" s="225"/>
      <c r="CF58" s="225"/>
      <c r="CG58" s="225"/>
      <c r="CH58" s="225"/>
      <c r="CI58" s="225"/>
      <c r="CJ58" s="225"/>
      <c r="CK58" s="225"/>
      <c r="CL58" s="225"/>
      <c r="CM58" s="225"/>
      <c r="CN58" s="225"/>
      <c r="CO58" s="225"/>
      <c r="CP58" s="225"/>
      <c r="CQ58" s="225"/>
      <c r="CR58" s="225"/>
      <c r="CS58" s="225"/>
      <c r="CT58" s="225"/>
      <c r="CU58" s="225"/>
      <c r="CV58" s="225"/>
      <c r="CW58" s="225"/>
      <c r="CX58" s="225"/>
      <c r="CY58" s="225"/>
      <c r="CZ58" s="225"/>
      <c r="DA58" s="225"/>
      <c r="DB58" s="225"/>
      <c r="DC58" s="225"/>
      <c r="DD58" s="225"/>
      <c r="DE58" s="225"/>
      <c r="DF58" s="225"/>
      <c r="DG58" s="225"/>
      <c r="DH58" s="225"/>
      <c r="DI58" s="225"/>
      <c r="DJ58" s="225"/>
      <c r="DK58" s="225"/>
      <c r="DL58" s="225"/>
      <c r="DM58" s="225"/>
      <c r="DN58" s="225"/>
      <c r="DO58" s="225"/>
      <c r="DP58" s="492"/>
      <c r="DQ58" s="492"/>
      <c r="DR58" s="492"/>
      <c r="DS58" s="492"/>
      <c r="DT58" s="493"/>
      <c r="DU58" s="494"/>
    </row>
    <row r="59" spans="1:147">
      <c r="X59" s="225"/>
      <c r="Y59" s="225"/>
      <c r="Z59" s="225"/>
      <c r="AA59" s="225"/>
      <c r="AB59" s="225"/>
      <c r="AC59" s="225"/>
      <c r="AD59" s="225"/>
      <c r="AE59" s="225"/>
      <c r="AF59" s="225">
        <v>0</v>
      </c>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c r="CB59" s="225"/>
      <c r="CC59" s="225"/>
      <c r="CD59" s="225"/>
      <c r="CE59" s="225"/>
      <c r="CF59" s="225"/>
      <c r="CG59" s="225"/>
      <c r="CH59" s="225"/>
      <c r="CI59" s="225"/>
      <c r="CJ59" s="225"/>
      <c r="CK59" s="225"/>
      <c r="CL59" s="225"/>
      <c r="CM59" s="225"/>
      <c r="CN59" s="225"/>
      <c r="CO59" s="225"/>
      <c r="CP59" s="225"/>
      <c r="CQ59" s="225"/>
      <c r="CR59" s="225"/>
      <c r="CS59" s="225"/>
      <c r="CT59" s="225"/>
      <c r="CU59" s="225"/>
      <c r="CV59" s="225"/>
      <c r="CW59" s="225"/>
      <c r="CX59" s="225"/>
      <c r="CY59" s="225"/>
      <c r="CZ59" s="225"/>
      <c r="DA59" s="225"/>
      <c r="DB59" s="225"/>
      <c r="DC59" s="225"/>
      <c r="DD59" s="225"/>
      <c r="DE59" s="225"/>
      <c r="DF59" s="225"/>
      <c r="DG59" s="225"/>
      <c r="DH59" s="225"/>
      <c r="DI59" s="225"/>
      <c r="DJ59" s="225"/>
      <c r="DK59" s="225"/>
      <c r="DL59" s="225"/>
      <c r="DM59" s="225"/>
      <c r="DN59" s="225"/>
      <c r="DO59" s="225"/>
      <c r="DP59" s="492"/>
      <c r="DQ59" s="492"/>
      <c r="DR59" s="492"/>
      <c r="DS59" s="492"/>
      <c r="DU59" s="494"/>
      <c r="EQ59" s="306"/>
    </row>
    <row r="60" spans="1:147">
      <c r="X60" s="477">
        <f t="shared" ref="X60:BN60" si="24">SUM(X8:X30)</f>
        <v>0</v>
      </c>
      <c r="Y60" s="477">
        <f t="shared" si="24"/>
        <v>0</v>
      </c>
      <c r="Z60" s="477">
        <f t="shared" si="24"/>
        <v>0</v>
      </c>
      <c r="AA60" s="477">
        <f t="shared" si="24"/>
        <v>0</v>
      </c>
      <c r="AB60" s="477">
        <f t="shared" si="24"/>
        <v>0</v>
      </c>
      <c r="AC60" s="477">
        <f t="shared" si="24"/>
        <v>0</v>
      </c>
      <c r="AD60" s="477">
        <f t="shared" si="24"/>
        <v>0</v>
      </c>
      <c r="AE60" s="477">
        <f t="shared" si="24"/>
        <v>0</v>
      </c>
      <c r="AF60" s="477">
        <f t="shared" si="24"/>
        <v>0</v>
      </c>
      <c r="AG60" s="477">
        <f t="shared" si="24"/>
        <v>0</v>
      </c>
      <c r="AH60" s="477">
        <f t="shared" si="24"/>
        <v>0</v>
      </c>
      <c r="AI60" s="477">
        <f t="shared" si="24"/>
        <v>0</v>
      </c>
      <c r="AJ60" s="477">
        <f t="shared" si="24"/>
        <v>0</v>
      </c>
      <c r="AK60" s="477">
        <f t="shared" si="24"/>
        <v>0</v>
      </c>
      <c r="AL60" s="477">
        <f t="shared" si="24"/>
        <v>0</v>
      </c>
      <c r="AM60" s="477">
        <f t="shared" si="24"/>
        <v>0</v>
      </c>
      <c r="AN60" s="477">
        <f t="shared" si="24"/>
        <v>0</v>
      </c>
      <c r="AO60" s="477">
        <f t="shared" si="24"/>
        <v>0</v>
      </c>
      <c r="AP60" s="477">
        <f t="shared" si="24"/>
        <v>0</v>
      </c>
      <c r="AQ60" s="477">
        <f t="shared" si="24"/>
        <v>0</v>
      </c>
      <c r="AR60" s="477">
        <f t="shared" si="24"/>
        <v>0</v>
      </c>
      <c r="AS60" s="477">
        <f t="shared" si="24"/>
        <v>290</v>
      </c>
      <c r="AT60" s="477">
        <f t="shared" si="24"/>
        <v>335</v>
      </c>
      <c r="AU60" s="477">
        <f t="shared" si="24"/>
        <v>335</v>
      </c>
      <c r="AV60" s="477">
        <f t="shared" si="24"/>
        <v>335</v>
      </c>
      <c r="AW60" s="477">
        <f t="shared" si="24"/>
        <v>425</v>
      </c>
      <c r="AX60" s="477">
        <f t="shared" si="24"/>
        <v>425</v>
      </c>
      <c r="AY60" s="477">
        <f t="shared" si="24"/>
        <v>425</v>
      </c>
      <c r="AZ60" s="477">
        <f t="shared" si="24"/>
        <v>515</v>
      </c>
      <c r="BA60" s="477">
        <f t="shared" si="24"/>
        <v>515</v>
      </c>
      <c r="BB60" s="477">
        <f t="shared" si="24"/>
        <v>605</v>
      </c>
      <c r="BC60" s="477">
        <f t="shared" si="24"/>
        <v>605</v>
      </c>
      <c r="BD60" s="477">
        <f t="shared" si="24"/>
        <v>670</v>
      </c>
      <c r="BE60" s="477">
        <f t="shared" si="24"/>
        <v>670</v>
      </c>
      <c r="BF60" s="477">
        <f t="shared" si="24"/>
        <v>670</v>
      </c>
      <c r="BG60" s="477">
        <f t="shared" si="24"/>
        <v>670</v>
      </c>
      <c r="BH60" s="477">
        <f t="shared" si="24"/>
        <v>670</v>
      </c>
      <c r="BI60" s="477">
        <f t="shared" si="24"/>
        <v>670</v>
      </c>
      <c r="BJ60" s="477">
        <f t="shared" si="24"/>
        <v>670</v>
      </c>
      <c r="BK60" s="477">
        <f t="shared" si="24"/>
        <v>670</v>
      </c>
      <c r="BL60" s="477">
        <f t="shared" si="24"/>
        <v>670</v>
      </c>
      <c r="BM60" s="477">
        <f t="shared" si="24"/>
        <v>670</v>
      </c>
      <c r="BN60" s="477">
        <f t="shared" si="24"/>
        <v>670</v>
      </c>
      <c r="BO60" s="477" t="e">
        <f>SUM(#REF!)</f>
        <v>#REF!</v>
      </c>
      <c r="BP60" s="477" t="e">
        <f>SUM(#REF!)</f>
        <v>#REF!</v>
      </c>
      <c r="BQ60" s="477" t="e">
        <f>SUM(#REF!)</f>
        <v>#REF!</v>
      </c>
      <c r="BR60" s="477" t="e">
        <f>SUM(#REF!)</f>
        <v>#REF!</v>
      </c>
      <c r="BS60" s="477">
        <f t="shared" ref="BS60:DF60" si="25">SUM(BO8:BO30)</f>
        <v>670</v>
      </c>
      <c r="BT60" s="477">
        <f t="shared" si="25"/>
        <v>670</v>
      </c>
      <c r="BU60" s="477">
        <f t="shared" si="25"/>
        <v>670</v>
      </c>
      <c r="BV60" s="477">
        <f t="shared" si="25"/>
        <v>670</v>
      </c>
      <c r="BW60" s="477">
        <f t="shared" si="25"/>
        <v>670</v>
      </c>
      <c r="BX60" s="477">
        <f t="shared" si="25"/>
        <v>670</v>
      </c>
      <c r="BY60" s="477">
        <f t="shared" si="25"/>
        <v>670</v>
      </c>
      <c r="BZ60" s="477">
        <f t="shared" si="25"/>
        <v>670</v>
      </c>
      <c r="CA60" s="477">
        <f t="shared" si="25"/>
        <v>670</v>
      </c>
      <c r="CB60" s="477">
        <f t="shared" si="25"/>
        <v>670</v>
      </c>
      <c r="CC60" s="477">
        <f t="shared" si="25"/>
        <v>670</v>
      </c>
      <c r="CD60" s="477">
        <f t="shared" si="25"/>
        <v>670</v>
      </c>
      <c r="CE60" s="477">
        <f t="shared" si="25"/>
        <v>670</v>
      </c>
      <c r="CF60" s="477">
        <f t="shared" si="25"/>
        <v>670</v>
      </c>
      <c r="CG60" s="477">
        <f t="shared" si="25"/>
        <v>670</v>
      </c>
      <c r="CH60" s="477">
        <f t="shared" si="25"/>
        <v>670</v>
      </c>
      <c r="CI60" s="477">
        <f t="shared" si="25"/>
        <v>670</v>
      </c>
      <c r="CJ60" s="477">
        <f t="shared" si="25"/>
        <v>670</v>
      </c>
      <c r="CK60" s="477">
        <f t="shared" si="25"/>
        <v>670</v>
      </c>
      <c r="CL60" s="477">
        <f t="shared" si="25"/>
        <v>670</v>
      </c>
      <c r="CM60" s="477">
        <f t="shared" si="25"/>
        <v>670</v>
      </c>
      <c r="CN60" s="477">
        <f t="shared" si="25"/>
        <v>670</v>
      </c>
      <c r="CO60" s="477">
        <f t="shared" si="25"/>
        <v>670</v>
      </c>
      <c r="CP60" s="477">
        <f t="shared" si="25"/>
        <v>563</v>
      </c>
      <c r="CQ60" s="477">
        <f t="shared" si="25"/>
        <v>563</v>
      </c>
      <c r="CR60" s="477">
        <f t="shared" si="25"/>
        <v>518</v>
      </c>
      <c r="CS60" s="477">
        <f t="shared" si="25"/>
        <v>518</v>
      </c>
      <c r="CT60" s="477">
        <f t="shared" si="25"/>
        <v>518</v>
      </c>
      <c r="CU60" s="477">
        <f t="shared" si="25"/>
        <v>0</v>
      </c>
      <c r="CV60" s="477">
        <f t="shared" si="25"/>
        <v>0</v>
      </c>
      <c r="CW60" s="477">
        <f t="shared" si="25"/>
        <v>0</v>
      </c>
      <c r="CX60" s="477">
        <f t="shared" si="25"/>
        <v>0</v>
      </c>
      <c r="CY60" s="477">
        <f t="shared" si="25"/>
        <v>0</v>
      </c>
      <c r="CZ60" s="477">
        <f t="shared" si="25"/>
        <v>0</v>
      </c>
      <c r="DA60" s="477">
        <f t="shared" si="25"/>
        <v>0</v>
      </c>
      <c r="DB60" s="477">
        <f t="shared" si="25"/>
        <v>0</v>
      </c>
      <c r="DC60" s="477">
        <f t="shared" si="25"/>
        <v>0</v>
      </c>
      <c r="DD60" s="477">
        <f t="shared" si="25"/>
        <v>0</v>
      </c>
      <c r="DE60" s="477">
        <f t="shared" si="25"/>
        <v>0</v>
      </c>
      <c r="DF60" s="477">
        <f t="shared" si="25"/>
        <v>0</v>
      </c>
      <c r="DG60" s="477">
        <f t="shared" ref="DG60:DN60" si="26">SUM(DG8:DG30)</f>
        <v>0</v>
      </c>
      <c r="DH60" s="477">
        <f t="shared" si="26"/>
        <v>0</v>
      </c>
      <c r="DI60" s="477">
        <f t="shared" si="26"/>
        <v>0</v>
      </c>
      <c r="DJ60" s="477">
        <f t="shared" si="26"/>
        <v>0</v>
      </c>
      <c r="DK60" s="477">
        <f t="shared" si="26"/>
        <v>0</v>
      </c>
      <c r="DL60" s="477">
        <f t="shared" si="26"/>
        <v>0</v>
      </c>
      <c r="DM60" s="477">
        <f t="shared" si="26"/>
        <v>0</v>
      </c>
      <c r="DN60" s="477">
        <f t="shared" si="26"/>
        <v>0</v>
      </c>
      <c r="DO60" s="495"/>
      <c r="DP60" s="364">
        <f t="shared" ref="DP60:EO60" si="27">SUM(DP8:DP30)</f>
        <v>0</v>
      </c>
      <c r="DQ60" s="364">
        <f t="shared" si="27"/>
        <v>0</v>
      </c>
      <c r="DR60" s="364">
        <f t="shared" si="27"/>
        <v>0</v>
      </c>
      <c r="DS60" s="364">
        <f t="shared" si="27"/>
        <v>0</v>
      </c>
      <c r="DT60" s="364">
        <f t="shared" si="27"/>
        <v>0</v>
      </c>
      <c r="DU60" s="364">
        <f t="shared" si="27"/>
        <v>0</v>
      </c>
      <c r="DV60" s="364">
        <f t="shared" si="27"/>
        <v>0</v>
      </c>
      <c r="DW60" s="364">
        <f t="shared" si="27"/>
        <v>960</v>
      </c>
      <c r="DX60" s="364">
        <f t="shared" si="27"/>
        <v>1610</v>
      </c>
      <c r="DY60" s="364">
        <f t="shared" si="27"/>
        <v>2240</v>
      </c>
      <c r="DZ60" s="364">
        <f t="shared" si="27"/>
        <v>2680</v>
      </c>
      <c r="EA60" s="364">
        <f t="shared" si="27"/>
        <v>2680</v>
      </c>
      <c r="EB60" s="364">
        <f t="shared" si="27"/>
        <v>2680</v>
      </c>
      <c r="EC60" s="364">
        <f t="shared" si="27"/>
        <v>2680</v>
      </c>
      <c r="ED60" s="364">
        <f t="shared" si="27"/>
        <v>2680</v>
      </c>
      <c r="EE60" s="364">
        <f t="shared" si="27"/>
        <v>2680</v>
      </c>
      <c r="EF60" s="364">
        <f t="shared" si="27"/>
        <v>2680</v>
      </c>
      <c r="EG60" s="364">
        <f t="shared" si="27"/>
        <v>2680</v>
      </c>
      <c r="EH60" s="364">
        <f t="shared" si="27"/>
        <v>2466</v>
      </c>
      <c r="EI60" s="364">
        <f t="shared" si="27"/>
        <v>1554</v>
      </c>
      <c r="EJ60" s="364">
        <f t="shared" si="27"/>
        <v>0</v>
      </c>
      <c r="EK60" s="364">
        <f t="shared" si="27"/>
        <v>0</v>
      </c>
      <c r="EL60" s="364">
        <f t="shared" si="27"/>
        <v>0</v>
      </c>
      <c r="EM60" s="364">
        <f t="shared" si="27"/>
        <v>0</v>
      </c>
      <c r="EN60" s="364">
        <f t="shared" si="27"/>
        <v>0</v>
      </c>
      <c r="EO60" s="364">
        <f t="shared" si="27"/>
        <v>0</v>
      </c>
      <c r="EP60" s="496">
        <f>SUM(DP60:EO60)</f>
        <v>30270</v>
      </c>
    </row>
    <row r="61" spans="1:147">
      <c r="X61" s="366">
        <f>SUM(P8:P30)</f>
        <v>30270</v>
      </c>
      <c r="Y61" s="366">
        <f t="shared" ref="Y61:BO61" si="28">SUM(X8:X30)</f>
        <v>0</v>
      </c>
      <c r="Z61" s="366">
        <f t="shared" si="28"/>
        <v>0</v>
      </c>
      <c r="AA61" s="366">
        <f t="shared" si="28"/>
        <v>0</v>
      </c>
      <c r="AB61" s="366">
        <f t="shared" si="28"/>
        <v>0</v>
      </c>
      <c r="AC61" s="366">
        <f t="shared" si="28"/>
        <v>0</v>
      </c>
      <c r="AD61" s="366">
        <f t="shared" si="28"/>
        <v>0</v>
      </c>
      <c r="AE61" s="366">
        <f t="shared" si="28"/>
        <v>0</v>
      </c>
      <c r="AF61" s="366">
        <f t="shared" si="28"/>
        <v>0</v>
      </c>
      <c r="AG61" s="366">
        <f t="shared" si="28"/>
        <v>0</v>
      </c>
      <c r="AH61" s="366">
        <f t="shared" si="28"/>
        <v>0</v>
      </c>
      <c r="AI61" s="366">
        <f t="shared" si="28"/>
        <v>0</v>
      </c>
      <c r="AJ61" s="366">
        <f t="shared" si="28"/>
        <v>0</v>
      </c>
      <c r="AK61" s="366">
        <f t="shared" si="28"/>
        <v>0</v>
      </c>
      <c r="AL61" s="366">
        <f t="shared" si="28"/>
        <v>0</v>
      </c>
      <c r="AM61" s="366">
        <f t="shared" si="28"/>
        <v>0</v>
      </c>
      <c r="AN61" s="366">
        <f t="shared" si="28"/>
        <v>0</v>
      </c>
      <c r="AO61" s="366">
        <f t="shared" si="28"/>
        <v>0</v>
      </c>
      <c r="AP61" s="366">
        <f t="shared" si="28"/>
        <v>0</v>
      </c>
      <c r="AQ61" s="366">
        <f t="shared" si="28"/>
        <v>0</v>
      </c>
      <c r="AR61" s="366">
        <f t="shared" si="28"/>
        <v>0</v>
      </c>
      <c r="AS61" s="366">
        <f t="shared" si="28"/>
        <v>0</v>
      </c>
      <c r="AT61" s="366">
        <f t="shared" si="28"/>
        <v>290</v>
      </c>
      <c r="AU61" s="366">
        <f t="shared" si="28"/>
        <v>335</v>
      </c>
      <c r="AV61" s="366">
        <f t="shared" si="28"/>
        <v>335</v>
      </c>
      <c r="AW61" s="366">
        <f t="shared" si="28"/>
        <v>335</v>
      </c>
      <c r="AX61" s="366">
        <f t="shared" si="28"/>
        <v>425</v>
      </c>
      <c r="AY61" s="366">
        <f t="shared" si="28"/>
        <v>425</v>
      </c>
      <c r="AZ61" s="366">
        <f t="shared" si="28"/>
        <v>425</v>
      </c>
      <c r="BA61" s="366">
        <f t="shared" si="28"/>
        <v>515</v>
      </c>
      <c r="BB61" s="366">
        <f t="shared" si="28"/>
        <v>515</v>
      </c>
      <c r="BC61" s="366">
        <f t="shared" si="28"/>
        <v>605</v>
      </c>
      <c r="BD61" s="366">
        <f t="shared" si="28"/>
        <v>605</v>
      </c>
      <c r="BE61" s="366">
        <f t="shared" si="28"/>
        <v>670</v>
      </c>
      <c r="BF61" s="366">
        <f t="shared" si="28"/>
        <v>670</v>
      </c>
      <c r="BG61" s="366">
        <f t="shared" si="28"/>
        <v>670</v>
      </c>
      <c r="BH61" s="366">
        <f t="shared" si="28"/>
        <v>670</v>
      </c>
      <c r="BI61" s="366">
        <f t="shared" si="28"/>
        <v>670</v>
      </c>
      <c r="BJ61" s="366">
        <f t="shared" si="28"/>
        <v>670</v>
      </c>
      <c r="BK61" s="366">
        <f t="shared" si="28"/>
        <v>670</v>
      </c>
      <c r="BL61" s="366">
        <f t="shared" si="28"/>
        <v>670</v>
      </c>
      <c r="BM61" s="366">
        <f t="shared" si="28"/>
        <v>670</v>
      </c>
      <c r="BN61" s="366">
        <f t="shared" si="28"/>
        <v>670</v>
      </c>
      <c r="BO61" s="366">
        <f t="shared" si="28"/>
        <v>670</v>
      </c>
      <c r="BP61" s="366" t="e">
        <f>SUM(#REF!)</f>
        <v>#REF!</v>
      </c>
      <c r="BQ61" s="366" t="e">
        <f>SUM(#REF!)</f>
        <v>#REF!</v>
      </c>
      <c r="BR61" s="366" t="e">
        <f>SUM(#REF!)</f>
        <v>#REF!</v>
      </c>
      <c r="BS61" s="366" t="e">
        <f>SUM(#REF!)</f>
        <v>#REF!</v>
      </c>
      <c r="BT61" s="366">
        <f t="shared" ref="BT61:DG61" si="29">SUM(BO8:BO30)</f>
        <v>670</v>
      </c>
      <c r="BU61" s="366">
        <f t="shared" si="29"/>
        <v>670</v>
      </c>
      <c r="BV61" s="366">
        <f t="shared" si="29"/>
        <v>670</v>
      </c>
      <c r="BW61" s="366">
        <f t="shared" si="29"/>
        <v>670</v>
      </c>
      <c r="BX61" s="366">
        <f t="shared" si="29"/>
        <v>670</v>
      </c>
      <c r="BY61" s="366">
        <f t="shared" si="29"/>
        <v>670</v>
      </c>
      <c r="BZ61" s="366">
        <f t="shared" si="29"/>
        <v>670</v>
      </c>
      <c r="CA61" s="366">
        <f t="shared" si="29"/>
        <v>670</v>
      </c>
      <c r="CB61" s="366">
        <f t="shared" si="29"/>
        <v>670</v>
      </c>
      <c r="CC61" s="366">
        <f t="shared" si="29"/>
        <v>670</v>
      </c>
      <c r="CD61" s="366">
        <f t="shared" si="29"/>
        <v>670</v>
      </c>
      <c r="CE61" s="366">
        <f t="shared" si="29"/>
        <v>670</v>
      </c>
      <c r="CF61" s="366">
        <f t="shared" si="29"/>
        <v>670</v>
      </c>
      <c r="CG61" s="366">
        <f t="shared" si="29"/>
        <v>670</v>
      </c>
      <c r="CH61" s="366">
        <f t="shared" si="29"/>
        <v>670</v>
      </c>
      <c r="CI61" s="366">
        <f t="shared" si="29"/>
        <v>670</v>
      </c>
      <c r="CJ61" s="366">
        <f t="shared" si="29"/>
        <v>670</v>
      </c>
      <c r="CK61" s="366">
        <f t="shared" si="29"/>
        <v>670</v>
      </c>
      <c r="CL61" s="366">
        <f t="shared" si="29"/>
        <v>670</v>
      </c>
      <c r="CM61" s="366">
        <f t="shared" si="29"/>
        <v>670</v>
      </c>
      <c r="CN61" s="366">
        <f t="shared" si="29"/>
        <v>670</v>
      </c>
      <c r="CO61" s="366">
        <f t="shared" si="29"/>
        <v>670</v>
      </c>
      <c r="CP61" s="366">
        <f t="shared" si="29"/>
        <v>670</v>
      </c>
      <c r="CQ61" s="366">
        <f t="shared" si="29"/>
        <v>563</v>
      </c>
      <c r="CR61" s="366">
        <f t="shared" si="29"/>
        <v>563</v>
      </c>
      <c r="CS61" s="366">
        <f t="shared" si="29"/>
        <v>518</v>
      </c>
      <c r="CT61" s="366">
        <f t="shared" si="29"/>
        <v>518</v>
      </c>
      <c r="CU61" s="366">
        <f t="shared" si="29"/>
        <v>518</v>
      </c>
      <c r="CV61" s="366">
        <f t="shared" si="29"/>
        <v>0</v>
      </c>
      <c r="CW61" s="366">
        <f t="shared" si="29"/>
        <v>0</v>
      </c>
      <c r="CX61" s="366">
        <f t="shared" si="29"/>
        <v>0</v>
      </c>
      <c r="CY61" s="366">
        <f t="shared" si="29"/>
        <v>0</v>
      </c>
      <c r="CZ61" s="366">
        <f t="shared" si="29"/>
        <v>0</v>
      </c>
      <c r="DA61" s="366">
        <f t="shared" si="29"/>
        <v>0</v>
      </c>
      <c r="DB61" s="366">
        <f t="shared" si="29"/>
        <v>0</v>
      </c>
      <c r="DC61" s="366">
        <f t="shared" si="29"/>
        <v>0</v>
      </c>
      <c r="DD61" s="366">
        <f t="shared" si="29"/>
        <v>0</v>
      </c>
      <c r="DE61" s="366">
        <f t="shared" si="29"/>
        <v>0</v>
      </c>
      <c r="DF61" s="366">
        <f t="shared" si="29"/>
        <v>0</v>
      </c>
      <c r="DG61" s="366">
        <f t="shared" si="29"/>
        <v>0</v>
      </c>
      <c r="DH61" s="366">
        <f t="shared" ref="DH61:DN61" si="30">SUM(DG8:DG30)</f>
        <v>0</v>
      </c>
      <c r="DI61" s="366">
        <f t="shared" si="30"/>
        <v>0</v>
      </c>
      <c r="DJ61" s="366">
        <f t="shared" si="30"/>
        <v>0</v>
      </c>
      <c r="DK61" s="366">
        <f t="shared" si="30"/>
        <v>0</v>
      </c>
      <c r="DL61" s="366">
        <f t="shared" si="30"/>
        <v>0</v>
      </c>
      <c r="DM61" s="366">
        <f t="shared" si="30"/>
        <v>0</v>
      </c>
      <c r="DN61" s="366">
        <f t="shared" si="30"/>
        <v>0</v>
      </c>
      <c r="DO61" s="497"/>
      <c r="DP61" s="365">
        <f t="shared" ref="DP61:EO61" si="31">SUMPRODUCT(DP8:DP30,$W$8:$W$30)</f>
        <v>0</v>
      </c>
      <c r="DQ61" s="365">
        <f t="shared" si="31"/>
        <v>0</v>
      </c>
      <c r="DR61" s="365">
        <f t="shared" si="31"/>
        <v>0</v>
      </c>
      <c r="DS61" s="365">
        <f t="shared" si="31"/>
        <v>0</v>
      </c>
      <c r="DT61" s="365">
        <f t="shared" si="31"/>
        <v>0</v>
      </c>
      <c r="DU61" s="365">
        <f t="shared" si="31"/>
        <v>0</v>
      </c>
      <c r="DV61" s="365">
        <f t="shared" si="31"/>
        <v>0</v>
      </c>
      <c r="DW61" s="365">
        <f t="shared" si="31"/>
        <v>109059</v>
      </c>
      <c r="DX61" s="365">
        <f t="shared" si="31"/>
        <v>167357</v>
      </c>
      <c r="DY61" s="365">
        <f t="shared" si="31"/>
        <v>204032</v>
      </c>
      <c r="DZ61" s="365">
        <f t="shared" si="31"/>
        <v>225652</v>
      </c>
      <c r="EA61" s="365">
        <f t="shared" si="31"/>
        <v>225652</v>
      </c>
      <c r="EB61" s="365">
        <f t="shared" si="31"/>
        <v>225652</v>
      </c>
      <c r="EC61" s="365">
        <f t="shared" si="31"/>
        <v>225652</v>
      </c>
      <c r="ED61" s="365">
        <f t="shared" si="31"/>
        <v>225652</v>
      </c>
      <c r="EE61" s="365">
        <f t="shared" si="31"/>
        <v>225652</v>
      </c>
      <c r="EF61" s="365">
        <f t="shared" si="31"/>
        <v>225652</v>
      </c>
      <c r="EG61" s="365">
        <f t="shared" si="31"/>
        <v>225652</v>
      </c>
      <c r="EH61" s="365">
        <f t="shared" si="31"/>
        <v>215136</v>
      </c>
      <c r="EI61" s="365">
        <f t="shared" si="31"/>
        <v>145095</v>
      </c>
      <c r="EJ61" s="365">
        <f t="shared" si="31"/>
        <v>0</v>
      </c>
      <c r="EK61" s="365">
        <f t="shared" si="31"/>
        <v>0</v>
      </c>
      <c r="EL61" s="365">
        <f t="shared" si="31"/>
        <v>0</v>
      </c>
      <c r="EM61" s="365">
        <f t="shared" si="31"/>
        <v>0</v>
      </c>
      <c r="EN61" s="365">
        <f t="shared" si="31"/>
        <v>0</v>
      </c>
      <c r="EO61" s="365">
        <f t="shared" si="31"/>
        <v>0</v>
      </c>
      <c r="EP61" s="366">
        <f>SUM(DP61:EO61)</f>
        <v>2645895</v>
      </c>
    </row>
    <row r="62" spans="1:147">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c r="CB62" s="225"/>
      <c r="CC62" s="225"/>
      <c r="CD62" s="225"/>
      <c r="CE62" s="225"/>
      <c r="CF62" s="225"/>
      <c r="CG62" s="225"/>
      <c r="CH62" s="225"/>
      <c r="CI62" s="225"/>
      <c r="CJ62" s="225"/>
      <c r="CK62" s="225"/>
      <c r="CL62" s="225"/>
      <c r="CM62" s="225"/>
      <c r="CN62" s="225"/>
      <c r="CO62" s="225"/>
      <c r="CP62" s="225"/>
      <c r="CQ62" s="225"/>
      <c r="CR62" s="225"/>
      <c r="CS62" s="225"/>
      <c r="CT62" s="225"/>
      <c r="CU62" s="225"/>
      <c r="CV62" s="225"/>
      <c r="CW62" s="225"/>
      <c r="CX62" s="225"/>
      <c r="CY62" s="225"/>
      <c r="CZ62" s="225"/>
      <c r="DA62" s="225"/>
      <c r="DB62" s="225"/>
      <c r="DC62" s="225"/>
      <c r="DD62" s="225"/>
      <c r="DE62" s="225"/>
      <c r="DF62" s="225"/>
      <c r="DG62" s="225"/>
      <c r="DH62" s="225"/>
      <c r="DI62" s="225"/>
      <c r="DJ62" s="225"/>
      <c r="DK62" s="225"/>
      <c r="DL62" s="225"/>
      <c r="DM62" s="225"/>
      <c r="DN62" s="225"/>
      <c r="DO62" s="225"/>
      <c r="DP62" s="498"/>
      <c r="DQ62" s="498"/>
      <c r="DR62" s="498"/>
      <c r="DS62" s="498"/>
    </row>
    <row r="63" spans="1:147">
      <c r="F63" s="426"/>
      <c r="G63" s="426"/>
      <c r="H63" s="426"/>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c r="CB63" s="225"/>
      <c r="CC63" s="225"/>
      <c r="CD63" s="225"/>
      <c r="CE63" s="225"/>
      <c r="CF63" s="225"/>
      <c r="CG63" s="225"/>
      <c r="CH63" s="225"/>
      <c r="CI63" s="225"/>
      <c r="CJ63" s="225"/>
      <c r="CK63" s="225"/>
      <c r="CL63" s="225"/>
      <c r="CM63" s="225"/>
      <c r="CN63" s="225"/>
      <c r="CO63" s="225"/>
      <c r="CP63" s="225"/>
      <c r="CQ63" s="225"/>
      <c r="CR63" s="225"/>
      <c r="CS63" s="225"/>
      <c r="CT63" s="225"/>
      <c r="CU63" s="225"/>
      <c r="CV63" s="225"/>
      <c r="CW63" s="225"/>
      <c r="CX63" s="225"/>
      <c r="CY63" s="225"/>
      <c r="CZ63" s="225"/>
      <c r="DA63" s="225"/>
      <c r="DB63" s="225"/>
      <c r="DC63" s="225"/>
      <c r="DD63" s="225"/>
      <c r="DE63" s="225"/>
      <c r="DF63" s="225"/>
      <c r="DG63" s="225"/>
      <c r="DH63" s="225"/>
      <c r="DI63" s="225"/>
      <c r="DJ63" s="225"/>
      <c r="DK63" s="225"/>
      <c r="DL63" s="225"/>
      <c r="DM63" s="225"/>
      <c r="DN63" s="225"/>
      <c r="DO63" s="225"/>
      <c r="DP63" s="498"/>
      <c r="DQ63" s="498"/>
      <c r="DR63" s="498"/>
      <c r="DS63" s="498"/>
    </row>
    <row r="64" spans="1:147">
      <c r="Q64" s="225"/>
      <c r="R64" s="225"/>
      <c r="S64" s="225"/>
    </row>
    <row r="65" spans="15:111">
      <c r="Q65" s="225"/>
      <c r="R65" s="225"/>
      <c r="S65" s="225"/>
    </row>
    <row r="66" spans="15:111">
      <c r="Q66" s="225"/>
      <c r="R66" s="225"/>
      <c r="S66" s="225"/>
    </row>
    <row r="67" spans="15:111">
      <c r="O67" s="131"/>
    </row>
    <row r="73" spans="15:111" ht="15" customHeight="1">
      <c r="X73" s="371"/>
      <c r="Y73" s="226"/>
      <c r="Z73" s="226"/>
      <c r="AA73" s="226"/>
      <c r="AB73" s="372"/>
      <c r="AC73" s="372"/>
      <c r="AD73" s="372"/>
      <c r="AE73" s="372"/>
      <c r="AF73" s="372"/>
      <c r="AG73" s="372"/>
      <c r="AH73" s="372"/>
      <c r="AI73" s="372"/>
      <c r="AJ73" s="372"/>
      <c r="AK73" s="372"/>
      <c r="AL73" s="372"/>
      <c r="AM73" s="372"/>
      <c r="AN73" s="372"/>
      <c r="AO73" s="372"/>
      <c r="AP73" s="372"/>
      <c r="AQ73" s="372"/>
      <c r="AR73" s="372"/>
      <c r="AS73" s="372"/>
      <c r="AT73" s="372"/>
      <c r="AU73" s="372"/>
      <c r="AV73" s="372"/>
      <c r="AW73" s="372"/>
      <c r="AX73" s="372"/>
      <c r="AY73" s="372"/>
      <c r="AZ73" s="372"/>
      <c r="BA73" s="372"/>
      <c r="BB73" s="372"/>
      <c r="BC73" s="372"/>
      <c r="BD73" s="372"/>
      <c r="BE73" s="372"/>
      <c r="BF73" s="372"/>
      <c r="BG73" s="372"/>
      <c r="BH73" s="372"/>
      <c r="BI73" s="372"/>
      <c r="BJ73" s="372"/>
      <c r="BK73" s="372"/>
      <c r="BL73" s="372"/>
      <c r="BM73" s="372"/>
      <c r="BN73" s="372"/>
      <c r="BO73" s="372"/>
      <c r="BP73" s="372"/>
      <c r="BQ73" s="372"/>
      <c r="BR73" s="372"/>
      <c r="BS73" s="373"/>
      <c r="BT73" s="373"/>
      <c r="BU73" s="373"/>
      <c r="BV73" s="373"/>
      <c r="BW73" s="373"/>
      <c r="BX73" s="373"/>
      <c r="BY73" s="373"/>
      <c r="BZ73" s="373"/>
      <c r="CE73" s="373"/>
      <c r="CF73" s="373"/>
      <c r="CG73" s="373"/>
      <c r="CH73" s="373"/>
      <c r="CI73" s="373"/>
      <c r="CJ73" s="373"/>
      <c r="CK73" s="373"/>
      <c r="CL73" s="373"/>
      <c r="CM73" s="373"/>
      <c r="CN73" s="373"/>
      <c r="CO73" s="373"/>
      <c r="CP73" s="373"/>
      <c r="CQ73" s="373"/>
      <c r="CR73" s="373"/>
      <c r="CS73" s="373"/>
      <c r="CT73" s="374"/>
      <c r="DC73" s="226"/>
      <c r="DD73" s="226"/>
      <c r="DE73" s="226"/>
      <c r="DF73" s="226"/>
      <c r="DG73" s="226"/>
    </row>
    <row r="93" spans="5:5" ht="15" customHeight="1">
      <c r="E93" s="499"/>
    </row>
    <row r="94" spans="5:5" ht="15" customHeight="1">
      <c r="E94" s="500"/>
    </row>
  </sheetData>
  <autoFilter ref="B7:EQ57" xr:uid="{00000000-0009-0000-0000-00000E000000}"/>
  <mergeCells count="1">
    <mergeCell ref="T6:W6"/>
  </mergeCells>
  <pageMargins left="0.70833333333333304" right="0.70833333333333304" top="0.74791666666666701" bottom="0.74791666666666701" header="0.511811023622047" footer="0.511811023622047"/>
  <pageSetup orientation="landscape" horizontalDpi="300" verticalDpi="300"/>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Timeline - Monthly</vt:lpstr>
      <vt:lpstr>Timeline</vt:lpstr>
      <vt:lpstr>Sheet1</vt:lpstr>
      <vt:lpstr>Pivot</vt:lpstr>
      <vt:lpstr>Staffing</vt:lpstr>
      <vt:lpstr>Schedule</vt:lpstr>
      <vt:lpstr>Rate Card</vt:lpstr>
      <vt:lpstr>Sheet2</vt:lpstr>
      <vt:lpstr>Assumptions</vt:lpstr>
      <vt:lpstr>RICEFW Scope</vt:lpstr>
      <vt:lpstr>RICEFW Details</vt:lpstr>
      <vt:lpstr>Data Objects</vt:lpstr>
      <vt:lpstr>Check</vt:lpstr>
      <vt:lpstr>Project 2 Staffing Needs</vt:lpstr>
      <vt:lpstr>Staffing - Baseline</vt:lpstr>
      <vt:lpstr>'Project 2 Staffing Needs'!Print_Area</vt:lpstr>
      <vt:lpstr>Staffing!Print_Area</vt:lpstr>
      <vt:lpstr>'Staffing - Baseline'!Print_Area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 1</dc:creator>
  <dc:description/>
  <cp:lastModifiedBy>Mirakar, Usama</cp:lastModifiedBy>
  <cp:revision>0</cp:revision>
  <dcterms:created xsi:type="dcterms:W3CDTF">2025-10-29T18:29:30Z</dcterms:created>
  <dcterms:modified xsi:type="dcterms:W3CDTF">2026-07-27T12:39:54Z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0x0101005757DFA308F81E499B3B9902D4984A33</vt:lpwstr>
  </property>
  <property fmtid="{D5CDD505-2E9C-101B-9397-08002B2CF9AE}" pid="4" name="CustomUiType">
    <vt:lpwstr>2</vt:lpwstr>
  </property>
  <property fmtid="{D5CDD505-2E9C-101B-9397-08002B2CF9AE}" pid="5" name="MediaServiceImageTags">
    <vt:lpwstr/>
  </property>
  <property fmtid="{D5CDD505-2E9C-101B-9397-08002B2CF9AE}" pid="6" name="Order">
    <vt:r8>385100</vt:r8>
  </property>
  <property fmtid="{D5CDD505-2E9C-101B-9397-08002B2CF9AE}" pid="7" name="TemplateUrl">
    <vt:lpwstr/>
  </property>
  <property fmtid="{D5CDD505-2E9C-101B-9397-08002B2CF9AE}" pid="8" name="TriggerFlowInfo">
    <vt:lpwstr/>
  </property>
  <property fmtid="{D5CDD505-2E9C-101B-9397-08002B2CF9AE}" pid="9" name="_ExtendedDescription">
    <vt:lpwstr/>
  </property>
  <property fmtid="{D5CDD505-2E9C-101B-9397-08002B2CF9AE}" pid="10" name="xd_ProgID">
    <vt:lpwstr/>
  </property>
  <property fmtid="{D5CDD505-2E9C-101B-9397-08002B2CF9AE}" pid="11" name="xd_Signature">
    <vt:bool>false</vt:bool>
  </property>
</Properties>
</file>